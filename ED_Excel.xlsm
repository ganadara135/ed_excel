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dev\ed_excel\"/>
    </mc:Choice>
  </mc:AlternateContent>
  <xr:revisionPtr revIDLastSave="0" documentId="13_ncr:1_{A8C11392-B344-4924-AADE-BBF1DAB1000A}" xr6:coauthVersionLast="45" xr6:coauthVersionMax="45" xr10:uidLastSave="{00000000-0000-0000-0000-000000000000}"/>
  <bookViews>
    <workbookView xWindow="-10" yWindow="-10" windowWidth="38420" windowHeight="21620" activeTab="2" xr2:uid="{00000000-000D-0000-FFFF-FFFF00000000}"/>
    <workbookView xWindow="0" yWindow="0" windowWidth="38420" windowHeight="21620" xr2:uid="{DB35FF05-5BDB-468E-AC6C-AA05FC3B432A}"/>
  </bookViews>
  <sheets>
    <sheet name="Empty" sheetId="408" r:id="rId1"/>
    <sheet name="Sheet44" sheetId="409" r:id="rId2"/>
    <sheet name="산출서" sheetId="375" r:id="rId3"/>
    <sheet name="기대효과" sheetId="376" r:id="rId4"/>
    <sheet name="예상에너지 절감량" sheetId="377" r:id="rId5"/>
  </sheets>
  <functionGroups builtInGroupCount="19"/>
  <externalReferences>
    <externalReference r:id="rId6"/>
  </externalReference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75" l="1"/>
  <c r="J8" i="375"/>
  <c r="J6" i="375"/>
  <c r="J7" i="375"/>
  <c r="I9" i="375"/>
  <c r="G6" i="375"/>
  <c r="G7" i="375"/>
  <c r="D22" i="377"/>
  <c r="D18" i="377"/>
  <c r="D10" i="377"/>
  <c r="D8" i="377"/>
  <c r="M7" i="377"/>
  <c r="M18" i="377" s="1"/>
  <c r="K7" i="377"/>
  <c r="J7" i="377"/>
  <c r="J18" i="377" s="1"/>
  <c r="I7" i="377"/>
  <c r="I18" i="377" s="1"/>
  <c r="H7" i="377"/>
  <c r="H18" i="377" s="1"/>
  <c r="G7" i="377"/>
  <c r="G18" i="377" s="1"/>
  <c r="E7" i="377"/>
  <c r="L7" i="377" s="1"/>
  <c r="BD54" i="376"/>
  <c r="C48" i="376"/>
  <c r="H45" i="376"/>
  <c r="N37" i="376"/>
  <c r="X23" i="376"/>
  <c r="AB15" i="376"/>
  <c r="W15" i="376"/>
  <c r="Q15" i="376"/>
  <c r="I15" i="376"/>
  <c r="AE19" i="376" s="1"/>
  <c r="V13" i="376"/>
  <c r="Z12" i="376"/>
  <c r="Q10" i="376"/>
  <c r="Q9" i="376"/>
  <c r="AK12" i="376" s="1"/>
  <c r="BB54" i="376" s="1"/>
  <c r="O29" i="375"/>
  <c r="H24" i="375" s="1"/>
  <c r="O20" i="375"/>
  <c r="D16" i="375"/>
  <c r="B16" i="375"/>
  <c r="J15" i="375"/>
  <c r="H15" i="375"/>
  <c r="H14" i="375"/>
  <c r="D9" i="375"/>
  <c r="C9" i="375"/>
  <c r="B9" i="375"/>
  <c r="F9" i="375" l="1"/>
  <c r="G9" i="375" s="1"/>
  <c r="C26" i="375" s="1"/>
  <c r="J5" i="375"/>
  <c r="J9" i="375" s="1"/>
  <c r="C28" i="375"/>
  <c r="H9" i="375"/>
  <c r="K8" i="375"/>
  <c r="O8" i="375" s="1"/>
  <c r="K16" i="375"/>
  <c r="K15" i="375"/>
  <c r="F18" i="375" s="1"/>
  <c r="K5" i="375"/>
  <c r="K6" i="375"/>
  <c r="L6" i="375" s="1"/>
  <c r="K14" i="375"/>
  <c r="C24" i="375"/>
  <c r="K7" i="375"/>
  <c r="O7" i="375" s="1"/>
  <c r="L7" i="375"/>
  <c r="M7" i="375"/>
  <c r="K18" i="377"/>
  <c r="E18" i="377"/>
  <c r="AE23" i="376"/>
  <c r="AM23" i="376" s="1"/>
  <c r="S12" i="376"/>
  <c r="X19" i="376"/>
  <c r="AM19" i="376" s="1"/>
  <c r="L5" i="375" l="1"/>
  <c r="O6" i="375"/>
  <c r="M6" i="375"/>
  <c r="O5" i="375"/>
  <c r="K9" i="375"/>
  <c r="L8" i="375"/>
  <c r="M8" i="375"/>
  <c r="M5" i="375"/>
  <c r="M9" i="375" s="1"/>
  <c r="L15" i="375"/>
  <c r="C24" i="376"/>
  <c r="W24" i="376" s="1"/>
  <c r="AC24" i="376" s="1"/>
  <c r="L29" i="376" s="1"/>
  <c r="N28" i="376"/>
  <c r="C20" i="376"/>
  <c r="W20" i="376" s="1"/>
  <c r="AC20" i="376" s="1"/>
  <c r="C28" i="376"/>
  <c r="X28" i="376" s="1"/>
  <c r="B24" i="375"/>
  <c r="L9" i="375" l="1"/>
  <c r="D24" i="375" s="1"/>
  <c r="F24" i="375" s="1"/>
  <c r="O9" i="375"/>
  <c r="C30" i="376"/>
  <c r="C37" i="376"/>
  <c r="C38" i="376" s="1"/>
  <c r="J38" i="376" s="1"/>
  <c r="C29" i="376"/>
  <c r="U29" i="376" s="1"/>
  <c r="M34" i="376"/>
  <c r="E28" i="375"/>
  <c r="G30" i="375" l="1"/>
  <c r="B32" i="375"/>
  <c r="D30" i="375"/>
  <c r="O13" i="375"/>
  <c r="BC54" i="376"/>
  <c r="M48" i="376"/>
  <c r="X30" i="376"/>
  <c r="AD30" i="376" s="1"/>
  <c r="C42" i="376"/>
  <c r="A28" i="375"/>
  <c r="G28" i="375" s="1"/>
  <c r="O14" i="375" l="1"/>
  <c r="O16" i="375"/>
  <c r="F14" i="375" s="1"/>
  <c r="J14" i="375" s="1"/>
  <c r="D31" i="375"/>
  <c r="J47" i="376"/>
  <c r="Y48" i="376"/>
  <c r="BE54" i="376" s="1"/>
  <c r="X43" i="376"/>
  <c r="L43" i="376"/>
  <c r="C43" i="376" s="1"/>
  <c r="C34" i="376"/>
  <c r="AB34" i="376" s="1"/>
  <c r="AH34" i="376" s="1"/>
  <c r="BA54" i="376"/>
  <c r="J16" i="375" l="1"/>
  <c r="G24" i="375" s="1"/>
  <c r="L14" i="375"/>
  <c r="L16" i="375" s="1"/>
  <c r="I24" i="375" l="1"/>
  <c r="K24" i="375" s="1"/>
  <c r="E32" i="375"/>
  <c r="G31" i="375"/>
  <c r="G32" i="375"/>
  <c r="O19" i="375"/>
  <c r="O21" i="375" s="1"/>
  <c r="O23" i="37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62FB94-BDDF-430B-978E-70EF18C7A128}" name="rawData" type="6" refreshedVersion="0" background="1">
    <textPr prompt="0" sourceFile="C:\dev\ed_excel\rawData.csv">
      <textFields>
        <textField/>
      </textFields>
    </textPr>
  </connection>
  <connection id="2" xr16:uid="{5A3E9980-0DEE-4EDF-840E-810E9470BAE4}" name="rawData2" type="6" refreshedVersion="0" background="1">
    <textPr prompt="0" sourceFile="C:\vba\ed_excel\rawData.csv">
      <textFields>
        <textField/>
      </textFields>
    </textPr>
  </connection>
  <connection id="3" xr16:uid="{ADBDFE31-8B5B-4C9F-9B19-E9F4233E98A3}" keepAlive="1" name="쿼리 - rawData" description="통합 문서의 'rawData' 쿼리에 대한 연결입니다." type="5" refreshedVersion="6" minRefreshableVersion="3" background="1" saveData="1">
    <dbPr connection="Provider=Microsoft.Mashup.OleDb.1;Data Source=$Workbook$;Location=rawData;Extended Properties=&quot;&quot;" command="SELECT * FROM [rawData]"/>
  </connection>
  <connection id="4" xr16:uid="{25245730-D1EA-48A1-A762-10B6851FCDA2}" keepAlive="1" name="쿼리 - 실측정Data" description="통합 문서의 '실측정Data' 쿼리에 대한 연결입니다." type="5" refreshedVersion="6" background="1" saveData="1">
    <dbPr connection="Provider=Microsoft.Mashup.OleDb.1;Data Source=$Workbook$;Location=실측정Data;Extended Properties=&quot;&quot;" command="SELECT * FROM [실측정Data]"/>
  </connection>
</connections>
</file>

<file path=xl/sharedStrings.xml><?xml version="1.0" encoding="utf-8"?>
<sst xmlns="http://schemas.openxmlformats.org/spreadsheetml/2006/main" count="275" uniqueCount="178">
  <si>
    <t>합계</t>
  </si>
  <si>
    <t>평균전력</t>
  </si>
  <si>
    <t>로딩전력</t>
  </si>
  <si>
    <t>언로딩전력</t>
  </si>
  <si>
    <t>개선전 운전현황</t>
  </si>
  <si>
    <t>참고</t>
    <phoneticPr fontId="6" type="noConversion"/>
  </si>
  <si>
    <t>모델명</t>
  </si>
  <si>
    <t>용량</t>
  </si>
  <si>
    <t>대수</t>
  </si>
  <si>
    <t>토출량</t>
  </si>
  <si>
    <t>운전압력</t>
  </si>
  <si>
    <t>로딩율</t>
  </si>
  <si>
    <t>언로딩율</t>
  </si>
  <si>
    <t>가동시간</t>
  </si>
  <si>
    <t>연간사용량</t>
  </si>
  <si>
    <t>언로딩손실량</t>
    <phoneticPr fontId="6" type="noConversion"/>
  </si>
  <si>
    <t>콤프레샤 별</t>
    <phoneticPr fontId="6" type="noConversion"/>
  </si>
  <si>
    <t>kW</t>
  </si>
  <si>
    <t>대</t>
  </si>
  <si>
    <r>
      <t>N</t>
    </r>
    <r>
      <rPr>
        <b/>
        <sz val="10"/>
        <color indexed="8"/>
        <rFont val="맑은 고딕"/>
        <family val="3"/>
        <charset val="129"/>
      </rPr>
      <t>㎥/min</t>
    </r>
  </si>
  <si>
    <r>
      <t>kgf/</t>
    </r>
    <r>
      <rPr>
        <b/>
        <sz val="10"/>
        <color indexed="8"/>
        <rFont val="맑은 고딕"/>
        <family val="3"/>
        <charset val="129"/>
      </rPr>
      <t>㎠</t>
    </r>
  </si>
  <si>
    <t>%</t>
  </si>
  <si>
    <r>
      <t>hr/</t>
    </r>
    <r>
      <rPr>
        <b/>
        <sz val="10"/>
        <color indexed="8"/>
        <rFont val="맑은 고딕"/>
        <family val="3"/>
        <charset val="129"/>
      </rPr>
      <t>년</t>
    </r>
  </si>
  <si>
    <t>kWh</t>
  </si>
  <si>
    <t>kWh</t>
    <phoneticPr fontId="6" type="noConversion"/>
  </si>
  <si>
    <t>Air생산량</t>
    <phoneticPr fontId="6" type="noConversion"/>
  </si>
  <si>
    <t>m3/년</t>
    <phoneticPr fontId="6" type="noConversion"/>
  </si>
  <si>
    <t>CKDX1380</t>
    <phoneticPr fontId="2" type="noConversion"/>
  </si>
  <si>
    <t>7~9</t>
    <phoneticPr fontId="2" type="noConversion"/>
  </si>
  <si>
    <t>Nm3/년</t>
    <phoneticPr fontId="6" type="noConversion"/>
  </si>
  <si>
    <t>토출량*60*가동시간*로딩률</t>
    <phoneticPr fontId="6" type="noConversion"/>
  </si>
  <si>
    <t>개선후 운전현황</t>
  </si>
  <si>
    <t>Nm3</t>
    <phoneticPr fontId="6" type="noConversion"/>
  </si>
  <si>
    <t>KE-100 VSD</t>
    <phoneticPr fontId="14" type="noConversion"/>
  </si>
  <si>
    <t>예상운전시간</t>
    <phoneticPr fontId="6" type="noConversion"/>
  </si>
  <si>
    <t>예상 로딩률</t>
    <phoneticPr fontId="6" type="noConversion"/>
  </si>
  <si>
    <t>전력절감량</t>
    <phoneticPr fontId="6" type="noConversion"/>
  </si>
  <si>
    <t>kWh/년</t>
    <phoneticPr fontId="6" type="noConversion"/>
  </si>
  <si>
    <t>구분</t>
  </si>
  <si>
    <t>개선전</t>
  </si>
  <si>
    <t>개선후</t>
  </si>
  <si>
    <t>원/kWh</t>
    <phoneticPr fontId="6" type="noConversion"/>
  </si>
  <si>
    <t>전력단가</t>
    <phoneticPr fontId="6" type="noConversion"/>
  </si>
  <si>
    <t>소비</t>
  </si>
  <si>
    <t>가동</t>
  </si>
  <si>
    <t>사용</t>
  </si>
  <si>
    <t>전력단가</t>
  </si>
  <si>
    <t>전력요금</t>
  </si>
  <si>
    <t>백만원</t>
    <phoneticPr fontId="6" type="noConversion"/>
  </si>
  <si>
    <t>절감금액</t>
    <phoneticPr fontId="6" type="noConversion"/>
  </si>
  <si>
    <t>전력</t>
  </si>
  <si>
    <t>시간</t>
  </si>
  <si>
    <t>전력량</t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</si>
  <si>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원</t>
    </r>
    <r>
      <rPr>
        <b/>
        <sz val="10"/>
        <color rgb="FF000000"/>
        <rFont val="굴림체"/>
        <family val="3"/>
        <charset val="129"/>
      </rPr>
      <t>/kWh)</t>
    </r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</si>
  <si>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원</t>
    </r>
    <r>
      <rPr>
        <b/>
        <sz val="10"/>
        <color rgb="FF000000"/>
        <rFont val="굴림체"/>
        <family val="3"/>
        <charset val="129"/>
      </rPr>
      <t>)</t>
    </r>
  </si>
  <si>
    <t>투자비</t>
    <phoneticPr fontId="6" type="noConversion"/>
  </si>
  <si>
    <t>(kW)</t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</si>
  <si>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시간</t>
    </r>
    <r>
      <rPr>
        <b/>
        <sz val="10"/>
        <color rgb="FF000000"/>
        <rFont val="굴림체"/>
        <family val="3"/>
        <charset val="129"/>
      </rPr>
      <t>)</t>
    </r>
  </si>
  <si>
    <t>(kWh)</t>
  </si>
  <si>
    <t>년</t>
    <phoneticPr fontId="6" type="noConversion"/>
  </si>
  <si>
    <t>ROI</t>
    <phoneticPr fontId="6" type="noConversion"/>
  </si>
  <si>
    <r>
      <t>1</t>
    </r>
    <r>
      <rPr>
        <sz val="10"/>
        <color rgb="FF000000"/>
        <rFont val="맑은 고딕"/>
        <family val="3"/>
        <charset val="129"/>
        <scheme val="minor"/>
      </rPr>
      <t>월</t>
    </r>
    <r>
      <rPr>
        <sz val="10"/>
        <color rgb="FF000000"/>
        <rFont val="굴림체"/>
        <family val="3"/>
        <charset val="129"/>
      </rPr>
      <t>~12</t>
    </r>
    <r>
      <rPr>
        <sz val="10"/>
        <color rgb="FF000000"/>
        <rFont val="맑은 고딕"/>
        <family val="3"/>
        <charset val="129"/>
        <scheme val="minor"/>
      </rPr>
      <t>월</t>
    </r>
  </si>
  <si>
    <t>가동시간</t>
    <phoneticPr fontId="2" type="noConversion"/>
  </si>
  <si>
    <t xml:space="preserve"> - 현재 언로딩 운전(</t>
    <phoneticPr fontId="2" type="noConversion"/>
  </si>
  <si>
    <t xml:space="preserve">)에 의한 에너지손실이 발생하고 있다. </t>
    <phoneticPr fontId="2" type="noConversion"/>
  </si>
  <si>
    <t>시간/일</t>
    <phoneticPr fontId="2" type="noConversion"/>
  </si>
  <si>
    <t xml:space="preserve">   연간 전력 손실량 = Un-Loading운전량 = 언로딩전력 × 연간가동시간 × 언로딩률</t>
    <phoneticPr fontId="2" type="noConversion"/>
  </si>
  <si>
    <t>월 조업일수</t>
    <phoneticPr fontId="2" type="noConversion"/>
  </si>
  <si>
    <t xml:space="preserve">(kW) × { </t>
    <phoneticPr fontId="2" type="noConversion"/>
  </si>
  <si>
    <t xml:space="preserve">× </t>
    <phoneticPr fontId="2" type="noConversion"/>
  </si>
  <si>
    <t xml:space="preserve">} = </t>
    <phoneticPr fontId="2" type="noConversion"/>
  </si>
  <si>
    <t>(kWh/년)</t>
    <phoneticPr fontId="2" type="noConversion"/>
  </si>
  <si>
    <t>12월</t>
    <phoneticPr fontId="2" type="noConversion"/>
  </si>
  <si>
    <t xml:space="preserve"> -인버터 콤프레샤로 개선하게 되면 언로딩 전력이 Zero가 된다. 즉, 언로딩에 의한 손실량을 Zero화 시킬 수 있다.</t>
    <phoneticPr fontId="2" type="noConversion"/>
  </si>
  <si>
    <t>연간가동시간</t>
    <phoneticPr fontId="2" type="noConversion"/>
  </si>
  <si>
    <t xml:space="preserve"> 즉, 개선전 연간 압축공기생산량 </t>
    <phoneticPr fontId="2" type="noConversion"/>
  </si>
  <si>
    <t xml:space="preserve">N㎥을 생산하는데, </t>
    <phoneticPr fontId="2" type="noConversion"/>
  </si>
  <si>
    <t xml:space="preserve">kWh를 사용하였는데, </t>
    <phoneticPr fontId="2" type="noConversion"/>
  </si>
  <si>
    <t xml:space="preserve">개선후에는 압축공기생산량 </t>
    <phoneticPr fontId="2" type="noConversion"/>
  </si>
  <si>
    <t xml:space="preserve">kWh를 사용하게 되므로 </t>
    <phoneticPr fontId="2" type="noConversion"/>
  </si>
  <si>
    <t>절감량은</t>
    <phoneticPr fontId="2" type="noConversion"/>
  </si>
  <si>
    <t>-</t>
    <phoneticPr fontId="2" type="noConversion"/>
  </si>
  <si>
    <t>=</t>
    <phoneticPr fontId="2" type="noConversion"/>
  </si>
  <si>
    <t>kWh이 된다.</t>
    <phoneticPr fontId="2" type="noConversion"/>
  </si>
  <si>
    <t>Ⅱ. 기대효과</t>
    <phoneticPr fontId="6" type="noConversion"/>
  </si>
  <si>
    <t>가. 개선 후 기대효과</t>
    <phoneticPr fontId="6" type="noConversion"/>
  </si>
  <si>
    <t>□ 시 설 명 : 공기압축기()</t>
    <phoneticPr fontId="6" type="noConversion"/>
  </si>
  <si>
    <t>□ 개선 대책 : 고효율 인버터 공기압축기로 교체(일반형→고효율 인버터 Type)</t>
    <phoneticPr fontId="6" type="noConversion"/>
  </si>
  <si>
    <t xml:space="preserve"> 1) 산정기준</t>
    <phoneticPr fontId="6" type="noConversion"/>
  </si>
  <si>
    <t xml:space="preserve"> - 개선 전 공기압축기 전력: 33.48 </t>
    <phoneticPr fontId="6" type="noConversion"/>
  </si>
  <si>
    <t>(kW) ....... 기존 공기압축기 소비전력 합산(kW)</t>
    <phoneticPr fontId="2" type="noConversion"/>
  </si>
  <si>
    <t xml:space="preserve"> - 개선 후 공기압축기 전력: 11.82 </t>
    <phoneticPr fontId="6" type="noConversion"/>
  </si>
  <si>
    <t>(kW) ....... 통합 System 공기압축기 운전전력</t>
    <phoneticPr fontId="2" type="noConversion"/>
  </si>
  <si>
    <t xml:space="preserve"> - 절전률 =</t>
    <phoneticPr fontId="6" type="noConversion"/>
  </si>
  <si>
    <t>개선전</t>
    <phoneticPr fontId="6" type="noConversion"/>
  </si>
  <si>
    <t>-</t>
    <phoneticPr fontId="6" type="noConversion"/>
  </si>
  <si>
    <t>개선후</t>
    <phoneticPr fontId="6" type="noConversion"/>
  </si>
  <si>
    <t>=</t>
    <phoneticPr fontId="6" type="noConversion"/>
  </si>
  <si>
    <t>(kW)</t>
    <phoneticPr fontId="6" type="noConversion"/>
  </si>
  <si>
    <r>
      <rPr>
        <sz val="11"/>
        <color indexed="8"/>
        <rFont val="맑은 고딕"/>
        <family val="3"/>
        <charset val="129"/>
      </rPr>
      <t>ⅹ</t>
    </r>
    <r>
      <rPr>
        <sz val="11"/>
        <color indexed="8"/>
        <rFont val="휴먼명조"/>
        <family val="3"/>
        <charset val="129"/>
      </rPr>
      <t>100% =</t>
    </r>
    <phoneticPr fontId="6" type="noConversion"/>
  </si>
  <si>
    <t>%</t>
    <phoneticPr fontId="6" type="noConversion"/>
  </si>
  <si>
    <t xml:space="preserve"> - 가동시간 : </t>
    <phoneticPr fontId="6" type="noConversion"/>
  </si>
  <si>
    <t>(hr/년)....</t>
    <phoneticPr fontId="2" type="noConversion"/>
  </si>
  <si>
    <t xml:space="preserve">시간× </t>
    <phoneticPr fontId="2" type="noConversion"/>
  </si>
  <si>
    <t xml:space="preserve">일 × </t>
    <phoneticPr fontId="2" type="noConversion"/>
  </si>
  <si>
    <t>개월</t>
    <phoneticPr fontId="2" type="noConversion"/>
  </si>
  <si>
    <t xml:space="preserve"> 2) 기대효과 산출</t>
    <phoneticPr fontId="6" type="noConversion"/>
  </si>
  <si>
    <t xml:space="preserve"> * 개선전 설비의 연간 소비 에너지량 : 산출식을 이용하여 작성</t>
    <phoneticPr fontId="6" type="noConversion"/>
  </si>
  <si>
    <t xml:space="preserve"> = 개선전 설비의 소비전력 ×가동시간 = </t>
    <phoneticPr fontId="6" type="noConversion"/>
  </si>
  <si>
    <t>(kW)×</t>
    <phoneticPr fontId="2" type="noConversion"/>
  </si>
  <si>
    <t xml:space="preserve">(hr/년) = </t>
    <phoneticPr fontId="2" type="noConversion"/>
  </si>
  <si>
    <t xml:space="preserve"> = </t>
    <phoneticPr fontId="6" type="noConversion"/>
  </si>
  <si>
    <t xml:space="preserve">(MWh/년) × 0.229(toe/MWh) = </t>
    <phoneticPr fontId="2" type="noConversion"/>
  </si>
  <si>
    <t xml:space="preserve">≒ </t>
    <phoneticPr fontId="2" type="noConversion"/>
  </si>
  <si>
    <t>(toe/년)</t>
    <phoneticPr fontId="2" type="noConversion"/>
  </si>
  <si>
    <t xml:space="preserve"> * 개선 후 설비의 연간 소비 에너지량 : 산출식을 이용하여 작성</t>
    <phoneticPr fontId="6" type="noConversion"/>
  </si>
  <si>
    <t xml:space="preserve"> = 개선후 설비의 소비전력 ×가동시간 = </t>
    <phoneticPr fontId="6" type="noConversion"/>
  </si>
  <si>
    <t xml:space="preserve"> * 연간 절감 에너지량 : </t>
    <phoneticPr fontId="6" type="noConversion"/>
  </si>
  <si>
    <t xml:space="preserve"> = 개선 전 설비의 연간 소비 에너지량 – 개선 후 설비의 연간 소비 에너지량</t>
    <phoneticPr fontId="6" type="noConversion"/>
  </si>
  <si>
    <t xml:space="preserve">(kWh/년) - </t>
    <phoneticPr fontId="2" type="noConversion"/>
  </si>
  <si>
    <t xml:space="preserve">(kWh/년)= </t>
    <phoneticPr fontId="2" type="noConversion"/>
  </si>
  <si>
    <t xml:space="preserve">(toe/년) - </t>
    <phoneticPr fontId="2" type="noConversion"/>
  </si>
  <si>
    <t xml:space="preserve">(toe/년) = </t>
    <phoneticPr fontId="2" type="noConversion"/>
  </si>
  <si>
    <t>(MWh/년) × 0.229(toe/MWh) =</t>
    <phoneticPr fontId="2" type="noConversion"/>
  </si>
  <si>
    <t xml:space="preserve"> ≒ </t>
    <phoneticPr fontId="2" type="noConversion"/>
  </si>
  <si>
    <t xml:space="preserve"> * 절감율(%) : 진단 설비 기준 작성</t>
    <phoneticPr fontId="6" type="noConversion"/>
  </si>
  <si>
    <t xml:space="preserve"> = 연간 절감 에너지량 ÷  2018년 공기압축기 에너지사용량</t>
    <phoneticPr fontId="6" type="noConversion"/>
  </si>
  <si>
    <t xml:space="preserve">(toe/년) ÷ </t>
    <phoneticPr fontId="2" type="noConversion"/>
  </si>
  <si>
    <t xml:space="preserve">(toe/년) × 100% = </t>
    <phoneticPr fontId="2" type="noConversion"/>
  </si>
  <si>
    <t xml:space="preserve"> ◦ 연간 전력 절감액 = 연간 전력 절감량 x 전력단가</t>
    <phoneticPr fontId="6" type="noConversion"/>
  </si>
  <si>
    <t xml:space="preserve">(kWh/년) × </t>
    <phoneticPr fontId="2" type="noConversion"/>
  </si>
  <si>
    <t>(원/kWh) ÷ 1,000(원/천원)</t>
    <phoneticPr fontId="2" type="noConversion"/>
  </si>
  <si>
    <t>(천원/년)</t>
    <phoneticPr fontId="2" type="noConversion"/>
  </si>
  <si>
    <t xml:space="preserve"> ◦ 연간 예상 온실가스 절감량</t>
    <phoneticPr fontId="6" type="noConversion"/>
  </si>
  <si>
    <t xml:space="preserve"> = 연간 절감전력량(MWh/년) × 0.46625(tCO2-eq/MWh)</t>
    <phoneticPr fontId="6" type="noConversion"/>
  </si>
  <si>
    <t xml:space="preserve"> =</t>
    <phoneticPr fontId="6" type="noConversion"/>
  </si>
  <si>
    <t>(MWh/년) × 0.4653(tco2/MWh) x (12 ÷ 44)</t>
    <phoneticPr fontId="2" type="noConversion"/>
  </si>
  <si>
    <t xml:space="preserve"> ≒ </t>
    <phoneticPr fontId="6" type="noConversion"/>
  </si>
  <si>
    <t xml:space="preserve">(tc/년)≒ </t>
    <phoneticPr fontId="2" type="noConversion"/>
  </si>
  <si>
    <t xml:space="preserve">(tco2/년) ≒ </t>
    <phoneticPr fontId="2" type="noConversion"/>
  </si>
  <si>
    <t>(tCO2-eq/년)</t>
    <phoneticPr fontId="2" type="noConversion"/>
  </si>
  <si>
    <t xml:space="preserve"> ◦ 투자비 : </t>
    <phoneticPr fontId="6" type="noConversion"/>
  </si>
  <si>
    <t>(천원)......VSD 콤프레샤 100 HP x 1대 추천</t>
    <phoneticPr fontId="2" type="noConversion"/>
  </si>
  <si>
    <t xml:space="preserve"> ◦ 회수기간  : </t>
    <phoneticPr fontId="6" type="noConversion"/>
  </si>
  <si>
    <t>(년)</t>
    <phoneticPr fontId="2" type="noConversion"/>
  </si>
  <si>
    <t xml:space="preserve">(천원) ÷ </t>
    <phoneticPr fontId="2" type="noConversion"/>
  </si>
  <si>
    <t xml:space="preserve">(천원/년) = </t>
    <phoneticPr fontId="2" type="noConversion"/>
  </si>
  <si>
    <t>절감량</t>
  </si>
  <si>
    <t>절감율</t>
  </si>
  <si>
    <t>절감액</t>
  </si>
  <si>
    <t>투자비</t>
  </si>
  <si>
    <t>투자회수기간</t>
  </si>
  <si>
    <r>
      <t>(toe/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</si>
  <si>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t>(%)</t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</si>
  <si>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천원</t>
    </r>
    <r>
      <rPr>
        <b/>
        <sz val="12"/>
        <color rgb="FF000000"/>
        <rFont val="굴림"/>
        <family val="3"/>
        <charset val="129"/>
      </rPr>
      <t>/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</si>
  <si>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천원</t>
    </r>
    <r>
      <rPr>
        <b/>
        <sz val="12"/>
        <color rgb="FF000000"/>
        <rFont val="굴림"/>
        <family val="3"/>
        <charset val="129"/>
      </rPr>
      <t>)</t>
    </r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</si>
  <si>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</si>
  <si>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r>
      <t>나</t>
    </r>
    <r>
      <rPr>
        <b/>
        <sz val="12"/>
        <color rgb="FF000000"/>
        <rFont val="휴먼명조"/>
        <family val="3"/>
        <charset val="129"/>
      </rPr>
      <t xml:space="preserve">. </t>
    </r>
    <r>
      <rPr>
        <b/>
        <sz val="12"/>
        <color rgb="FF000000"/>
        <rFont val="맑은 고딕"/>
        <family val="3"/>
        <charset val="129"/>
        <scheme val="minor"/>
      </rPr>
      <t xml:space="preserve">예상 에너지 절감량 </t>
    </r>
    <r>
      <rPr>
        <b/>
        <sz val="12"/>
        <color rgb="FF000000"/>
        <rFont val="휴먼명조"/>
        <family val="3"/>
        <charset val="129"/>
      </rPr>
      <t>(</t>
    </r>
    <r>
      <rPr>
        <b/>
        <sz val="12"/>
        <color rgb="FF000000"/>
        <rFont val="맑은 고딕"/>
        <family val="3"/>
        <charset val="129"/>
        <scheme val="minor"/>
      </rPr>
      <t>진단 설비 기준</t>
    </r>
    <r>
      <rPr>
        <b/>
        <sz val="12"/>
        <color rgb="FF000000"/>
        <rFont val="휴먼명조"/>
        <family val="3"/>
        <charset val="129"/>
      </rPr>
      <t>)</t>
    </r>
  </si>
  <si>
    <t>예상 에너지 절감량</t>
  </si>
  <si>
    <r>
      <t>사용량대비 절감율</t>
    </r>
    <r>
      <rPr>
        <sz val="12"/>
        <color rgb="FF000000"/>
        <rFont val="휴먼명조"/>
        <family val="3"/>
        <charset val="129"/>
      </rPr>
      <t>(%)</t>
    </r>
  </si>
  <si>
    <r>
      <t xml:space="preserve">* </t>
    </r>
    <r>
      <rPr>
        <sz val="12"/>
        <color rgb="FF000000"/>
        <rFont val="맑은 고딕"/>
        <family val="3"/>
        <charset val="129"/>
        <scheme val="minor"/>
      </rPr>
      <t>에너지</t>
    </r>
  </si>
  <si>
    <t>이산화탄소</t>
  </si>
  <si>
    <r>
      <t>(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/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</si>
  <si>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r>
      <t>(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)</t>
    </r>
  </si>
  <si>
    <t>회수</t>
  </si>
  <si>
    <t>절감효과</t>
  </si>
  <si>
    <t>저감량</t>
  </si>
  <si>
    <t>기간</t>
  </si>
  <si>
    <r>
      <t>(toe/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)</t>
    </r>
  </si>
  <si>
    <r>
      <t>(tCO2/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</si>
  <si>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t>연료</t>
  </si>
  <si>
    <t>계</t>
  </si>
  <si>
    <r>
      <t>(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</si>
  <si>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t>고효율인버터 콤프레샤로 교체</t>
  </si>
  <si>
    <r>
      <t>(toe/</t>
    </r>
    <r>
      <rPr>
        <sz val="10"/>
        <color theme="1"/>
        <rFont val="맑은 고딕"/>
        <family val="3"/>
        <charset val="129"/>
        <scheme val="minor"/>
      </rPr>
      <t>년</t>
    </r>
    <r>
      <rPr>
        <sz val="10"/>
        <color theme="1"/>
        <rFont val="휴먼명조"/>
        <family val="3"/>
        <charset val="129"/>
      </rPr>
      <t>)</t>
    </r>
  </si>
  <si>
    <r>
      <t>(MWh/</t>
    </r>
    <r>
      <rPr>
        <sz val="9"/>
        <color theme="1"/>
        <rFont val="맑은 고딕"/>
        <family val="3"/>
        <charset val="129"/>
        <scheme val="minor"/>
      </rPr>
      <t>년</t>
    </r>
    <r>
      <rPr>
        <sz val="9"/>
        <color theme="1"/>
        <rFont val="휴먼명조"/>
        <family val="3"/>
        <charset val="129"/>
      </rPr>
      <t>)</t>
    </r>
  </si>
  <si>
    <r>
      <t>(toe/</t>
    </r>
    <r>
      <rPr>
        <sz val="9"/>
        <color theme="1"/>
        <rFont val="맑은 고딕"/>
        <family val="3"/>
        <charset val="129"/>
        <scheme val="minor"/>
      </rPr>
      <t>년</t>
    </r>
    <r>
      <rPr>
        <sz val="9"/>
        <color theme="1"/>
        <rFont val="휴먼명조"/>
        <family val="3"/>
        <charset val="129"/>
      </rPr>
      <t>)</t>
    </r>
  </si>
  <si>
    <t xml:space="preserve"> * 에너지절감효과 : 절감량(toe/년) ÷ 설비구입비용(백만원)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</si>
</sst>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76" formatCode="0.00_ "/>
    <numFmt numFmtId="177" formatCode="#,##0_ "/>
    <numFmt numFmtId="178" formatCode="0_ "/>
    <numFmt numFmtId="179" formatCode="0.00_);[Red]\(0.00\)"/>
    <numFmt numFmtId="181" formatCode="0.0_ "/>
    <numFmt numFmtId="182" formatCode="#,##0.000_ "/>
    <numFmt numFmtId="183" formatCode="0.000_ "/>
    <numFmt numFmtId="184" formatCode="#,##0.00_ "/>
    <numFmt numFmtId="185" formatCode="0.000%"/>
    <numFmt numFmtId="186" formatCode="0.000_);[Red]\(0.000\)"/>
  </numFmts>
  <fonts count="4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굴림체"/>
      <family val="3"/>
      <charset val="129"/>
    </font>
    <font>
      <sz val="10"/>
      <color rgb="FF000000"/>
      <name val="굴림체"/>
      <family val="3"/>
      <charset val="129"/>
    </font>
    <font>
      <sz val="16"/>
      <color theme="1"/>
      <name val="휴먼명조"/>
      <family val="3"/>
      <charset val="129"/>
    </font>
    <font>
      <b/>
      <sz val="12"/>
      <color theme="1"/>
      <name val="휴먼명조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color theme="1"/>
      <name val="휴먼명조"/>
      <family val="3"/>
      <charset val="129"/>
    </font>
    <font>
      <sz val="8"/>
      <color theme="1"/>
      <name val="휴먼명조"/>
      <family val="3"/>
      <charset val="129"/>
    </font>
    <font>
      <sz val="9"/>
      <color theme="1"/>
      <name val="휴먼명조"/>
      <family val="3"/>
      <charset val="129"/>
    </font>
    <font>
      <sz val="11"/>
      <color theme="1"/>
      <name val="휴먼명조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휴먼명조"/>
      <family val="3"/>
      <charset val="129"/>
    </font>
    <font>
      <sz val="8"/>
      <color theme="1"/>
      <name val="맑은 고딕"/>
      <family val="3"/>
      <charset val="129"/>
      <scheme val="minor"/>
    </font>
    <font>
      <sz val="7"/>
      <color theme="1"/>
      <name val="휴먼명조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b/>
      <sz val="12"/>
      <color rgb="FF000000"/>
      <name val="굴림"/>
      <family val="3"/>
      <charset val="129"/>
    </font>
    <font>
      <b/>
      <sz val="12"/>
      <color rgb="FF000000"/>
      <name val="휴먼명조"/>
      <family val="3"/>
      <charset val="129"/>
    </font>
    <font>
      <sz val="12"/>
      <color rgb="FF000000"/>
      <name val="맑은 고딕"/>
      <family val="3"/>
      <charset val="129"/>
      <scheme val="minor"/>
    </font>
    <font>
      <sz val="12"/>
      <color rgb="FF000000"/>
      <name val="휴먼명조"/>
      <family val="3"/>
      <charset val="129"/>
    </font>
    <font>
      <sz val="10"/>
      <color rgb="FF000000"/>
      <name val="휴먼명조"/>
      <family val="3"/>
      <charset val="129"/>
    </font>
    <font>
      <sz val="10"/>
      <color theme="1"/>
      <name val="휴먼명조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휴먼명조"/>
      <family val="3"/>
      <charset val="129"/>
    </font>
    <font>
      <b/>
      <sz val="10"/>
      <color theme="1"/>
      <name val="휴먼명조"/>
      <family val="3"/>
      <charset val="129"/>
    </font>
    <font>
      <sz val="9"/>
      <color rgb="FF000000"/>
      <name val="맑은 고딕"/>
      <family val="3"/>
      <charset val="129"/>
    </font>
    <font>
      <sz val="9"/>
      <color rgb="FF000000"/>
      <name val="굴림체"/>
      <family val="3"/>
      <charset val="129"/>
    </font>
    <font>
      <sz val="6"/>
      <color rgb="FF000000"/>
      <name val="맑은 고딕"/>
      <family val="3"/>
      <charset val="129"/>
      <scheme val="minor"/>
    </font>
    <font>
      <b/>
      <sz val="6"/>
      <color rgb="FF000000"/>
      <name val="맑은 고딕"/>
      <family val="3"/>
      <charset val="129"/>
    </font>
    <font>
      <sz val="8"/>
      <color rgb="FF000000"/>
      <name val="굴림체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5E5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E0E5FA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1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3" fillId="0" borderId="0" xfId="2">
      <alignment vertical="center"/>
    </xf>
    <xf numFmtId="0" fontId="5" fillId="3" borderId="2" xfId="2" applyFont="1" applyFill="1" applyBorder="1" applyAlignment="1">
      <alignment horizontal="center" vertical="center" wrapText="1"/>
    </xf>
    <xf numFmtId="0" fontId="5" fillId="3" borderId="3" xfId="2" applyFont="1" applyFill="1" applyBorder="1" applyAlignment="1">
      <alignment horizontal="center" vertical="center" wrapText="1"/>
    </xf>
    <xf numFmtId="0" fontId="5" fillId="3" borderId="4" xfId="2" applyFont="1" applyFill="1" applyBorder="1" applyAlignment="1">
      <alignment horizontal="center" vertical="center" wrapText="1"/>
    </xf>
    <xf numFmtId="0" fontId="5" fillId="3" borderId="0" xfId="2" applyFont="1" applyFill="1" applyAlignment="1">
      <alignment horizontal="center" vertical="center" wrapText="1"/>
    </xf>
    <xf numFmtId="0" fontId="7" fillId="0" borderId="0" xfId="2" applyFont="1">
      <alignment vertical="center"/>
    </xf>
    <xf numFmtId="0" fontId="5" fillId="3" borderId="5" xfId="2" applyFont="1" applyFill="1" applyBorder="1" applyAlignment="1">
      <alignment horizontal="center" vertical="center" wrapText="1"/>
    </xf>
    <xf numFmtId="0" fontId="5" fillId="3" borderId="6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 wrapText="1"/>
    </xf>
    <xf numFmtId="0" fontId="5" fillId="3" borderId="7" xfId="2" applyFont="1" applyFill="1" applyBorder="1" applyAlignment="1">
      <alignment horizontal="center" vertical="center" wrapText="1"/>
    </xf>
    <xf numFmtId="0" fontId="5" fillId="3" borderId="1" xfId="2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justify" vertical="center" wrapText="1"/>
    </xf>
    <xf numFmtId="176" fontId="9" fillId="4" borderId="6" xfId="0" applyNumberFormat="1" applyFont="1" applyFill="1" applyBorder="1" applyAlignment="1">
      <alignment horizontal="justify" vertical="center" wrapText="1"/>
    </xf>
    <xf numFmtId="176" fontId="9" fillId="0" borderId="6" xfId="2" applyNumberFormat="1" applyFont="1" applyBorder="1" applyAlignment="1">
      <alignment horizontal="justify" vertical="center" wrapText="1"/>
    </xf>
    <xf numFmtId="41" fontId="9" fillId="0" borderId="6" xfId="3" applyFont="1" applyFill="1" applyBorder="1" applyAlignment="1">
      <alignment horizontal="left" vertical="center" wrapText="1"/>
    </xf>
    <xf numFmtId="43" fontId="9" fillId="2" borderId="6" xfId="2" applyNumberFormat="1" applyFont="1" applyFill="1" applyBorder="1" applyAlignment="1">
      <alignment horizontal="center" vertical="center" wrapText="1"/>
    </xf>
    <xf numFmtId="43" fontId="11" fillId="0" borderId="0" xfId="2" applyNumberFormat="1" applyFont="1" applyAlignment="1">
      <alignment horizontal="center" vertical="center" wrapText="1"/>
    </xf>
    <xf numFmtId="43" fontId="11" fillId="0" borderId="1" xfId="2" applyNumberFormat="1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 wrapText="1"/>
    </xf>
    <xf numFmtId="0" fontId="9" fillId="4" borderId="6" xfId="2" applyFont="1" applyFill="1" applyBorder="1" applyAlignment="1">
      <alignment horizontal="justify" vertical="center" wrapText="1"/>
    </xf>
    <xf numFmtId="0" fontId="9" fillId="4" borderId="6" xfId="2" applyFont="1" applyFill="1" applyBorder="1" applyAlignment="1">
      <alignment horizontal="center" vertical="center" wrapText="1"/>
    </xf>
    <xf numFmtId="10" fontId="9" fillId="4" borderId="6" xfId="2" applyNumberFormat="1" applyFont="1" applyFill="1" applyBorder="1" applyAlignment="1">
      <alignment horizontal="justify" vertical="center" wrapText="1"/>
    </xf>
    <xf numFmtId="176" fontId="9" fillId="4" borderId="6" xfId="2" applyNumberFormat="1" applyFont="1" applyFill="1" applyBorder="1" applyAlignment="1">
      <alignment horizontal="justify" vertical="center" wrapText="1"/>
    </xf>
    <xf numFmtId="0" fontId="9" fillId="0" borderId="6" xfId="2" applyFont="1" applyBorder="1" applyAlignment="1">
      <alignment horizontal="justify" vertical="center" wrapText="1"/>
    </xf>
    <xf numFmtId="0" fontId="9" fillId="0" borderId="6" xfId="2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43" fontId="9" fillId="0" borderId="6" xfId="2" applyNumberFormat="1" applyFont="1" applyBorder="1" applyAlignment="1">
      <alignment horizontal="center" vertical="center" wrapText="1"/>
    </xf>
    <xf numFmtId="0" fontId="12" fillId="0" borderId="6" xfId="2" applyFont="1" applyBorder="1" applyAlignment="1">
      <alignment horizontal="center" vertical="center" wrapText="1"/>
    </xf>
    <xf numFmtId="176" fontId="9" fillId="0" borderId="6" xfId="2" applyNumberFormat="1" applyFont="1" applyBorder="1" applyAlignment="1">
      <alignment horizontal="center" vertical="center" wrapText="1"/>
    </xf>
    <xf numFmtId="3" fontId="12" fillId="0" borderId="6" xfId="2" applyNumberFormat="1" applyFont="1" applyBorder="1" applyAlignment="1">
      <alignment horizontal="center" vertical="center" wrapText="1"/>
    </xf>
    <xf numFmtId="177" fontId="12" fillId="0" borderId="6" xfId="2" applyNumberFormat="1" applyFont="1" applyBorder="1" applyAlignment="1">
      <alignment horizontal="center" vertical="center" wrapText="1"/>
    </xf>
    <xf numFmtId="177" fontId="13" fillId="0" borderId="0" xfId="2" applyNumberFormat="1" applyFont="1" applyAlignment="1">
      <alignment horizontal="center" vertical="center" wrapText="1"/>
    </xf>
    <xf numFmtId="177" fontId="7" fillId="2" borderId="1" xfId="2" applyNumberFormat="1" applyFont="1" applyFill="1" applyBorder="1">
      <alignment vertical="center"/>
    </xf>
    <xf numFmtId="0" fontId="7" fillId="0" borderId="1" xfId="0" applyFont="1" applyBorder="1">
      <alignment vertical="center"/>
    </xf>
    <xf numFmtId="0" fontId="11" fillId="4" borderId="5" xfId="2" applyFont="1" applyFill="1" applyBorder="1" applyAlignment="1">
      <alignment horizontal="center" vertical="center" wrapText="1"/>
    </xf>
    <xf numFmtId="0" fontId="11" fillId="0" borderId="5" xfId="2" applyFont="1" applyBorder="1" applyAlignment="1">
      <alignment horizontal="center" vertical="center" wrapText="1"/>
    </xf>
    <xf numFmtId="0" fontId="11" fillId="2" borderId="5" xfId="2" applyFont="1" applyFill="1" applyBorder="1" applyAlignment="1">
      <alignment horizontal="center" vertical="center" wrapText="1"/>
    </xf>
    <xf numFmtId="176" fontId="11" fillId="2" borderId="5" xfId="2" applyNumberFormat="1" applyFont="1" applyFill="1" applyBorder="1" applyAlignment="1">
      <alignment horizontal="center" vertical="center" wrapText="1"/>
    </xf>
    <xf numFmtId="3" fontId="11" fillId="2" borderId="5" xfId="2" applyNumberFormat="1" applyFont="1" applyFill="1" applyBorder="1" applyAlignment="1">
      <alignment horizontal="center" vertical="center" wrapText="1"/>
    </xf>
    <xf numFmtId="178" fontId="7" fillId="0" borderId="0" xfId="2" applyNumberFormat="1" applyFont="1">
      <alignment vertical="center"/>
    </xf>
    <xf numFmtId="0" fontId="11" fillId="4" borderId="1" xfId="2" applyFont="1" applyFill="1" applyBorder="1" applyAlignment="1">
      <alignment horizontal="center" vertical="center" wrapText="1"/>
    </xf>
    <xf numFmtId="10" fontId="7" fillId="0" borderId="1" xfId="2" applyNumberFormat="1" applyFont="1" applyBorder="1" applyAlignment="1">
      <alignment horizontal="center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176" fontId="7" fillId="0" borderId="5" xfId="2" applyNumberFormat="1" applyFont="1" applyBorder="1" applyAlignment="1">
      <alignment horizontal="center" vertical="center" wrapText="1"/>
    </xf>
    <xf numFmtId="3" fontId="7" fillId="0" borderId="1" xfId="2" applyNumberFormat="1" applyFont="1" applyBorder="1" applyAlignment="1">
      <alignment horizontal="center" vertical="center" wrapText="1"/>
    </xf>
    <xf numFmtId="0" fontId="7" fillId="0" borderId="1" xfId="2" applyFont="1" applyBorder="1">
      <alignment vertical="center"/>
    </xf>
    <xf numFmtId="0" fontId="15" fillId="0" borderId="1" xfId="2" applyFont="1" applyBorder="1">
      <alignment vertical="center"/>
    </xf>
    <xf numFmtId="176" fontId="15" fillId="0" borderId="1" xfId="2" applyNumberFormat="1" applyFont="1" applyBorder="1">
      <alignment vertical="center"/>
    </xf>
    <xf numFmtId="178" fontId="15" fillId="0" borderId="1" xfId="2" applyNumberFormat="1" applyFont="1" applyBorder="1">
      <alignment vertical="center"/>
    </xf>
    <xf numFmtId="41" fontId="15" fillId="0" borderId="1" xfId="3" applyFont="1" applyBorder="1" applyAlignment="1">
      <alignment horizontal="center" vertical="center"/>
    </xf>
    <xf numFmtId="41" fontId="7" fillId="0" borderId="0" xfId="3" applyFont="1">
      <alignment vertical="center"/>
    </xf>
    <xf numFmtId="0" fontId="7" fillId="5" borderId="1" xfId="2" applyFont="1" applyFill="1" applyBorder="1">
      <alignment vertical="center"/>
    </xf>
    <xf numFmtId="177" fontId="15" fillId="2" borderId="1" xfId="2" applyNumberFormat="1" applyFont="1" applyFill="1" applyBorder="1">
      <alignment vertical="center"/>
    </xf>
    <xf numFmtId="0" fontId="5" fillId="6" borderId="5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176" fontId="3" fillId="4" borderId="0" xfId="2" applyNumberFormat="1" applyFill="1">
      <alignment vertical="center"/>
    </xf>
    <xf numFmtId="0" fontId="5" fillId="6" borderId="10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 wrapText="1"/>
    </xf>
    <xf numFmtId="176" fontId="3" fillId="2" borderId="0" xfId="2" applyNumberFormat="1" applyFill="1">
      <alignment vertical="center"/>
    </xf>
    <xf numFmtId="0" fontId="5" fillId="6" borderId="10" xfId="0" applyFont="1" applyFill="1" applyBorder="1" applyAlignment="1">
      <alignment horizontal="center" vertical="center" wrapText="1"/>
    </xf>
    <xf numFmtId="0" fontId="16" fillId="6" borderId="10" xfId="0" applyFont="1" applyFill="1" applyBorder="1" applyAlignment="1">
      <alignment horizontal="center" vertical="center" wrapText="1"/>
    </xf>
    <xf numFmtId="0" fontId="16" fillId="6" borderId="13" xfId="0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3" fillId="4" borderId="0" xfId="2" applyFill="1">
      <alignment vertical="center"/>
    </xf>
    <xf numFmtId="0" fontId="5" fillId="6" borderId="15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wrapText="1"/>
    </xf>
    <xf numFmtId="0" fontId="0" fillId="6" borderId="15" xfId="0" applyFill="1" applyBorder="1" applyAlignment="1">
      <alignment vertical="center" wrapText="1"/>
    </xf>
    <xf numFmtId="0" fontId="0" fillId="6" borderId="16" xfId="0" applyFill="1" applyBorder="1" applyAlignment="1">
      <alignment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3" fontId="17" fillId="0" borderId="18" xfId="0" applyNumberFormat="1" applyFont="1" applyBorder="1" applyAlignment="1">
      <alignment horizontal="center" vertical="center" wrapText="1"/>
    </xf>
    <xf numFmtId="177" fontId="17" fillId="0" borderId="18" xfId="0" applyNumberFormat="1" applyFont="1" applyBorder="1" applyAlignment="1">
      <alignment horizontal="right" vertical="center" wrapText="1"/>
    </xf>
    <xf numFmtId="176" fontId="17" fillId="0" borderId="20" xfId="0" applyNumberFormat="1" applyFont="1" applyBorder="1" applyAlignment="1">
      <alignment horizontal="center" vertical="center" wrapText="1"/>
    </xf>
    <xf numFmtId="0" fontId="3" fillId="2" borderId="0" xfId="2" applyFill="1">
      <alignment vertical="center"/>
    </xf>
    <xf numFmtId="0" fontId="3" fillId="0" borderId="0" xfId="2" applyAlignment="1">
      <alignment horizontal="center" vertical="center"/>
    </xf>
    <xf numFmtId="181" fontId="3" fillId="0" borderId="0" xfId="2" applyNumberFormat="1">
      <alignment vertical="center"/>
    </xf>
    <xf numFmtId="177" fontId="3" fillId="2" borderId="0" xfId="2" applyNumberFormat="1" applyFill="1">
      <alignment vertical="center"/>
    </xf>
    <xf numFmtId="41" fontId="3" fillId="2" borderId="0" xfId="2" applyNumberFormat="1" applyFill="1">
      <alignment vertical="center"/>
    </xf>
    <xf numFmtId="0" fontId="18" fillId="0" borderId="21" xfId="2" applyFont="1" applyBorder="1">
      <alignment vertical="center"/>
    </xf>
    <xf numFmtId="0" fontId="3" fillId="0" borderId="22" xfId="2" applyBorder="1">
      <alignment vertical="center"/>
    </xf>
    <xf numFmtId="0" fontId="3" fillId="0" borderId="23" xfId="2" applyBorder="1">
      <alignment vertical="center"/>
    </xf>
    <xf numFmtId="0" fontId="19" fillId="0" borderId="21" xfId="2" applyFont="1" applyBorder="1">
      <alignment vertical="center"/>
    </xf>
    <xf numFmtId="0" fontId="20" fillId="0" borderId="22" xfId="2" applyFont="1" applyBorder="1">
      <alignment vertical="center"/>
    </xf>
    <xf numFmtId="0" fontId="19" fillId="0" borderId="24" xfId="2" applyFont="1" applyBorder="1">
      <alignment vertical="center"/>
    </xf>
    <xf numFmtId="0" fontId="20" fillId="0" borderId="25" xfId="2" applyFont="1" applyBorder="1">
      <alignment vertical="center"/>
    </xf>
    <xf numFmtId="0" fontId="3" fillId="0" borderId="25" xfId="2" applyBorder="1">
      <alignment vertical="center"/>
    </xf>
    <xf numFmtId="0" fontId="3" fillId="0" borderId="26" xfId="2" applyBorder="1">
      <alignment vertical="center"/>
    </xf>
    <xf numFmtId="0" fontId="21" fillId="0" borderId="27" xfId="2" applyFont="1" applyBorder="1">
      <alignment vertical="center"/>
    </xf>
    <xf numFmtId="0" fontId="20" fillId="0" borderId="0" xfId="2" applyFont="1">
      <alignment vertical="center"/>
    </xf>
    <xf numFmtId="0" fontId="3" fillId="0" borderId="28" xfId="2" applyBorder="1">
      <alignment vertical="center"/>
    </xf>
    <xf numFmtId="0" fontId="21" fillId="0" borderId="0" xfId="2" applyFont="1">
      <alignment vertical="center"/>
    </xf>
    <xf numFmtId="0" fontId="21" fillId="0" borderId="28" xfId="2" applyFont="1" applyBorder="1">
      <alignment vertical="center"/>
    </xf>
    <xf numFmtId="0" fontId="22" fillId="2" borderId="0" xfId="2" applyFont="1" applyFill="1" applyAlignment="1">
      <alignment horizontal="center" vertical="center"/>
    </xf>
    <xf numFmtId="0" fontId="23" fillId="2" borderId="0" xfId="2" applyFont="1" applyFill="1" applyAlignment="1">
      <alignment horizontal="center" vertical="center"/>
    </xf>
    <xf numFmtId="0" fontId="24" fillId="0" borderId="0" xfId="2" applyFont="1">
      <alignment vertical="center"/>
    </xf>
    <xf numFmtId="0" fontId="24" fillId="0" borderId="28" xfId="2" applyFont="1" applyBorder="1">
      <alignment vertical="center"/>
    </xf>
    <xf numFmtId="0" fontId="21" fillId="0" borderId="27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0" borderId="29" xfId="2" applyFont="1" applyBorder="1">
      <alignment vertical="center"/>
    </xf>
    <xf numFmtId="0" fontId="21" fillId="0" borderId="0" xfId="2" quotePrefix="1" applyFont="1" applyAlignment="1">
      <alignment horizontal="center" vertical="center"/>
    </xf>
    <xf numFmtId="0" fontId="22" fillId="0" borderId="29" xfId="2" quotePrefix="1" applyFont="1" applyBorder="1" applyAlignment="1">
      <alignment horizontal="center" vertical="center"/>
    </xf>
    <xf numFmtId="0" fontId="24" fillId="0" borderId="29" xfId="2" applyFont="1" applyBorder="1">
      <alignment vertical="center"/>
    </xf>
    <xf numFmtId="0" fontId="24" fillId="0" borderId="0" xfId="2" applyFont="1" applyAlignment="1">
      <alignment horizontal="center" vertical="center"/>
    </xf>
    <xf numFmtId="10" fontId="24" fillId="0" borderId="0" xfId="2" applyNumberFormat="1" applyFont="1" applyAlignment="1">
      <alignment horizontal="center" vertical="center"/>
    </xf>
    <xf numFmtId="0" fontId="27" fillId="0" borderId="0" xfId="2" quotePrefix="1" applyFont="1" applyAlignment="1">
      <alignment horizontal="center" vertical="center"/>
    </xf>
    <xf numFmtId="0" fontId="27" fillId="0" borderId="0" xfId="2" applyFont="1" applyAlignment="1">
      <alignment horizontal="center" vertical="center"/>
    </xf>
    <xf numFmtId="41" fontId="22" fillId="2" borderId="0" xfId="1" applyFont="1" applyFill="1" applyBorder="1" applyAlignment="1">
      <alignment horizontal="center" vertical="center"/>
    </xf>
    <xf numFmtId="0" fontId="27" fillId="2" borderId="0" xfId="2" applyFont="1" applyFill="1" applyAlignment="1">
      <alignment horizontal="center" vertical="center"/>
    </xf>
    <xf numFmtId="0" fontId="24" fillId="2" borderId="0" xfId="2" applyFont="1" applyFill="1" applyAlignment="1">
      <alignment horizontal="center" vertical="center"/>
    </xf>
    <xf numFmtId="0" fontId="3" fillId="2" borderId="0" xfId="2" applyFill="1" applyAlignment="1">
      <alignment horizontal="center" vertical="center"/>
    </xf>
    <xf numFmtId="41" fontId="22" fillId="2" borderId="0" xfId="2" applyNumberFormat="1" applyFont="1" applyFill="1" applyAlignment="1">
      <alignment horizontal="center" vertical="center"/>
    </xf>
    <xf numFmtId="177" fontId="28" fillId="2" borderId="0" xfId="2" applyNumberFormat="1" applyFont="1" applyFill="1" applyAlignment="1">
      <alignment horizontal="center" vertical="center"/>
    </xf>
    <xf numFmtId="182" fontId="3" fillId="0" borderId="0" xfId="2" applyNumberFormat="1">
      <alignment vertical="center"/>
    </xf>
    <xf numFmtId="176" fontId="28" fillId="2" borderId="0" xfId="2" applyNumberFormat="1" applyFont="1" applyFill="1" applyAlignment="1">
      <alignment horizontal="center" vertical="center"/>
    </xf>
    <xf numFmtId="183" fontId="22" fillId="2" borderId="0" xfId="2" applyNumberFormat="1" applyFont="1" applyFill="1" applyAlignment="1">
      <alignment horizontal="center" vertical="center"/>
    </xf>
    <xf numFmtId="179" fontId="23" fillId="2" borderId="0" xfId="2" applyNumberFormat="1" applyFont="1" applyFill="1" applyAlignment="1">
      <alignment horizontal="center" vertical="center"/>
    </xf>
    <xf numFmtId="179" fontId="24" fillId="2" borderId="0" xfId="2" applyNumberFormat="1" applyFont="1" applyFill="1" applyAlignment="1">
      <alignment horizontal="center" vertical="center"/>
    </xf>
    <xf numFmtId="0" fontId="28" fillId="2" borderId="0" xfId="2" applyFont="1" applyFill="1" applyAlignment="1">
      <alignment horizontal="center" vertical="center"/>
    </xf>
    <xf numFmtId="177" fontId="23" fillId="2" borderId="0" xfId="2" applyNumberFormat="1" applyFont="1" applyFill="1" applyAlignment="1">
      <alignment horizontal="center" vertical="center"/>
    </xf>
    <xf numFmtId="184" fontId="3" fillId="0" borderId="0" xfId="2" applyNumberFormat="1">
      <alignment vertical="center"/>
    </xf>
    <xf numFmtId="179" fontId="27" fillId="2" borderId="0" xfId="2" applyNumberFormat="1" applyFont="1" applyFill="1" applyAlignment="1">
      <alignment horizontal="center" vertical="center"/>
    </xf>
    <xf numFmtId="179" fontId="22" fillId="2" borderId="0" xfId="2" applyNumberFormat="1" applyFont="1" applyFill="1" applyAlignment="1">
      <alignment horizontal="center" vertical="center"/>
    </xf>
    <xf numFmtId="179" fontId="21" fillId="2" borderId="0" xfId="2" applyNumberFormat="1" applyFont="1" applyFill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183" fontId="24" fillId="2" borderId="0" xfId="2" applyNumberFormat="1" applyFont="1" applyFill="1" applyAlignment="1">
      <alignment horizontal="center" vertical="center"/>
    </xf>
    <xf numFmtId="185" fontId="23" fillId="2" borderId="0" xfId="2" applyNumberFormat="1" applyFont="1" applyFill="1" applyAlignment="1">
      <alignment horizontal="center" vertical="center"/>
    </xf>
    <xf numFmtId="10" fontId="21" fillId="2" borderId="0" xfId="2" applyNumberFormat="1" applyFont="1" applyFill="1" applyAlignment="1">
      <alignment horizontal="center" vertical="center"/>
    </xf>
    <xf numFmtId="176" fontId="24" fillId="2" borderId="0" xfId="2" applyNumberFormat="1" applyFont="1" applyFill="1" applyAlignment="1">
      <alignment horizontal="center" vertical="center"/>
    </xf>
    <xf numFmtId="184" fontId="23" fillId="2" borderId="0" xfId="1" applyNumberFormat="1" applyFont="1" applyFill="1" applyBorder="1" applyAlignment="1">
      <alignment horizontal="center" vertical="center"/>
    </xf>
    <xf numFmtId="41" fontId="21" fillId="2" borderId="0" xfId="1" applyFont="1" applyFill="1" applyBorder="1" applyAlignment="1">
      <alignment horizontal="center" vertical="center"/>
    </xf>
    <xf numFmtId="176" fontId="21" fillId="2" borderId="0" xfId="2" applyNumberFormat="1" applyFont="1" applyFill="1" applyAlignment="1">
      <alignment horizontal="center" vertical="center"/>
    </xf>
    <xf numFmtId="41" fontId="24" fillId="2" borderId="0" xfId="1" applyFont="1" applyFill="1" applyBorder="1" applyAlignment="1">
      <alignment horizontal="center" vertical="center"/>
    </xf>
    <xf numFmtId="41" fontId="24" fillId="2" borderId="0" xfId="2" applyNumberFormat="1" applyFont="1" applyFill="1" applyAlignment="1">
      <alignment horizontal="center" vertical="center"/>
    </xf>
    <xf numFmtId="41" fontId="21" fillId="2" borderId="0" xfId="2" applyNumberFormat="1" applyFont="1" applyFill="1" applyAlignment="1">
      <alignment horizontal="center" vertical="center"/>
    </xf>
    <xf numFmtId="0" fontId="21" fillId="0" borderId="30" xfId="2" applyFont="1" applyBorder="1">
      <alignment vertical="center"/>
    </xf>
    <xf numFmtId="0" fontId="24" fillId="0" borderId="31" xfId="2" applyFont="1" applyBorder="1">
      <alignment vertical="center"/>
    </xf>
    <xf numFmtId="0" fontId="29" fillId="7" borderId="5" xfId="0" applyFont="1" applyFill="1" applyBorder="1" applyAlignment="1">
      <alignment horizontal="center" vertical="center" wrapText="1"/>
    </xf>
    <xf numFmtId="0" fontId="30" fillId="7" borderId="7" xfId="0" applyFont="1" applyFill="1" applyBorder="1" applyAlignment="1">
      <alignment horizontal="center" vertical="center" wrapText="1"/>
    </xf>
    <xf numFmtId="179" fontId="30" fillId="0" borderId="6" xfId="0" applyNumberFormat="1" applyFont="1" applyBorder="1" applyAlignment="1">
      <alignment horizontal="center" vertical="center" wrapText="1"/>
    </xf>
    <xf numFmtId="10" fontId="30" fillId="0" borderId="6" xfId="0" applyNumberFormat="1" applyFont="1" applyBorder="1" applyAlignment="1">
      <alignment horizontal="center" vertical="center" wrapText="1"/>
    </xf>
    <xf numFmtId="3" fontId="30" fillId="0" borderId="6" xfId="0" applyNumberFormat="1" applyFont="1" applyBorder="1" applyAlignment="1">
      <alignment horizontal="center" vertical="center" wrapText="1"/>
    </xf>
    <xf numFmtId="0" fontId="30" fillId="0" borderId="6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justify" vertical="center" wrapText="1"/>
    </xf>
    <xf numFmtId="0" fontId="29" fillId="0" borderId="3" xfId="0" applyFont="1" applyBorder="1" applyAlignment="1">
      <alignment horizontal="justify" vertical="center" wrapText="1"/>
    </xf>
    <xf numFmtId="0" fontId="29" fillId="0" borderId="4" xfId="0" applyFont="1" applyBorder="1" applyAlignment="1">
      <alignment horizontal="justify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34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0" borderId="35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32" fillId="0" borderId="7" xfId="0" applyFont="1" applyBorder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34" fillId="0" borderId="7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justify" vertical="center" wrapText="1"/>
    </xf>
    <xf numFmtId="0" fontId="7" fillId="0" borderId="5" xfId="0" applyFont="1" applyBorder="1" applyAlignment="1">
      <alignment horizontal="right" vertical="center" wrapText="1"/>
    </xf>
    <xf numFmtId="176" fontId="35" fillId="0" borderId="5" xfId="0" applyNumberFormat="1" applyFont="1" applyBorder="1" applyAlignment="1">
      <alignment horizontal="right" vertical="center" wrapText="1"/>
    </xf>
    <xf numFmtId="0" fontId="7" fillId="0" borderId="5" xfId="0" applyFont="1" applyBorder="1" applyAlignment="1">
      <alignment horizontal="justify" vertical="center" wrapText="1"/>
    </xf>
    <xf numFmtId="10" fontId="21" fillId="0" borderId="5" xfId="0" applyNumberFormat="1" applyFont="1" applyBorder="1" applyAlignment="1">
      <alignment horizontal="center" vertical="center" wrapText="1"/>
    </xf>
    <xf numFmtId="43" fontId="21" fillId="0" borderId="5" xfId="0" applyNumberFormat="1" applyFont="1" applyBorder="1" applyAlignment="1">
      <alignment horizontal="center" vertical="center" wrapText="1"/>
    </xf>
    <xf numFmtId="179" fontId="21" fillId="0" borderId="5" xfId="0" applyNumberFormat="1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186" fontId="21" fillId="0" borderId="5" xfId="0" applyNumberFormat="1" applyFont="1" applyBorder="1" applyAlignment="1">
      <alignment horizontal="center" vertical="center" wrapText="1"/>
    </xf>
    <xf numFmtId="176" fontId="21" fillId="0" borderId="5" xfId="0" applyNumberFormat="1" applyFont="1" applyBorder="1" applyAlignment="1">
      <alignment horizontal="center" vertical="center" wrapText="1"/>
    </xf>
    <xf numFmtId="0" fontId="20" fillId="0" borderId="10" xfId="0" applyFont="1" applyBorder="1" applyAlignment="1">
      <alignment horizontal="justify" vertical="center" wrapText="1"/>
    </xf>
    <xf numFmtId="0" fontId="7" fillId="0" borderId="10" xfId="0" applyFont="1" applyBorder="1" applyAlignment="1">
      <alignment horizontal="right" vertical="center" wrapText="1"/>
    </xf>
    <xf numFmtId="176" fontId="23" fillId="0" borderId="10" xfId="0" applyNumberFormat="1" applyFont="1" applyBorder="1" applyAlignment="1">
      <alignment horizontal="right" vertical="center" wrapText="1"/>
    </xf>
    <xf numFmtId="0" fontId="35" fillId="0" borderId="10" xfId="0" applyFont="1" applyBorder="1" applyAlignment="1">
      <alignment horizontal="right" vertical="center" wrapText="1"/>
    </xf>
    <xf numFmtId="0" fontId="7" fillId="0" borderId="10" xfId="0" applyFont="1" applyBorder="1" applyAlignment="1">
      <alignment horizontal="justify" vertical="center" wrapText="1"/>
    </xf>
    <xf numFmtId="0" fontId="21" fillId="0" borderId="10" xfId="0" applyFont="1" applyBorder="1" applyAlignment="1">
      <alignment horizontal="center" vertical="center" wrapText="1"/>
    </xf>
    <xf numFmtId="179" fontId="21" fillId="0" borderId="10" xfId="0" applyNumberFormat="1" applyFont="1" applyBorder="1" applyAlignment="1">
      <alignment horizontal="center" vertical="center" wrapText="1"/>
    </xf>
    <xf numFmtId="186" fontId="21" fillId="0" borderId="10" xfId="0" applyNumberFormat="1" applyFont="1" applyBorder="1" applyAlignment="1">
      <alignment horizontal="center" vertical="center" wrapText="1"/>
    </xf>
    <xf numFmtId="176" fontId="21" fillId="0" borderId="10" xfId="0" applyNumberFormat="1" applyFont="1" applyBorder="1" applyAlignment="1">
      <alignment horizontal="center" vertical="center" wrapText="1"/>
    </xf>
    <xf numFmtId="0" fontId="23" fillId="0" borderId="7" xfId="0" applyFont="1" applyBorder="1" applyAlignment="1">
      <alignment horizontal="right" vertical="center" wrapText="1"/>
    </xf>
    <xf numFmtId="176" fontId="23" fillId="0" borderId="5" xfId="0" applyNumberFormat="1" applyFont="1" applyBorder="1" applyAlignment="1">
      <alignment horizontal="right" vertical="center" wrapText="1"/>
    </xf>
    <xf numFmtId="0" fontId="20" fillId="0" borderId="7" xfId="0" applyFont="1" applyBorder="1" applyAlignment="1">
      <alignment horizontal="justify" vertical="center" wrapText="1"/>
    </xf>
    <xf numFmtId="0" fontId="7" fillId="0" borderId="7" xfId="0" applyFont="1" applyBorder="1" applyAlignment="1">
      <alignment horizontal="justify" vertical="center" wrapText="1"/>
    </xf>
    <xf numFmtId="0" fontId="21" fillId="0" borderId="7" xfId="0" applyFont="1" applyBorder="1" applyAlignment="1">
      <alignment horizontal="center" vertical="center" wrapText="1"/>
    </xf>
    <xf numFmtId="179" fontId="21" fillId="0" borderId="7" xfId="0" applyNumberFormat="1" applyFont="1" applyBorder="1" applyAlignment="1">
      <alignment horizontal="center" vertical="center" wrapText="1"/>
    </xf>
    <xf numFmtId="186" fontId="21" fillId="0" borderId="7" xfId="0" applyNumberFormat="1" applyFont="1" applyBorder="1" applyAlignment="1">
      <alignment horizontal="center" vertical="center" wrapText="1"/>
    </xf>
    <xf numFmtId="176" fontId="21" fillId="0" borderId="7" xfId="0" applyNumberFormat="1" applyFont="1" applyBorder="1" applyAlignment="1">
      <alignment horizontal="center" vertical="center" wrapText="1"/>
    </xf>
    <xf numFmtId="179" fontId="7" fillId="0" borderId="5" xfId="0" applyNumberFormat="1" applyFont="1" applyBorder="1" applyAlignment="1">
      <alignment horizontal="justify" vertical="center" wrapText="1"/>
    </xf>
    <xf numFmtId="179" fontId="7" fillId="0" borderId="10" xfId="0" applyNumberFormat="1" applyFont="1" applyBorder="1" applyAlignment="1">
      <alignment horizontal="justify" vertical="center" wrapText="1"/>
    </xf>
    <xf numFmtId="0" fontId="35" fillId="0" borderId="10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justify" vertical="center" wrapText="1"/>
    </xf>
    <xf numFmtId="179" fontId="7" fillId="0" borderId="15" xfId="0" applyNumberFormat="1" applyFont="1" applyBorder="1" applyAlignment="1">
      <alignment horizontal="justify" vertical="center" wrapText="1"/>
    </xf>
    <xf numFmtId="0" fontId="20" fillId="0" borderId="40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right" vertical="center" wrapText="1"/>
    </xf>
    <xf numFmtId="176" fontId="37" fillId="0" borderId="40" xfId="0" applyNumberFormat="1" applyFont="1" applyBorder="1" applyAlignment="1">
      <alignment horizontal="right" vertical="center" wrapText="1"/>
    </xf>
    <xf numFmtId="176" fontId="38" fillId="0" borderId="40" xfId="0" applyNumberFormat="1" applyFont="1" applyBorder="1" applyAlignment="1">
      <alignment horizontal="right" vertical="center" wrapText="1"/>
    </xf>
    <xf numFmtId="0" fontId="7" fillId="0" borderId="40" xfId="0" applyFont="1" applyBorder="1" applyAlignment="1">
      <alignment horizontal="justify" vertical="center" wrapText="1"/>
    </xf>
    <xf numFmtId="10" fontId="19" fillId="0" borderId="40" xfId="0" applyNumberFormat="1" applyFont="1" applyBorder="1" applyAlignment="1">
      <alignment horizontal="center" vertical="center" wrapText="1"/>
    </xf>
    <xf numFmtId="43" fontId="19" fillId="0" borderId="40" xfId="0" applyNumberFormat="1" applyFont="1" applyBorder="1" applyAlignment="1">
      <alignment horizontal="center" vertical="center" wrapText="1"/>
    </xf>
    <xf numFmtId="179" fontId="19" fillId="0" borderId="40" xfId="0" applyNumberFormat="1" applyFont="1" applyBorder="1" applyAlignment="1">
      <alignment horizontal="center" vertical="center" wrapText="1"/>
    </xf>
    <xf numFmtId="176" fontId="19" fillId="0" borderId="40" xfId="0" applyNumberFormat="1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right" vertical="center" wrapText="1"/>
    </xf>
    <xf numFmtId="0" fontId="19" fillId="0" borderId="10" xfId="0" applyFont="1" applyBorder="1" applyAlignment="1">
      <alignment horizontal="center" vertical="center" wrapText="1"/>
    </xf>
    <xf numFmtId="179" fontId="19" fillId="0" borderId="10" xfId="0" applyNumberFormat="1" applyFont="1" applyBorder="1" applyAlignment="1">
      <alignment horizontal="center" vertical="center" wrapText="1"/>
    </xf>
    <xf numFmtId="176" fontId="19" fillId="0" borderId="10" xfId="0" applyNumberFormat="1" applyFont="1" applyBorder="1" applyAlignment="1">
      <alignment horizontal="center" vertical="center" wrapText="1"/>
    </xf>
    <xf numFmtId="176" fontId="37" fillId="0" borderId="10" xfId="0" applyNumberFormat="1" applyFont="1" applyBorder="1" applyAlignment="1">
      <alignment horizontal="right" vertical="center" wrapText="1"/>
    </xf>
    <xf numFmtId="0" fontId="20" fillId="0" borderId="7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179" fontId="19" fillId="0" borderId="7" xfId="0" applyNumberFormat="1" applyFont="1" applyBorder="1" applyAlignment="1">
      <alignment horizontal="center" vertical="center" wrapText="1"/>
    </xf>
    <xf numFmtId="176" fontId="19" fillId="0" borderId="7" xfId="0" applyNumberFormat="1" applyFont="1" applyBorder="1" applyAlignment="1">
      <alignment horizontal="center" vertical="center" wrapText="1"/>
    </xf>
    <xf numFmtId="176" fontId="10" fillId="2" borderId="6" xfId="0" applyNumberFormat="1" applyFont="1" applyFill="1" applyBorder="1" applyAlignment="1">
      <alignment horizontal="justify" vertical="center" wrapText="1"/>
    </xf>
    <xf numFmtId="179" fontId="9" fillId="0" borderId="6" xfId="2" applyNumberFormat="1" applyFont="1" applyBorder="1" applyAlignment="1">
      <alignment horizontal="center" vertical="center" wrapText="1"/>
    </xf>
    <xf numFmtId="179" fontId="11" fillId="2" borderId="5" xfId="2" applyNumberFormat="1" applyFont="1" applyFill="1" applyBorder="1" applyAlignment="1">
      <alignment horizontal="center" vertical="center" wrapText="1"/>
    </xf>
    <xf numFmtId="179" fontId="7" fillId="0" borderId="0" xfId="9" applyNumberFormat="1" applyFont="1">
      <alignment vertical="center"/>
    </xf>
    <xf numFmtId="179" fontId="3" fillId="2" borderId="0" xfId="2" applyNumberFormat="1" applyFill="1">
      <alignment vertical="center"/>
    </xf>
    <xf numFmtId="179" fontId="9" fillId="4" borderId="6" xfId="9" applyNumberFormat="1" applyFont="1" applyFill="1" applyBorder="1" applyAlignment="1">
      <alignment horizontal="justify" vertical="center" wrapText="1"/>
    </xf>
    <xf numFmtId="43" fontId="39" fillId="2" borderId="6" xfId="2" applyNumberFormat="1" applyFont="1" applyFill="1" applyBorder="1" applyAlignment="1">
      <alignment horizontal="center" vertical="center" wrapText="1"/>
    </xf>
    <xf numFmtId="3" fontId="40" fillId="0" borderId="18" xfId="0" applyNumberFormat="1" applyFont="1" applyBorder="1" applyAlignment="1">
      <alignment horizontal="right" vertical="center" wrapText="1"/>
    </xf>
    <xf numFmtId="41" fontId="3" fillId="2" borderId="0" xfId="1" applyFont="1" applyFill="1">
      <alignment vertical="center"/>
    </xf>
    <xf numFmtId="3" fontId="40" fillId="0" borderId="19" xfId="0" applyNumberFormat="1" applyFont="1" applyBorder="1" applyAlignment="1">
      <alignment horizontal="right" vertical="center" wrapText="1"/>
    </xf>
    <xf numFmtId="43" fontId="41" fillId="0" borderId="0" xfId="2" applyNumberFormat="1" applyFont="1" applyAlignment="1">
      <alignment horizontal="center" vertical="center" wrapText="1"/>
    </xf>
    <xf numFmtId="176" fontId="39" fillId="0" borderId="6" xfId="2" applyNumberFormat="1" applyFont="1" applyBorder="1" applyAlignment="1">
      <alignment horizontal="justify" vertical="center" wrapText="1"/>
    </xf>
    <xf numFmtId="176" fontId="42" fillId="0" borderId="6" xfId="2" applyNumberFormat="1" applyFont="1" applyBorder="1" applyAlignment="1">
      <alignment horizontal="center" vertical="center" wrapText="1"/>
    </xf>
    <xf numFmtId="177" fontId="7" fillId="2" borderId="0" xfId="2" applyNumberFormat="1" applyFont="1" applyFill="1" applyAlignment="1">
      <alignment horizontal="center" vertical="center"/>
    </xf>
    <xf numFmtId="176" fontId="43" fillId="0" borderId="18" xfId="0" applyNumberFormat="1" applyFont="1" applyBorder="1" applyAlignment="1">
      <alignment horizontal="center" vertical="center" wrapText="1"/>
    </xf>
  </cellXfs>
  <cellStyles count="12">
    <cellStyle name="백분율" xfId="9" builtinId="5"/>
    <cellStyle name="쉼표 [0]" xfId="1" builtinId="6"/>
    <cellStyle name="쉼표 [0] 2" xfId="3" xr:uid="{00000000-0005-0000-0000-000001000000}"/>
    <cellStyle name="쉼표 [0] 2 2" xfId="11" xr:uid="{7B1E078E-59C1-4D2F-8BC0-773D69CF72B4}"/>
    <cellStyle name="쉼표 [0] 3" xfId="10" xr:uid="{078A2BE0-6CA7-4629-B4DE-78E41FB5F1D7}"/>
    <cellStyle name="표준" xfId="0" builtinId="0"/>
    <cellStyle name="표준 2" xfId="2" xr:uid="{00000000-0005-0000-0000-000004000000}"/>
    <cellStyle name="표준 3" xfId="4" xr:uid="{00000000-0005-0000-0000-000006000000}"/>
    <cellStyle name="표준 3 2" xfId="5" xr:uid="{00000000-0005-0000-0000-000007000000}"/>
    <cellStyle name="표준 3 3" xfId="6" xr:uid="{00000000-0005-0000-0000-000008000000}"/>
    <cellStyle name="표준 4" xfId="7" xr:uid="{00000000-0005-0000-0000-000009000000}"/>
    <cellStyle name="표준 5" xfId="8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510540</xdr:colOff>
      <xdr:row>0</xdr:row>
      <xdr:rowOff>121920</xdr:rowOff>
    </xdr:from>
    <xdr:to>
      <xdr:col>25</xdr:col>
      <xdr:colOff>426720</xdr:colOff>
      <xdr:row>16</xdr:row>
      <xdr:rowOff>1694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870ABF3-38B8-46A5-97F7-2250FEBBB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59940" y="121920"/>
          <a:ext cx="5859780" cy="346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617220</xdr:colOff>
      <xdr:row>0</xdr:row>
      <xdr:rowOff>175260</xdr:rowOff>
    </xdr:from>
    <xdr:to>
      <xdr:col>25</xdr:col>
      <xdr:colOff>190500</xdr:colOff>
      <xdr:row>2</xdr:row>
      <xdr:rowOff>129540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EE02CBBA-C747-475E-A44B-51CDB12A2696}"/>
            </a:ext>
          </a:extLst>
        </xdr:cNvPr>
        <xdr:cNvSpPr/>
      </xdr:nvSpPr>
      <xdr:spPr>
        <a:xfrm>
          <a:off x="18905220" y="175260"/>
          <a:ext cx="1592580" cy="38608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36</xdr:row>
          <xdr:rowOff>139700</xdr:rowOff>
        </xdr:from>
        <xdr:to>
          <xdr:col>5</xdr:col>
          <xdr:colOff>139700</xdr:colOff>
          <xdr:row>41</xdr:row>
          <xdr:rowOff>44450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프린트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미리보고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프린트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expose/190828%20&#53092;&#54532;&#47112;&#49380;%20Excel%20Sheet(&#44305;&#49457;&#50976;&#47532;&#49328;&#50629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력단가"/>
      <sheetName val="1호 전력측정"/>
      <sheetName val="(1호)Graph"/>
      <sheetName val="2호 전력측정"/>
      <sheetName val="(2호)Graph"/>
      <sheetName val="산출서"/>
      <sheetName val="기대효과"/>
      <sheetName val="예상에너지 절감량"/>
      <sheetName val="tCO2-eq"/>
    </sheetNames>
    <sheetDataSet>
      <sheetData sheetId="0">
        <row r="18">
          <cell r="G18">
            <v>183.14273554840383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9">
          <cell r="L9">
            <v>67.31</v>
          </cell>
        </row>
        <row r="16">
          <cell r="L16">
            <v>52.62</v>
          </cell>
        </row>
        <row r="20">
          <cell r="Q20">
            <v>183.14273554840383</v>
          </cell>
        </row>
        <row r="22">
          <cell r="Q22">
            <v>30</v>
          </cell>
        </row>
        <row r="26">
          <cell r="Q26">
            <v>12</v>
          </cell>
        </row>
        <row r="27">
          <cell r="Q27">
            <v>25</v>
          </cell>
        </row>
        <row r="28">
          <cell r="Q28">
            <v>12</v>
          </cell>
        </row>
        <row r="29">
          <cell r="Q29">
            <v>3600</v>
          </cell>
        </row>
      </sheetData>
      <sheetData sheetId="6">
        <row r="28">
          <cell r="X28">
            <v>52884</v>
          </cell>
        </row>
        <row r="30">
          <cell r="AD30">
            <v>12.109520000000002</v>
          </cell>
        </row>
        <row r="34">
          <cell r="AH34">
            <v>0.21822743855131319</v>
          </cell>
        </row>
        <row r="38">
          <cell r="J38">
            <v>9685.3204267417877</v>
          </cell>
        </row>
        <row r="43">
          <cell r="L43">
            <v>24.605064000000002</v>
          </cell>
        </row>
        <row r="45">
          <cell r="H45">
            <v>30000</v>
          </cell>
        </row>
        <row r="48">
          <cell r="Y48">
            <v>3.1</v>
          </cell>
        </row>
      </sheetData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34D7A-E9D8-4DBD-86A9-8F0629C6E036}">
  <sheetPr codeName="Sheet48"/>
  <dimension ref="A1"/>
  <sheetViews>
    <sheetView workbookViewId="0"/>
    <sheetView tabSelected="1" workbookViewId="1">
      <selection activeCell="M11" sqref="M11"/>
    </sheetView>
  </sheetViews>
  <sheetFormatPr defaultRowHeight="17"/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0B63D-D42A-4A5C-AE55-2ABDF0DC677E}">
  <sheetPr codeName="Sheet49"/>
  <dimension ref="A1"/>
  <sheetViews>
    <sheetView workbookViewId="0"/>
    <sheetView workbookViewId="1"/>
  </sheetViews>
  <sheetFormatPr defaultRowHeight="17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4EA0-86F9-4BAC-95C7-7C47C032488B}">
  <sheetPr codeName="Sheet15">
    <pageSetUpPr fitToPage="1"/>
  </sheetPr>
  <dimension ref="A2:Q32"/>
  <sheetViews>
    <sheetView tabSelected="1" workbookViewId="0">
      <selection activeCell="N24" sqref="N24"/>
    </sheetView>
    <sheetView zoomScaleNormal="100" workbookViewId="1">
      <selection activeCell="K34" sqref="K34"/>
    </sheetView>
  </sheetViews>
  <sheetFormatPr defaultRowHeight="17"/>
  <cols>
    <col min="1" max="1" width="10" style="1" customWidth="1"/>
    <col min="2" max="2" width="8.75" style="1" customWidth="1"/>
    <col min="3" max="3" width="6.25" style="1" customWidth="1"/>
    <col min="4" max="4" width="11.6640625" style="1" customWidth="1"/>
    <col min="5" max="5" width="8.08203125" style="1" customWidth="1"/>
    <col min="6" max="6" width="13.08203125" style="1" customWidth="1"/>
    <col min="7" max="7" width="15.25" style="1" customWidth="1"/>
    <col min="8" max="8" width="9.25" style="1" customWidth="1"/>
    <col min="9" max="9" width="9.9140625" style="1" customWidth="1"/>
    <col min="10" max="10" width="8.1640625" style="1" customWidth="1"/>
    <col min="11" max="11" width="10.08203125" style="1" customWidth="1"/>
    <col min="12" max="12" width="12.33203125" style="1" customWidth="1"/>
    <col min="13" max="13" width="13.58203125" style="1" customWidth="1"/>
    <col min="14" max="14" width="8.6640625" style="1"/>
    <col min="15" max="15" width="12.1640625" style="1" customWidth="1"/>
    <col min="16" max="16" width="11.9140625" style="1" customWidth="1"/>
    <col min="17" max="255" width="8.6640625" style="1"/>
    <col min="256" max="256" width="4.1640625" style="1" customWidth="1"/>
    <col min="257" max="257" width="13.9140625" style="1" customWidth="1"/>
    <col min="258" max="261" width="8.9140625" style="1" bestFit="1" customWidth="1"/>
    <col min="262" max="262" width="9.9140625" style="1" bestFit="1" customWidth="1"/>
    <col min="263" max="265" width="8.9140625" style="1" bestFit="1" customWidth="1"/>
    <col min="266" max="266" width="9.9140625" style="1" bestFit="1" customWidth="1"/>
    <col min="267" max="267" width="8.9140625" style="1" bestFit="1" customWidth="1"/>
    <col min="268" max="268" width="12.08203125" style="1" bestFit="1" customWidth="1"/>
    <col min="269" max="269" width="12.08203125" style="1" customWidth="1"/>
    <col min="270" max="270" width="8.6640625" style="1"/>
    <col min="271" max="271" width="12.1640625" style="1" customWidth="1"/>
    <col min="272" max="272" width="11.9140625" style="1" customWidth="1"/>
    <col min="273" max="511" width="8.6640625" style="1"/>
    <col min="512" max="512" width="4.1640625" style="1" customWidth="1"/>
    <col min="513" max="513" width="13.9140625" style="1" customWidth="1"/>
    <col min="514" max="517" width="8.9140625" style="1" bestFit="1" customWidth="1"/>
    <col min="518" max="518" width="9.9140625" style="1" bestFit="1" customWidth="1"/>
    <col min="519" max="521" width="8.9140625" style="1" bestFit="1" customWidth="1"/>
    <col min="522" max="522" width="9.9140625" style="1" bestFit="1" customWidth="1"/>
    <col min="523" max="523" width="8.9140625" style="1" bestFit="1" customWidth="1"/>
    <col min="524" max="524" width="12.08203125" style="1" bestFit="1" customWidth="1"/>
    <col min="525" max="525" width="12.08203125" style="1" customWidth="1"/>
    <col min="526" max="526" width="8.6640625" style="1"/>
    <col min="527" max="527" width="12.1640625" style="1" customWidth="1"/>
    <col min="528" max="528" width="11.9140625" style="1" customWidth="1"/>
    <col min="529" max="767" width="8.6640625" style="1"/>
    <col min="768" max="768" width="4.1640625" style="1" customWidth="1"/>
    <col min="769" max="769" width="13.9140625" style="1" customWidth="1"/>
    <col min="770" max="773" width="8.9140625" style="1" bestFit="1" customWidth="1"/>
    <col min="774" max="774" width="9.9140625" style="1" bestFit="1" customWidth="1"/>
    <col min="775" max="777" width="8.9140625" style="1" bestFit="1" customWidth="1"/>
    <col min="778" max="778" width="9.9140625" style="1" bestFit="1" customWidth="1"/>
    <col min="779" max="779" width="8.9140625" style="1" bestFit="1" customWidth="1"/>
    <col min="780" max="780" width="12.08203125" style="1" bestFit="1" customWidth="1"/>
    <col min="781" max="781" width="12.08203125" style="1" customWidth="1"/>
    <col min="782" max="782" width="8.6640625" style="1"/>
    <col min="783" max="783" width="12.1640625" style="1" customWidth="1"/>
    <col min="784" max="784" width="11.9140625" style="1" customWidth="1"/>
    <col min="785" max="1023" width="8.6640625" style="1"/>
    <col min="1024" max="1024" width="4.1640625" style="1" customWidth="1"/>
    <col min="1025" max="1025" width="13.9140625" style="1" customWidth="1"/>
    <col min="1026" max="1029" width="8.9140625" style="1" bestFit="1" customWidth="1"/>
    <col min="1030" max="1030" width="9.9140625" style="1" bestFit="1" customWidth="1"/>
    <col min="1031" max="1033" width="8.9140625" style="1" bestFit="1" customWidth="1"/>
    <col min="1034" max="1034" width="9.9140625" style="1" bestFit="1" customWidth="1"/>
    <col min="1035" max="1035" width="8.9140625" style="1" bestFit="1" customWidth="1"/>
    <col min="1036" max="1036" width="12.08203125" style="1" bestFit="1" customWidth="1"/>
    <col min="1037" max="1037" width="12.08203125" style="1" customWidth="1"/>
    <col min="1038" max="1038" width="8.6640625" style="1"/>
    <col min="1039" max="1039" width="12.1640625" style="1" customWidth="1"/>
    <col min="1040" max="1040" width="11.9140625" style="1" customWidth="1"/>
    <col min="1041" max="1279" width="8.6640625" style="1"/>
    <col min="1280" max="1280" width="4.1640625" style="1" customWidth="1"/>
    <col min="1281" max="1281" width="13.9140625" style="1" customWidth="1"/>
    <col min="1282" max="1285" width="8.9140625" style="1" bestFit="1" customWidth="1"/>
    <col min="1286" max="1286" width="9.9140625" style="1" bestFit="1" customWidth="1"/>
    <col min="1287" max="1289" width="8.9140625" style="1" bestFit="1" customWidth="1"/>
    <col min="1290" max="1290" width="9.9140625" style="1" bestFit="1" customWidth="1"/>
    <col min="1291" max="1291" width="8.9140625" style="1" bestFit="1" customWidth="1"/>
    <col min="1292" max="1292" width="12.08203125" style="1" bestFit="1" customWidth="1"/>
    <col min="1293" max="1293" width="12.08203125" style="1" customWidth="1"/>
    <col min="1294" max="1294" width="8.6640625" style="1"/>
    <col min="1295" max="1295" width="12.1640625" style="1" customWidth="1"/>
    <col min="1296" max="1296" width="11.9140625" style="1" customWidth="1"/>
    <col min="1297" max="1535" width="8.6640625" style="1"/>
    <col min="1536" max="1536" width="4.1640625" style="1" customWidth="1"/>
    <col min="1537" max="1537" width="13.9140625" style="1" customWidth="1"/>
    <col min="1538" max="1541" width="8.9140625" style="1" bestFit="1" customWidth="1"/>
    <col min="1542" max="1542" width="9.9140625" style="1" bestFit="1" customWidth="1"/>
    <col min="1543" max="1545" width="8.9140625" style="1" bestFit="1" customWidth="1"/>
    <col min="1546" max="1546" width="9.9140625" style="1" bestFit="1" customWidth="1"/>
    <col min="1547" max="1547" width="8.9140625" style="1" bestFit="1" customWidth="1"/>
    <col min="1548" max="1548" width="12.08203125" style="1" bestFit="1" customWidth="1"/>
    <col min="1549" max="1549" width="12.08203125" style="1" customWidth="1"/>
    <col min="1550" max="1550" width="8.6640625" style="1"/>
    <col min="1551" max="1551" width="12.1640625" style="1" customWidth="1"/>
    <col min="1552" max="1552" width="11.9140625" style="1" customWidth="1"/>
    <col min="1553" max="1791" width="8.6640625" style="1"/>
    <col min="1792" max="1792" width="4.1640625" style="1" customWidth="1"/>
    <col min="1793" max="1793" width="13.9140625" style="1" customWidth="1"/>
    <col min="1794" max="1797" width="8.9140625" style="1" bestFit="1" customWidth="1"/>
    <col min="1798" max="1798" width="9.9140625" style="1" bestFit="1" customWidth="1"/>
    <col min="1799" max="1801" width="8.9140625" style="1" bestFit="1" customWidth="1"/>
    <col min="1802" max="1802" width="9.9140625" style="1" bestFit="1" customWidth="1"/>
    <col min="1803" max="1803" width="8.9140625" style="1" bestFit="1" customWidth="1"/>
    <col min="1804" max="1804" width="12.08203125" style="1" bestFit="1" customWidth="1"/>
    <col min="1805" max="1805" width="12.08203125" style="1" customWidth="1"/>
    <col min="1806" max="1806" width="8.6640625" style="1"/>
    <col min="1807" max="1807" width="12.1640625" style="1" customWidth="1"/>
    <col min="1808" max="1808" width="11.9140625" style="1" customWidth="1"/>
    <col min="1809" max="2047" width="8.6640625" style="1"/>
    <col min="2048" max="2048" width="4.1640625" style="1" customWidth="1"/>
    <col min="2049" max="2049" width="13.9140625" style="1" customWidth="1"/>
    <col min="2050" max="2053" width="8.9140625" style="1" bestFit="1" customWidth="1"/>
    <col min="2054" max="2054" width="9.9140625" style="1" bestFit="1" customWidth="1"/>
    <col min="2055" max="2057" width="8.9140625" style="1" bestFit="1" customWidth="1"/>
    <col min="2058" max="2058" width="9.9140625" style="1" bestFit="1" customWidth="1"/>
    <col min="2059" max="2059" width="8.9140625" style="1" bestFit="1" customWidth="1"/>
    <col min="2060" max="2060" width="12.08203125" style="1" bestFit="1" customWidth="1"/>
    <col min="2061" max="2061" width="12.08203125" style="1" customWidth="1"/>
    <col min="2062" max="2062" width="8.6640625" style="1"/>
    <col min="2063" max="2063" width="12.1640625" style="1" customWidth="1"/>
    <col min="2064" max="2064" width="11.9140625" style="1" customWidth="1"/>
    <col min="2065" max="2303" width="8.6640625" style="1"/>
    <col min="2304" max="2304" width="4.1640625" style="1" customWidth="1"/>
    <col min="2305" max="2305" width="13.9140625" style="1" customWidth="1"/>
    <col min="2306" max="2309" width="8.9140625" style="1" bestFit="1" customWidth="1"/>
    <col min="2310" max="2310" width="9.9140625" style="1" bestFit="1" customWidth="1"/>
    <col min="2311" max="2313" width="8.9140625" style="1" bestFit="1" customWidth="1"/>
    <col min="2314" max="2314" width="9.9140625" style="1" bestFit="1" customWidth="1"/>
    <col min="2315" max="2315" width="8.9140625" style="1" bestFit="1" customWidth="1"/>
    <col min="2316" max="2316" width="12.08203125" style="1" bestFit="1" customWidth="1"/>
    <col min="2317" max="2317" width="12.08203125" style="1" customWidth="1"/>
    <col min="2318" max="2318" width="8.6640625" style="1"/>
    <col min="2319" max="2319" width="12.1640625" style="1" customWidth="1"/>
    <col min="2320" max="2320" width="11.9140625" style="1" customWidth="1"/>
    <col min="2321" max="2559" width="8.6640625" style="1"/>
    <col min="2560" max="2560" width="4.1640625" style="1" customWidth="1"/>
    <col min="2561" max="2561" width="13.9140625" style="1" customWidth="1"/>
    <col min="2562" max="2565" width="8.9140625" style="1" bestFit="1" customWidth="1"/>
    <col min="2566" max="2566" width="9.9140625" style="1" bestFit="1" customWidth="1"/>
    <col min="2567" max="2569" width="8.9140625" style="1" bestFit="1" customWidth="1"/>
    <col min="2570" max="2570" width="9.9140625" style="1" bestFit="1" customWidth="1"/>
    <col min="2571" max="2571" width="8.9140625" style="1" bestFit="1" customWidth="1"/>
    <col min="2572" max="2572" width="12.08203125" style="1" bestFit="1" customWidth="1"/>
    <col min="2573" max="2573" width="12.08203125" style="1" customWidth="1"/>
    <col min="2574" max="2574" width="8.6640625" style="1"/>
    <col min="2575" max="2575" width="12.1640625" style="1" customWidth="1"/>
    <col min="2576" max="2576" width="11.9140625" style="1" customWidth="1"/>
    <col min="2577" max="2815" width="8.6640625" style="1"/>
    <col min="2816" max="2816" width="4.1640625" style="1" customWidth="1"/>
    <col min="2817" max="2817" width="13.9140625" style="1" customWidth="1"/>
    <col min="2818" max="2821" width="8.9140625" style="1" bestFit="1" customWidth="1"/>
    <col min="2822" max="2822" width="9.9140625" style="1" bestFit="1" customWidth="1"/>
    <col min="2823" max="2825" width="8.9140625" style="1" bestFit="1" customWidth="1"/>
    <col min="2826" max="2826" width="9.9140625" style="1" bestFit="1" customWidth="1"/>
    <col min="2827" max="2827" width="8.9140625" style="1" bestFit="1" customWidth="1"/>
    <col min="2828" max="2828" width="12.08203125" style="1" bestFit="1" customWidth="1"/>
    <col min="2829" max="2829" width="12.08203125" style="1" customWidth="1"/>
    <col min="2830" max="2830" width="8.6640625" style="1"/>
    <col min="2831" max="2831" width="12.1640625" style="1" customWidth="1"/>
    <col min="2832" max="2832" width="11.9140625" style="1" customWidth="1"/>
    <col min="2833" max="3071" width="8.6640625" style="1"/>
    <col min="3072" max="3072" width="4.1640625" style="1" customWidth="1"/>
    <col min="3073" max="3073" width="13.9140625" style="1" customWidth="1"/>
    <col min="3074" max="3077" width="8.9140625" style="1" bestFit="1" customWidth="1"/>
    <col min="3078" max="3078" width="9.9140625" style="1" bestFit="1" customWidth="1"/>
    <col min="3079" max="3081" width="8.9140625" style="1" bestFit="1" customWidth="1"/>
    <col min="3082" max="3082" width="9.9140625" style="1" bestFit="1" customWidth="1"/>
    <col min="3083" max="3083" width="8.9140625" style="1" bestFit="1" customWidth="1"/>
    <col min="3084" max="3084" width="12.08203125" style="1" bestFit="1" customWidth="1"/>
    <col min="3085" max="3085" width="12.08203125" style="1" customWidth="1"/>
    <col min="3086" max="3086" width="8.6640625" style="1"/>
    <col min="3087" max="3087" width="12.1640625" style="1" customWidth="1"/>
    <col min="3088" max="3088" width="11.9140625" style="1" customWidth="1"/>
    <col min="3089" max="3327" width="8.6640625" style="1"/>
    <col min="3328" max="3328" width="4.1640625" style="1" customWidth="1"/>
    <col min="3329" max="3329" width="13.9140625" style="1" customWidth="1"/>
    <col min="3330" max="3333" width="8.9140625" style="1" bestFit="1" customWidth="1"/>
    <col min="3334" max="3334" width="9.9140625" style="1" bestFit="1" customWidth="1"/>
    <col min="3335" max="3337" width="8.9140625" style="1" bestFit="1" customWidth="1"/>
    <col min="3338" max="3338" width="9.9140625" style="1" bestFit="1" customWidth="1"/>
    <col min="3339" max="3339" width="8.9140625" style="1" bestFit="1" customWidth="1"/>
    <col min="3340" max="3340" width="12.08203125" style="1" bestFit="1" customWidth="1"/>
    <col min="3341" max="3341" width="12.08203125" style="1" customWidth="1"/>
    <col min="3342" max="3342" width="8.6640625" style="1"/>
    <col min="3343" max="3343" width="12.1640625" style="1" customWidth="1"/>
    <col min="3344" max="3344" width="11.9140625" style="1" customWidth="1"/>
    <col min="3345" max="3583" width="8.6640625" style="1"/>
    <col min="3584" max="3584" width="4.1640625" style="1" customWidth="1"/>
    <col min="3585" max="3585" width="13.9140625" style="1" customWidth="1"/>
    <col min="3586" max="3589" width="8.9140625" style="1" bestFit="1" customWidth="1"/>
    <col min="3590" max="3590" width="9.9140625" style="1" bestFit="1" customWidth="1"/>
    <col min="3591" max="3593" width="8.9140625" style="1" bestFit="1" customWidth="1"/>
    <col min="3594" max="3594" width="9.9140625" style="1" bestFit="1" customWidth="1"/>
    <col min="3595" max="3595" width="8.9140625" style="1" bestFit="1" customWidth="1"/>
    <col min="3596" max="3596" width="12.08203125" style="1" bestFit="1" customWidth="1"/>
    <col min="3597" max="3597" width="12.08203125" style="1" customWidth="1"/>
    <col min="3598" max="3598" width="8.6640625" style="1"/>
    <col min="3599" max="3599" width="12.1640625" style="1" customWidth="1"/>
    <col min="3600" max="3600" width="11.9140625" style="1" customWidth="1"/>
    <col min="3601" max="3839" width="8.6640625" style="1"/>
    <col min="3840" max="3840" width="4.1640625" style="1" customWidth="1"/>
    <col min="3841" max="3841" width="13.9140625" style="1" customWidth="1"/>
    <col min="3842" max="3845" width="8.9140625" style="1" bestFit="1" customWidth="1"/>
    <col min="3846" max="3846" width="9.9140625" style="1" bestFit="1" customWidth="1"/>
    <col min="3847" max="3849" width="8.9140625" style="1" bestFit="1" customWidth="1"/>
    <col min="3850" max="3850" width="9.9140625" style="1" bestFit="1" customWidth="1"/>
    <col min="3851" max="3851" width="8.9140625" style="1" bestFit="1" customWidth="1"/>
    <col min="3852" max="3852" width="12.08203125" style="1" bestFit="1" customWidth="1"/>
    <col min="3853" max="3853" width="12.08203125" style="1" customWidth="1"/>
    <col min="3854" max="3854" width="8.6640625" style="1"/>
    <col min="3855" max="3855" width="12.1640625" style="1" customWidth="1"/>
    <col min="3856" max="3856" width="11.9140625" style="1" customWidth="1"/>
    <col min="3857" max="4095" width="8.6640625" style="1"/>
    <col min="4096" max="4096" width="4.1640625" style="1" customWidth="1"/>
    <col min="4097" max="4097" width="13.9140625" style="1" customWidth="1"/>
    <col min="4098" max="4101" width="8.9140625" style="1" bestFit="1" customWidth="1"/>
    <col min="4102" max="4102" width="9.9140625" style="1" bestFit="1" customWidth="1"/>
    <col min="4103" max="4105" width="8.9140625" style="1" bestFit="1" customWidth="1"/>
    <col min="4106" max="4106" width="9.9140625" style="1" bestFit="1" customWidth="1"/>
    <col min="4107" max="4107" width="8.9140625" style="1" bestFit="1" customWidth="1"/>
    <col min="4108" max="4108" width="12.08203125" style="1" bestFit="1" customWidth="1"/>
    <col min="4109" max="4109" width="12.08203125" style="1" customWidth="1"/>
    <col min="4110" max="4110" width="8.6640625" style="1"/>
    <col min="4111" max="4111" width="12.1640625" style="1" customWidth="1"/>
    <col min="4112" max="4112" width="11.9140625" style="1" customWidth="1"/>
    <col min="4113" max="4351" width="8.6640625" style="1"/>
    <col min="4352" max="4352" width="4.1640625" style="1" customWidth="1"/>
    <col min="4353" max="4353" width="13.9140625" style="1" customWidth="1"/>
    <col min="4354" max="4357" width="8.9140625" style="1" bestFit="1" customWidth="1"/>
    <col min="4358" max="4358" width="9.9140625" style="1" bestFit="1" customWidth="1"/>
    <col min="4359" max="4361" width="8.9140625" style="1" bestFit="1" customWidth="1"/>
    <col min="4362" max="4362" width="9.9140625" style="1" bestFit="1" customWidth="1"/>
    <col min="4363" max="4363" width="8.9140625" style="1" bestFit="1" customWidth="1"/>
    <col min="4364" max="4364" width="12.08203125" style="1" bestFit="1" customWidth="1"/>
    <col min="4365" max="4365" width="12.08203125" style="1" customWidth="1"/>
    <col min="4366" max="4366" width="8.6640625" style="1"/>
    <col min="4367" max="4367" width="12.1640625" style="1" customWidth="1"/>
    <col min="4368" max="4368" width="11.9140625" style="1" customWidth="1"/>
    <col min="4369" max="4607" width="8.6640625" style="1"/>
    <col min="4608" max="4608" width="4.1640625" style="1" customWidth="1"/>
    <col min="4609" max="4609" width="13.9140625" style="1" customWidth="1"/>
    <col min="4610" max="4613" width="8.9140625" style="1" bestFit="1" customWidth="1"/>
    <col min="4614" max="4614" width="9.9140625" style="1" bestFit="1" customWidth="1"/>
    <col min="4615" max="4617" width="8.9140625" style="1" bestFit="1" customWidth="1"/>
    <col min="4618" max="4618" width="9.9140625" style="1" bestFit="1" customWidth="1"/>
    <col min="4619" max="4619" width="8.9140625" style="1" bestFit="1" customWidth="1"/>
    <col min="4620" max="4620" width="12.08203125" style="1" bestFit="1" customWidth="1"/>
    <col min="4621" max="4621" width="12.08203125" style="1" customWidth="1"/>
    <col min="4622" max="4622" width="8.6640625" style="1"/>
    <col min="4623" max="4623" width="12.1640625" style="1" customWidth="1"/>
    <col min="4624" max="4624" width="11.9140625" style="1" customWidth="1"/>
    <col min="4625" max="4863" width="8.6640625" style="1"/>
    <col min="4864" max="4864" width="4.1640625" style="1" customWidth="1"/>
    <col min="4865" max="4865" width="13.9140625" style="1" customWidth="1"/>
    <col min="4866" max="4869" width="8.9140625" style="1" bestFit="1" customWidth="1"/>
    <col min="4870" max="4870" width="9.9140625" style="1" bestFit="1" customWidth="1"/>
    <col min="4871" max="4873" width="8.9140625" style="1" bestFit="1" customWidth="1"/>
    <col min="4874" max="4874" width="9.9140625" style="1" bestFit="1" customWidth="1"/>
    <col min="4875" max="4875" width="8.9140625" style="1" bestFit="1" customWidth="1"/>
    <col min="4876" max="4876" width="12.08203125" style="1" bestFit="1" customWidth="1"/>
    <col min="4877" max="4877" width="12.08203125" style="1" customWidth="1"/>
    <col min="4878" max="4878" width="8.6640625" style="1"/>
    <col min="4879" max="4879" width="12.1640625" style="1" customWidth="1"/>
    <col min="4880" max="4880" width="11.9140625" style="1" customWidth="1"/>
    <col min="4881" max="5119" width="8.6640625" style="1"/>
    <col min="5120" max="5120" width="4.1640625" style="1" customWidth="1"/>
    <col min="5121" max="5121" width="13.9140625" style="1" customWidth="1"/>
    <col min="5122" max="5125" width="8.9140625" style="1" bestFit="1" customWidth="1"/>
    <col min="5126" max="5126" width="9.9140625" style="1" bestFit="1" customWidth="1"/>
    <col min="5127" max="5129" width="8.9140625" style="1" bestFit="1" customWidth="1"/>
    <col min="5130" max="5130" width="9.9140625" style="1" bestFit="1" customWidth="1"/>
    <col min="5131" max="5131" width="8.9140625" style="1" bestFit="1" customWidth="1"/>
    <col min="5132" max="5132" width="12.08203125" style="1" bestFit="1" customWidth="1"/>
    <col min="5133" max="5133" width="12.08203125" style="1" customWidth="1"/>
    <col min="5134" max="5134" width="8.6640625" style="1"/>
    <col min="5135" max="5135" width="12.1640625" style="1" customWidth="1"/>
    <col min="5136" max="5136" width="11.9140625" style="1" customWidth="1"/>
    <col min="5137" max="5375" width="8.6640625" style="1"/>
    <col min="5376" max="5376" width="4.1640625" style="1" customWidth="1"/>
    <col min="5377" max="5377" width="13.9140625" style="1" customWidth="1"/>
    <col min="5378" max="5381" width="8.9140625" style="1" bestFit="1" customWidth="1"/>
    <col min="5382" max="5382" width="9.9140625" style="1" bestFit="1" customWidth="1"/>
    <col min="5383" max="5385" width="8.9140625" style="1" bestFit="1" customWidth="1"/>
    <col min="5386" max="5386" width="9.9140625" style="1" bestFit="1" customWidth="1"/>
    <col min="5387" max="5387" width="8.9140625" style="1" bestFit="1" customWidth="1"/>
    <col min="5388" max="5388" width="12.08203125" style="1" bestFit="1" customWidth="1"/>
    <col min="5389" max="5389" width="12.08203125" style="1" customWidth="1"/>
    <col min="5390" max="5390" width="8.6640625" style="1"/>
    <col min="5391" max="5391" width="12.1640625" style="1" customWidth="1"/>
    <col min="5392" max="5392" width="11.9140625" style="1" customWidth="1"/>
    <col min="5393" max="5631" width="8.6640625" style="1"/>
    <col min="5632" max="5632" width="4.1640625" style="1" customWidth="1"/>
    <col min="5633" max="5633" width="13.9140625" style="1" customWidth="1"/>
    <col min="5634" max="5637" width="8.9140625" style="1" bestFit="1" customWidth="1"/>
    <col min="5638" max="5638" width="9.9140625" style="1" bestFit="1" customWidth="1"/>
    <col min="5639" max="5641" width="8.9140625" style="1" bestFit="1" customWidth="1"/>
    <col min="5642" max="5642" width="9.9140625" style="1" bestFit="1" customWidth="1"/>
    <col min="5643" max="5643" width="8.9140625" style="1" bestFit="1" customWidth="1"/>
    <col min="5644" max="5644" width="12.08203125" style="1" bestFit="1" customWidth="1"/>
    <col min="5645" max="5645" width="12.08203125" style="1" customWidth="1"/>
    <col min="5646" max="5646" width="8.6640625" style="1"/>
    <col min="5647" max="5647" width="12.1640625" style="1" customWidth="1"/>
    <col min="5648" max="5648" width="11.9140625" style="1" customWidth="1"/>
    <col min="5649" max="5887" width="8.6640625" style="1"/>
    <col min="5888" max="5888" width="4.1640625" style="1" customWidth="1"/>
    <col min="5889" max="5889" width="13.9140625" style="1" customWidth="1"/>
    <col min="5890" max="5893" width="8.9140625" style="1" bestFit="1" customWidth="1"/>
    <col min="5894" max="5894" width="9.9140625" style="1" bestFit="1" customWidth="1"/>
    <col min="5895" max="5897" width="8.9140625" style="1" bestFit="1" customWidth="1"/>
    <col min="5898" max="5898" width="9.9140625" style="1" bestFit="1" customWidth="1"/>
    <col min="5899" max="5899" width="8.9140625" style="1" bestFit="1" customWidth="1"/>
    <col min="5900" max="5900" width="12.08203125" style="1" bestFit="1" customWidth="1"/>
    <col min="5901" max="5901" width="12.08203125" style="1" customWidth="1"/>
    <col min="5902" max="5902" width="8.6640625" style="1"/>
    <col min="5903" max="5903" width="12.1640625" style="1" customWidth="1"/>
    <col min="5904" max="5904" width="11.9140625" style="1" customWidth="1"/>
    <col min="5905" max="6143" width="8.6640625" style="1"/>
    <col min="6144" max="6144" width="4.1640625" style="1" customWidth="1"/>
    <col min="6145" max="6145" width="13.9140625" style="1" customWidth="1"/>
    <col min="6146" max="6149" width="8.9140625" style="1" bestFit="1" customWidth="1"/>
    <col min="6150" max="6150" width="9.9140625" style="1" bestFit="1" customWidth="1"/>
    <col min="6151" max="6153" width="8.9140625" style="1" bestFit="1" customWidth="1"/>
    <col min="6154" max="6154" width="9.9140625" style="1" bestFit="1" customWidth="1"/>
    <col min="6155" max="6155" width="8.9140625" style="1" bestFit="1" customWidth="1"/>
    <col min="6156" max="6156" width="12.08203125" style="1" bestFit="1" customWidth="1"/>
    <col min="6157" max="6157" width="12.08203125" style="1" customWidth="1"/>
    <col min="6158" max="6158" width="8.6640625" style="1"/>
    <col min="6159" max="6159" width="12.1640625" style="1" customWidth="1"/>
    <col min="6160" max="6160" width="11.9140625" style="1" customWidth="1"/>
    <col min="6161" max="6399" width="8.6640625" style="1"/>
    <col min="6400" max="6400" width="4.1640625" style="1" customWidth="1"/>
    <col min="6401" max="6401" width="13.9140625" style="1" customWidth="1"/>
    <col min="6402" max="6405" width="8.9140625" style="1" bestFit="1" customWidth="1"/>
    <col min="6406" max="6406" width="9.9140625" style="1" bestFit="1" customWidth="1"/>
    <col min="6407" max="6409" width="8.9140625" style="1" bestFit="1" customWidth="1"/>
    <col min="6410" max="6410" width="9.9140625" style="1" bestFit="1" customWidth="1"/>
    <col min="6411" max="6411" width="8.9140625" style="1" bestFit="1" customWidth="1"/>
    <col min="6412" max="6412" width="12.08203125" style="1" bestFit="1" customWidth="1"/>
    <col min="6413" max="6413" width="12.08203125" style="1" customWidth="1"/>
    <col min="6414" max="6414" width="8.6640625" style="1"/>
    <col min="6415" max="6415" width="12.1640625" style="1" customWidth="1"/>
    <col min="6416" max="6416" width="11.9140625" style="1" customWidth="1"/>
    <col min="6417" max="6655" width="8.6640625" style="1"/>
    <col min="6656" max="6656" width="4.1640625" style="1" customWidth="1"/>
    <col min="6657" max="6657" width="13.9140625" style="1" customWidth="1"/>
    <col min="6658" max="6661" width="8.9140625" style="1" bestFit="1" customWidth="1"/>
    <col min="6662" max="6662" width="9.9140625" style="1" bestFit="1" customWidth="1"/>
    <col min="6663" max="6665" width="8.9140625" style="1" bestFit="1" customWidth="1"/>
    <col min="6666" max="6666" width="9.9140625" style="1" bestFit="1" customWidth="1"/>
    <col min="6667" max="6667" width="8.9140625" style="1" bestFit="1" customWidth="1"/>
    <col min="6668" max="6668" width="12.08203125" style="1" bestFit="1" customWidth="1"/>
    <col min="6669" max="6669" width="12.08203125" style="1" customWidth="1"/>
    <col min="6670" max="6670" width="8.6640625" style="1"/>
    <col min="6671" max="6671" width="12.1640625" style="1" customWidth="1"/>
    <col min="6672" max="6672" width="11.9140625" style="1" customWidth="1"/>
    <col min="6673" max="6911" width="8.6640625" style="1"/>
    <col min="6912" max="6912" width="4.1640625" style="1" customWidth="1"/>
    <col min="6913" max="6913" width="13.9140625" style="1" customWidth="1"/>
    <col min="6914" max="6917" width="8.9140625" style="1" bestFit="1" customWidth="1"/>
    <col min="6918" max="6918" width="9.9140625" style="1" bestFit="1" customWidth="1"/>
    <col min="6919" max="6921" width="8.9140625" style="1" bestFit="1" customWidth="1"/>
    <col min="6922" max="6922" width="9.9140625" style="1" bestFit="1" customWidth="1"/>
    <col min="6923" max="6923" width="8.9140625" style="1" bestFit="1" customWidth="1"/>
    <col min="6924" max="6924" width="12.08203125" style="1" bestFit="1" customWidth="1"/>
    <col min="6925" max="6925" width="12.08203125" style="1" customWidth="1"/>
    <col min="6926" max="6926" width="8.6640625" style="1"/>
    <col min="6927" max="6927" width="12.1640625" style="1" customWidth="1"/>
    <col min="6928" max="6928" width="11.9140625" style="1" customWidth="1"/>
    <col min="6929" max="7167" width="8.6640625" style="1"/>
    <col min="7168" max="7168" width="4.1640625" style="1" customWidth="1"/>
    <col min="7169" max="7169" width="13.9140625" style="1" customWidth="1"/>
    <col min="7170" max="7173" width="8.9140625" style="1" bestFit="1" customWidth="1"/>
    <col min="7174" max="7174" width="9.9140625" style="1" bestFit="1" customWidth="1"/>
    <col min="7175" max="7177" width="8.9140625" style="1" bestFit="1" customWidth="1"/>
    <col min="7178" max="7178" width="9.9140625" style="1" bestFit="1" customWidth="1"/>
    <col min="7179" max="7179" width="8.9140625" style="1" bestFit="1" customWidth="1"/>
    <col min="7180" max="7180" width="12.08203125" style="1" bestFit="1" customWidth="1"/>
    <col min="7181" max="7181" width="12.08203125" style="1" customWidth="1"/>
    <col min="7182" max="7182" width="8.6640625" style="1"/>
    <col min="7183" max="7183" width="12.1640625" style="1" customWidth="1"/>
    <col min="7184" max="7184" width="11.9140625" style="1" customWidth="1"/>
    <col min="7185" max="7423" width="8.6640625" style="1"/>
    <col min="7424" max="7424" width="4.1640625" style="1" customWidth="1"/>
    <col min="7425" max="7425" width="13.9140625" style="1" customWidth="1"/>
    <col min="7426" max="7429" width="8.9140625" style="1" bestFit="1" customWidth="1"/>
    <col min="7430" max="7430" width="9.9140625" style="1" bestFit="1" customWidth="1"/>
    <col min="7431" max="7433" width="8.9140625" style="1" bestFit="1" customWidth="1"/>
    <col min="7434" max="7434" width="9.9140625" style="1" bestFit="1" customWidth="1"/>
    <col min="7435" max="7435" width="8.9140625" style="1" bestFit="1" customWidth="1"/>
    <col min="7436" max="7436" width="12.08203125" style="1" bestFit="1" customWidth="1"/>
    <col min="7437" max="7437" width="12.08203125" style="1" customWidth="1"/>
    <col min="7438" max="7438" width="8.6640625" style="1"/>
    <col min="7439" max="7439" width="12.1640625" style="1" customWidth="1"/>
    <col min="7440" max="7440" width="11.9140625" style="1" customWidth="1"/>
    <col min="7441" max="7679" width="8.6640625" style="1"/>
    <col min="7680" max="7680" width="4.1640625" style="1" customWidth="1"/>
    <col min="7681" max="7681" width="13.9140625" style="1" customWidth="1"/>
    <col min="7682" max="7685" width="8.9140625" style="1" bestFit="1" customWidth="1"/>
    <col min="7686" max="7686" width="9.9140625" style="1" bestFit="1" customWidth="1"/>
    <col min="7687" max="7689" width="8.9140625" style="1" bestFit="1" customWidth="1"/>
    <col min="7690" max="7690" width="9.9140625" style="1" bestFit="1" customWidth="1"/>
    <col min="7691" max="7691" width="8.9140625" style="1" bestFit="1" customWidth="1"/>
    <col min="7692" max="7692" width="12.08203125" style="1" bestFit="1" customWidth="1"/>
    <col min="7693" max="7693" width="12.08203125" style="1" customWidth="1"/>
    <col min="7694" max="7694" width="8.6640625" style="1"/>
    <col min="7695" max="7695" width="12.1640625" style="1" customWidth="1"/>
    <col min="7696" max="7696" width="11.9140625" style="1" customWidth="1"/>
    <col min="7697" max="7935" width="8.6640625" style="1"/>
    <col min="7936" max="7936" width="4.1640625" style="1" customWidth="1"/>
    <col min="7937" max="7937" width="13.9140625" style="1" customWidth="1"/>
    <col min="7938" max="7941" width="8.9140625" style="1" bestFit="1" customWidth="1"/>
    <col min="7942" max="7942" width="9.9140625" style="1" bestFit="1" customWidth="1"/>
    <col min="7943" max="7945" width="8.9140625" style="1" bestFit="1" customWidth="1"/>
    <col min="7946" max="7946" width="9.9140625" style="1" bestFit="1" customWidth="1"/>
    <col min="7947" max="7947" width="8.9140625" style="1" bestFit="1" customWidth="1"/>
    <col min="7948" max="7948" width="12.08203125" style="1" bestFit="1" customWidth="1"/>
    <col min="7949" max="7949" width="12.08203125" style="1" customWidth="1"/>
    <col min="7950" max="7950" width="8.6640625" style="1"/>
    <col min="7951" max="7951" width="12.1640625" style="1" customWidth="1"/>
    <col min="7952" max="7952" width="11.9140625" style="1" customWidth="1"/>
    <col min="7953" max="8191" width="8.6640625" style="1"/>
    <col min="8192" max="8192" width="4.1640625" style="1" customWidth="1"/>
    <col min="8193" max="8193" width="13.9140625" style="1" customWidth="1"/>
    <col min="8194" max="8197" width="8.9140625" style="1" bestFit="1" customWidth="1"/>
    <col min="8198" max="8198" width="9.9140625" style="1" bestFit="1" customWidth="1"/>
    <col min="8199" max="8201" width="8.9140625" style="1" bestFit="1" customWidth="1"/>
    <col min="8202" max="8202" width="9.9140625" style="1" bestFit="1" customWidth="1"/>
    <col min="8203" max="8203" width="8.9140625" style="1" bestFit="1" customWidth="1"/>
    <col min="8204" max="8204" width="12.08203125" style="1" bestFit="1" customWidth="1"/>
    <col min="8205" max="8205" width="12.08203125" style="1" customWidth="1"/>
    <col min="8206" max="8206" width="8.6640625" style="1"/>
    <col min="8207" max="8207" width="12.1640625" style="1" customWidth="1"/>
    <col min="8208" max="8208" width="11.9140625" style="1" customWidth="1"/>
    <col min="8209" max="8447" width="8.6640625" style="1"/>
    <col min="8448" max="8448" width="4.1640625" style="1" customWidth="1"/>
    <col min="8449" max="8449" width="13.9140625" style="1" customWidth="1"/>
    <col min="8450" max="8453" width="8.9140625" style="1" bestFit="1" customWidth="1"/>
    <col min="8454" max="8454" width="9.9140625" style="1" bestFit="1" customWidth="1"/>
    <col min="8455" max="8457" width="8.9140625" style="1" bestFit="1" customWidth="1"/>
    <col min="8458" max="8458" width="9.9140625" style="1" bestFit="1" customWidth="1"/>
    <col min="8459" max="8459" width="8.9140625" style="1" bestFit="1" customWidth="1"/>
    <col min="8460" max="8460" width="12.08203125" style="1" bestFit="1" customWidth="1"/>
    <col min="8461" max="8461" width="12.08203125" style="1" customWidth="1"/>
    <col min="8462" max="8462" width="8.6640625" style="1"/>
    <col min="8463" max="8463" width="12.1640625" style="1" customWidth="1"/>
    <col min="8464" max="8464" width="11.9140625" style="1" customWidth="1"/>
    <col min="8465" max="8703" width="8.6640625" style="1"/>
    <col min="8704" max="8704" width="4.1640625" style="1" customWidth="1"/>
    <col min="8705" max="8705" width="13.9140625" style="1" customWidth="1"/>
    <col min="8706" max="8709" width="8.9140625" style="1" bestFit="1" customWidth="1"/>
    <col min="8710" max="8710" width="9.9140625" style="1" bestFit="1" customWidth="1"/>
    <col min="8711" max="8713" width="8.9140625" style="1" bestFit="1" customWidth="1"/>
    <col min="8714" max="8714" width="9.9140625" style="1" bestFit="1" customWidth="1"/>
    <col min="8715" max="8715" width="8.9140625" style="1" bestFit="1" customWidth="1"/>
    <col min="8716" max="8716" width="12.08203125" style="1" bestFit="1" customWidth="1"/>
    <col min="8717" max="8717" width="12.08203125" style="1" customWidth="1"/>
    <col min="8718" max="8718" width="8.6640625" style="1"/>
    <col min="8719" max="8719" width="12.1640625" style="1" customWidth="1"/>
    <col min="8720" max="8720" width="11.9140625" style="1" customWidth="1"/>
    <col min="8721" max="8959" width="8.6640625" style="1"/>
    <col min="8960" max="8960" width="4.1640625" style="1" customWidth="1"/>
    <col min="8961" max="8961" width="13.9140625" style="1" customWidth="1"/>
    <col min="8962" max="8965" width="8.9140625" style="1" bestFit="1" customWidth="1"/>
    <col min="8966" max="8966" width="9.9140625" style="1" bestFit="1" customWidth="1"/>
    <col min="8967" max="8969" width="8.9140625" style="1" bestFit="1" customWidth="1"/>
    <col min="8970" max="8970" width="9.9140625" style="1" bestFit="1" customWidth="1"/>
    <col min="8971" max="8971" width="8.9140625" style="1" bestFit="1" customWidth="1"/>
    <col min="8972" max="8972" width="12.08203125" style="1" bestFit="1" customWidth="1"/>
    <col min="8973" max="8973" width="12.08203125" style="1" customWidth="1"/>
    <col min="8974" max="8974" width="8.6640625" style="1"/>
    <col min="8975" max="8975" width="12.1640625" style="1" customWidth="1"/>
    <col min="8976" max="8976" width="11.9140625" style="1" customWidth="1"/>
    <col min="8977" max="9215" width="8.6640625" style="1"/>
    <col min="9216" max="9216" width="4.1640625" style="1" customWidth="1"/>
    <col min="9217" max="9217" width="13.9140625" style="1" customWidth="1"/>
    <col min="9218" max="9221" width="8.9140625" style="1" bestFit="1" customWidth="1"/>
    <col min="9222" max="9222" width="9.9140625" style="1" bestFit="1" customWidth="1"/>
    <col min="9223" max="9225" width="8.9140625" style="1" bestFit="1" customWidth="1"/>
    <col min="9226" max="9226" width="9.9140625" style="1" bestFit="1" customWidth="1"/>
    <col min="9227" max="9227" width="8.9140625" style="1" bestFit="1" customWidth="1"/>
    <col min="9228" max="9228" width="12.08203125" style="1" bestFit="1" customWidth="1"/>
    <col min="9229" max="9229" width="12.08203125" style="1" customWidth="1"/>
    <col min="9230" max="9230" width="8.6640625" style="1"/>
    <col min="9231" max="9231" width="12.1640625" style="1" customWidth="1"/>
    <col min="9232" max="9232" width="11.9140625" style="1" customWidth="1"/>
    <col min="9233" max="9471" width="8.6640625" style="1"/>
    <col min="9472" max="9472" width="4.1640625" style="1" customWidth="1"/>
    <col min="9473" max="9473" width="13.9140625" style="1" customWidth="1"/>
    <col min="9474" max="9477" width="8.9140625" style="1" bestFit="1" customWidth="1"/>
    <col min="9478" max="9478" width="9.9140625" style="1" bestFit="1" customWidth="1"/>
    <col min="9479" max="9481" width="8.9140625" style="1" bestFit="1" customWidth="1"/>
    <col min="9482" max="9482" width="9.9140625" style="1" bestFit="1" customWidth="1"/>
    <col min="9483" max="9483" width="8.9140625" style="1" bestFit="1" customWidth="1"/>
    <col min="9484" max="9484" width="12.08203125" style="1" bestFit="1" customWidth="1"/>
    <col min="9485" max="9485" width="12.08203125" style="1" customWidth="1"/>
    <col min="9486" max="9486" width="8.6640625" style="1"/>
    <col min="9487" max="9487" width="12.1640625" style="1" customWidth="1"/>
    <col min="9488" max="9488" width="11.9140625" style="1" customWidth="1"/>
    <col min="9489" max="9727" width="8.6640625" style="1"/>
    <col min="9728" max="9728" width="4.1640625" style="1" customWidth="1"/>
    <col min="9729" max="9729" width="13.9140625" style="1" customWidth="1"/>
    <col min="9730" max="9733" width="8.9140625" style="1" bestFit="1" customWidth="1"/>
    <col min="9734" max="9734" width="9.9140625" style="1" bestFit="1" customWidth="1"/>
    <col min="9735" max="9737" width="8.9140625" style="1" bestFit="1" customWidth="1"/>
    <col min="9738" max="9738" width="9.9140625" style="1" bestFit="1" customWidth="1"/>
    <col min="9739" max="9739" width="8.9140625" style="1" bestFit="1" customWidth="1"/>
    <col min="9740" max="9740" width="12.08203125" style="1" bestFit="1" customWidth="1"/>
    <col min="9741" max="9741" width="12.08203125" style="1" customWidth="1"/>
    <col min="9742" max="9742" width="8.6640625" style="1"/>
    <col min="9743" max="9743" width="12.1640625" style="1" customWidth="1"/>
    <col min="9744" max="9744" width="11.9140625" style="1" customWidth="1"/>
    <col min="9745" max="9983" width="8.6640625" style="1"/>
    <col min="9984" max="9984" width="4.1640625" style="1" customWidth="1"/>
    <col min="9985" max="9985" width="13.9140625" style="1" customWidth="1"/>
    <col min="9986" max="9989" width="8.9140625" style="1" bestFit="1" customWidth="1"/>
    <col min="9990" max="9990" width="9.9140625" style="1" bestFit="1" customWidth="1"/>
    <col min="9991" max="9993" width="8.9140625" style="1" bestFit="1" customWidth="1"/>
    <col min="9994" max="9994" width="9.9140625" style="1" bestFit="1" customWidth="1"/>
    <col min="9995" max="9995" width="8.9140625" style="1" bestFit="1" customWidth="1"/>
    <col min="9996" max="9996" width="12.08203125" style="1" bestFit="1" customWidth="1"/>
    <col min="9997" max="9997" width="12.08203125" style="1" customWidth="1"/>
    <col min="9998" max="9998" width="8.6640625" style="1"/>
    <col min="9999" max="9999" width="12.1640625" style="1" customWidth="1"/>
    <col min="10000" max="10000" width="11.9140625" style="1" customWidth="1"/>
    <col min="10001" max="10239" width="8.6640625" style="1"/>
    <col min="10240" max="10240" width="4.1640625" style="1" customWidth="1"/>
    <col min="10241" max="10241" width="13.9140625" style="1" customWidth="1"/>
    <col min="10242" max="10245" width="8.9140625" style="1" bestFit="1" customWidth="1"/>
    <col min="10246" max="10246" width="9.9140625" style="1" bestFit="1" customWidth="1"/>
    <col min="10247" max="10249" width="8.9140625" style="1" bestFit="1" customWidth="1"/>
    <col min="10250" max="10250" width="9.9140625" style="1" bestFit="1" customWidth="1"/>
    <col min="10251" max="10251" width="8.9140625" style="1" bestFit="1" customWidth="1"/>
    <col min="10252" max="10252" width="12.08203125" style="1" bestFit="1" customWidth="1"/>
    <col min="10253" max="10253" width="12.08203125" style="1" customWidth="1"/>
    <col min="10254" max="10254" width="8.6640625" style="1"/>
    <col min="10255" max="10255" width="12.1640625" style="1" customWidth="1"/>
    <col min="10256" max="10256" width="11.9140625" style="1" customWidth="1"/>
    <col min="10257" max="10495" width="8.6640625" style="1"/>
    <col min="10496" max="10496" width="4.1640625" style="1" customWidth="1"/>
    <col min="10497" max="10497" width="13.9140625" style="1" customWidth="1"/>
    <col min="10498" max="10501" width="8.9140625" style="1" bestFit="1" customWidth="1"/>
    <col min="10502" max="10502" width="9.9140625" style="1" bestFit="1" customWidth="1"/>
    <col min="10503" max="10505" width="8.9140625" style="1" bestFit="1" customWidth="1"/>
    <col min="10506" max="10506" width="9.9140625" style="1" bestFit="1" customWidth="1"/>
    <col min="10507" max="10507" width="8.9140625" style="1" bestFit="1" customWidth="1"/>
    <col min="10508" max="10508" width="12.08203125" style="1" bestFit="1" customWidth="1"/>
    <col min="10509" max="10509" width="12.08203125" style="1" customWidth="1"/>
    <col min="10510" max="10510" width="8.6640625" style="1"/>
    <col min="10511" max="10511" width="12.1640625" style="1" customWidth="1"/>
    <col min="10512" max="10512" width="11.9140625" style="1" customWidth="1"/>
    <col min="10513" max="10751" width="8.6640625" style="1"/>
    <col min="10752" max="10752" width="4.1640625" style="1" customWidth="1"/>
    <col min="10753" max="10753" width="13.9140625" style="1" customWidth="1"/>
    <col min="10754" max="10757" width="8.9140625" style="1" bestFit="1" customWidth="1"/>
    <col min="10758" max="10758" width="9.9140625" style="1" bestFit="1" customWidth="1"/>
    <col min="10759" max="10761" width="8.9140625" style="1" bestFit="1" customWidth="1"/>
    <col min="10762" max="10762" width="9.9140625" style="1" bestFit="1" customWidth="1"/>
    <col min="10763" max="10763" width="8.9140625" style="1" bestFit="1" customWidth="1"/>
    <col min="10764" max="10764" width="12.08203125" style="1" bestFit="1" customWidth="1"/>
    <col min="10765" max="10765" width="12.08203125" style="1" customWidth="1"/>
    <col min="10766" max="10766" width="8.6640625" style="1"/>
    <col min="10767" max="10767" width="12.1640625" style="1" customWidth="1"/>
    <col min="10768" max="10768" width="11.9140625" style="1" customWidth="1"/>
    <col min="10769" max="11007" width="8.6640625" style="1"/>
    <col min="11008" max="11008" width="4.1640625" style="1" customWidth="1"/>
    <col min="11009" max="11009" width="13.9140625" style="1" customWidth="1"/>
    <col min="11010" max="11013" width="8.9140625" style="1" bestFit="1" customWidth="1"/>
    <col min="11014" max="11014" width="9.9140625" style="1" bestFit="1" customWidth="1"/>
    <col min="11015" max="11017" width="8.9140625" style="1" bestFit="1" customWidth="1"/>
    <col min="11018" max="11018" width="9.9140625" style="1" bestFit="1" customWidth="1"/>
    <col min="11019" max="11019" width="8.9140625" style="1" bestFit="1" customWidth="1"/>
    <col min="11020" max="11020" width="12.08203125" style="1" bestFit="1" customWidth="1"/>
    <col min="11021" max="11021" width="12.08203125" style="1" customWidth="1"/>
    <col min="11022" max="11022" width="8.6640625" style="1"/>
    <col min="11023" max="11023" width="12.1640625" style="1" customWidth="1"/>
    <col min="11024" max="11024" width="11.9140625" style="1" customWidth="1"/>
    <col min="11025" max="11263" width="8.6640625" style="1"/>
    <col min="11264" max="11264" width="4.1640625" style="1" customWidth="1"/>
    <col min="11265" max="11265" width="13.9140625" style="1" customWidth="1"/>
    <col min="11266" max="11269" width="8.9140625" style="1" bestFit="1" customWidth="1"/>
    <col min="11270" max="11270" width="9.9140625" style="1" bestFit="1" customWidth="1"/>
    <col min="11271" max="11273" width="8.9140625" style="1" bestFit="1" customWidth="1"/>
    <col min="11274" max="11274" width="9.9140625" style="1" bestFit="1" customWidth="1"/>
    <col min="11275" max="11275" width="8.9140625" style="1" bestFit="1" customWidth="1"/>
    <col min="11276" max="11276" width="12.08203125" style="1" bestFit="1" customWidth="1"/>
    <col min="11277" max="11277" width="12.08203125" style="1" customWidth="1"/>
    <col min="11278" max="11278" width="8.6640625" style="1"/>
    <col min="11279" max="11279" width="12.1640625" style="1" customWidth="1"/>
    <col min="11280" max="11280" width="11.9140625" style="1" customWidth="1"/>
    <col min="11281" max="11519" width="8.6640625" style="1"/>
    <col min="11520" max="11520" width="4.1640625" style="1" customWidth="1"/>
    <col min="11521" max="11521" width="13.9140625" style="1" customWidth="1"/>
    <col min="11522" max="11525" width="8.9140625" style="1" bestFit="1" customWidth="1"/>
    <col min="11526" max="11526" width="9.9140625" style="1" bestFit="1" customWidth="1"/>
    <col min="11527" max="11529" width="8.9140625" style="1" bestFit="1" customWidth="1"/>
    <col min="11530" max="11530" width="9.9140625" style="1" bestFit="1" customWidth="1"/>
    <col min="11531" max="11531" width="8.9140625" style="1" bestFit="1" customWidth="1"/>
    <col min="11532" max="11532" width="12.08203125" style="1" bestFit="1" customWidth="1"/>
    <col min="11533" max="11533" width="12.08203125" style="1" customWidth="1"/>
    <col min="11534" max="11534" width="8.6640625" style="1"/>
    <col min="11535" max="11535" width="12.1640625" style="1" customWidth="1"/>
    <col min="11536" max="11536" width="11.9140625" style="1" customWidth="1"/>
    <col min="11537" max="11775" width="8.6640625" style="1"/>
    <col min="11776" max="11776" width="4.1640625" style="1" customWidth="1"/>
    <col min="11777" max="11777" width="13.9140625" style="1" customWidth="1"/>
    <col min="11778" max="11781" width="8.9140625" style="1" bestFit="1" customWidth="1"/>
    <col min="11782" max="11782" width="9.9140625" style="1" bestFit="1" customWidth="1"/>
    <col min="11783" max="11785" width="8.9140625" style="1" bestFit="1" customWidth="1"/>
    <col min="11786" max="11786" width="9.9140625" style="1" bestFit="1" customWidth="1"/>
    <col min="11787" max="11787" width="8.9140625" style="1" bestFit="1" customWidth="1"/>
    <col min="11788" max="11788" width="12.08203125" style="1" bestFit="1" customWidth="1"/>
    <col min="11789" max="11789" width="12.08203125" style="1" customWidth="1"/>
    <col min="11790" max="11790" width="8.6640625" style="1"/>
    <col min="11791" max="11791" width="12.1640625" style="1" customWidth="1"/>
    <col min="11792" max="11792" width="11.9140625" style="1" customWidth="1"/>
    <col min="11793" max="12031" width="8.6640625" style="1"/>
    <col min="12032" max="12032" width="4.1640625" style="1" customWidth="1"/>
    <col min="12033" max="12033" width="13.9140625" style="1" customWidth="1"/>
    <col min="12034" max="12037" width="8.9140625" style="1" bestFit="1" customWidth="1"/>
    <col min="12038" max="12038" width="9.9140625" style="1" bestFit="1" customWidth="1"/>
    <col min="12039" max="12041" width="8.9140625" style="1" bestFit="1" customWidth="1"/>
    <col min="12042" max="12042" width="9.9140625" style="1" bestFit="1" customWidth="1"/>
    <col min="12043" max="12043" width="8.9140625" style="1" bestFit="1" customWidth="1"/>
    <col min="12044" max="12044" width="12.08203125" style="1" bestFit="1" customWidth="1"/>
    <col min="12045" max="12045" width="12.08203125" style="1" customWidth="1"/>
    <col min="12046" max="12046" width="8.6640625" style="1"/>
    <col min="12047" max="12047" width="12.1640625" style="1" customWidth="1"/>
    <col min="12048" max="12048" width="11.9140625" style="1" customWidth="1"/>
    <col min="12049" max="12287" width="8.6640625" style="1"/>
    <col min="12288" max="12288" width="4.1640625" style="1" customWidth="1"/>
    <col min="12289" max="12289" width="13.9140625" style="1" customWidth="1"/>
    <col min="12290" max="12293" width="8.9140625" style="1" bestFit="1" customWidth="1"/>
    <col min="12294" max="12294" width="9.9140625" style="1" bestFit="1" customWidth="1"/>
    <col min="12295" max="12297" width="8.9140625" style="1" bestFit="1" customWidth="1"/>
    <col min="12298" max="12298" width="9.9140625" style="1" bestFit="1" customWidth="1"/>
    <col min="12299" max="12299" width="8.9140625" style="1" bestFit="1" customWidth="1"/>
    <col min="12300" max="12300" width="12.08203125" style="1" bestFit="1" customWidth="1"/>
    <col min="12301" max="12301" width="12.08203125" style="1" customWidth="1"/>
    <col min="12302" max="12302" width="8.6640625" style="1"/>
    <col min="12303" max="12303" width="12.1640625" style="1" customWidth="1"/>
    <col min="12304" max="12304" width="11.9140625" style="1" customWidth="1"/>
    <col min="12305" max="12543" width="8.6640625" style="1"/>
    <col min="12544" max="12544" width="4.1640625" style="1" customWidth="1"/>
    <col min="12545" max="12545" width="13.9140625" style="1" customWidth="1"/>
    <col min="12546" max="12549" width="8.9140625" style="1" bestFit="1" customWidth="1"/>
    <col min="12550" max="12550" width="9.9140625" style="1" bestFit="1" customWidth="1"/>
    <col min="12551" max="12553" width="8.9140625" style="1" bestFit="1" customWidth="1"/>
    <col min="12554" max="12554" width="9.9140625" style="1" bestFit="1" customWidth="1"/>
    <col min="12555" max="12555" width="8.9140625" style="1" bestFit="1" customWidth="1"/>
    <col min="12556" max="12556" width="12.08203125" style="1" bestFit="1" customWidth="1"/>
    <col min="12557" max="12557" width="12.08203125" style="1" customWidth="1"/>
    <col min="12558" max="12558" width="8.6640625" style="1"/>
    <col min="12559" max="12559" width="12.1640625" style="1" customWidth="1"/>
    <col min="12560" max="12560" width="11.9140625" style="1" customWidth="1"/>
    <col min="12561" max="12799" width="8.6640625" style="1"/>
    <col min="12800" max="12800" width="4.1640625" style="1" customWidth="1"/>
    <col min="12801" max="12801" width="13.9140625" style="1" customWidth="1"/>
    <col min="12802" max="12805" width="8.9140625" style="1" bestFit="1" customWidth="1"/>
    <col min="12806" max="12806" width="9.9140625" style="1" bestFit="1" customWidth="1"/>
    <col min="12807" max="12809" width="8.9140625" style="1" bestFit="1" customWidth="1"/>
    <col min="12810" max="12810" width="9.9140625" style="1" bestFit="1" customWidth="1"/>
    <col min="12811" max="12811" width="8.9140625" style="1" bestFit="1" customWidth="1"/>
    <col min="12812" max="12812" width="12.08203125" style="1" bestFit="1" customWidth="1"/>
    <col min="12813" max="12813" width="12.08203125" style="1" customWidth="1"/>
    <col min="12814" max="12814" width="8.6640625" style="1"/>
    <col min="12815" max="12815" width="12.1640625" style="1" customWidth="1"/>
    <col min="12816" max="12816" width="11.9140625" style="1" customWidth="1"/>
    <col min="12817" max="13055" width="8.6640625" style="1"/>
    <col min="13056" max="13056" width="4.1640625" style="1" customWidth="1"/>
    <col min="13057" max="13057" width="13.9140625" style="1" customWidth="1"/>
    <col min="13058" max="13061" width="8.9140625" style="1" bestFit="1" customWidth="1"/>
    <col min="13062" max="13062" width="9.9140625" style="1" bestFit="1" customWidth="1"/>
    <col min="13063" max="13065" width="8.9140625" style="1" bestFit="1" customWidth="1"/>
    <col min="13066" max="13066" width="9.9140625" style="1" bestFit="1" customWidth="1"/>
    <col min="13067" max="13067" width="8.9140625" style="1" bestFit="1" customWidth="1"/>
    <col min="13068" max="13068" width="12.08203125" style="1" bestFit="1" customWidth="1"/>
    <col min="13069" max="13069" width="12.08203125" style="1" customWidth="1"/>
    <col min="13070" max="13070" width="8.6640625" style="1"/>
    <col min="13071" max="13071" width="12.1640625" style="1" customWidth="1"/>
    <col min="13072" max="13072" width="11.9140625" style="1" customWidth="1"/>
    <col min="13073" max="13311" width="8.6640625" style="1"/>
    <col min="13312" max="13312" width="4.1640625" style="1" customWidth="1"/>
    <col min="13313" max="13313" width="13.9140625" style="1" customWidth="1"/>
    <col min="13314" max="13317" width="8.9140625" style="1" bestFit="1" customWidth="1"/>
    <col min="13318" max="13318" width="9.9140625" style="1" bestFit="1" customWidth="1"/>
    <col min="13319" max="13321" width="8.9140625" style="1" bestFit="1" customWidth="1"/>
    <col min="13322" max="13322" width="9.9140625" style="1" bestFit="1" customWidth="1"/>
    <col min="13323" max="13323" width="8.9140625" style="1" bestFit="1" customWidth="1"/>
    <col min="13324" max="13324" width="12.08203125" style="1" bestFit="1" customWidth="1"/>
    <col min="13325" max="13325" width="12.08203125" style="1" customWidth="1"/>
    <col min="13326" max="13326" width="8.6640625" style="1"/>
    <col min="13327" max="13327" width="12.1640625" style="1" customWidth="1"/>
    <col min="13328" max="13328" width="11.9140625" style="1" customWidth="1"/>
    <col min="13329" max="13567" width="8.6640625" style="1"/>
    <col min="13568" max="13568" width="4.1640625" style="1" customWidth="1"/>
    <col min="13569" max="13569" width="13.9140625" style="1" customWidth="1"/>
    <col min="13570" max="13573" width="8.9140625" style="1" bestFit="1" customWidth="1"/>
    <col min="13574" max="13574" width="9.9140625" style="1" bestFit="1" customWidth="1"/>
    <col min="13575" max="13577" width="8.9140625" style="1" bestFit="1" customWidth="1"/>
    <col min="13578" max="13578" width="9.9140625" style="1" bestFit="1" customWidth="1"/>
    <col min="13579" max="13579" width="8.9140625" style="1" bestFit="1" customWidth="1"/>
    <col min="13580" max="13580" width="12.08203125" style="1" bestFit="1" customWidth="1"/>
    <col min="13581" max="13581" width="12.08203125" style="1" customWidth="1"/>
    <col min="13582" max="13582" width="8.6640625" style="1"/>
    <col min="13583" max="13583" width="12.1640625" style="1" customWidth="1"/>
    <col min="13584" max="13584" width="11.9140625" style="1" customWidth="1"/>
    <col min="13585" max="13823" width="8.6640625" style="1"/>
    <col min="13824" max="13824" width="4.1640625" style="1" customWidth="1"/>
    <col min="13825" max="13825" width="13.9140625" style="1" customWidth="1"/>
    <col min="13826" max="13829" width="8.9140625" style="1" bestFit="1" customWidth="1"/>
    <col min="13830" max="13830" width="9.9140625" style="1" bestFit="1" customWidth="1"/>
    <col min="13831" max="13833" width="8.9140625" style="1" bestFit="1" customWidth="1"/>
    <col min="13834" max="13834" width="9.9140625" style="1" bestFit="1" customWidth="1"/>
    <col min="13835" max="13835" width="8.9140625" style="1" bestFit="1" customWidth="1"/>
    <col min="13836" max="13836" width="12.08203125" style="1" bestFit="1" customWidth="1"/>
    <col min="13837" max="13837" width="12.08203125" style="1" customWidth="1"/>
    <col min="13838" max="13838" width="8.6640625" style="1"/>
    <col min="13839" max="13839" width="12.1640625" style="1" customWidth="1"/>
    <col min="13840" max="13840" width="11.9140625" style="1" customWidth="1"/>
    <col min="13841" max="14079" width="8.6640625" style="1"/>
    <col min="14080" max="14080" width="4.1640625" style="1" customWidth="1"/>
    <col min="14081" max="14081" width="13.9140625" style="1" customWidth="1"/>
    <col min="14082" max="14085" width="8.9140625" style="1" bestFit="1" customWidth="1"/>
    <col min="14086" max="14086" width="9.9140625" style="1" bestFit="1" customWidth="1"/>
    <col min="14087" max="14089" width="8.9140625" style="1" bestFit="1" customWidth="1"/>
    <col min="14090" max="14090" width="9.9140625" style="1" bestFit="1" customWidth="1"/>
    <col min="14091" max="14091" width="8.9140625" style="1" bestFit="1" customWidth="1"/>
    <col min="14092" max="14092" width="12.08203125" style="1" bestFit="1" customWidth="1"/>
    <col min="14093" max="14093" width="12.08203125" style="1" customWidth="1"/>
    <col min="14094" max="14094" width="8.6640625" style="1"/>
    <col min="14095" max="14095" width="12.1640625" style="1" customWidth="1"/>
    <col min="14096" max="14096" width="11.9140625" style="1" customWidth="1"/>
    <col min="14097" max="14335" width="8.6640625" style="1"/>
    <col min="14336" max="14336" width="4.1640625" style="1" customWidth="1"/>
    <col min="14337" max="14337" width="13.9140625" style="1" customWidth="1"/>
    <col min="14338" max="14341" width="8.9140625" style="1" bestFit="1" customWidth="1"/>
    <col min="14342" max="14342" width="9.9140625" style="1" bestFit="1" customWidth="1"/>
    <col min="14343" max="14345" width="8.9140625" style="1" bestFit="1" customWidth="1"/>
    <col min="14346" max="14346" width="9.9140625" style="1" bestFit="1" customWidth="1"/>
    <col min="14347" max="14347" width="8.9140625" style="1" bestFit="1" customWidth="1"/>
    <col min="14348" max="14348" width="12.08203125" style="1" bestFit="1" customWidth="1"/>
    <col min="14349" max="14349" width="12.08203125" style="1" customWidth="1"/>
    <col min="14350" max="14350" width="8.6640625" style="1"/>
    <col min="14351" max="14351" width="12.1640625" style="1" customWidth="1"/>
    <col min="14352" max="14352" width="11.9140625" style="1" customWidth="1"/>
    <col min="14353" max="14591" width="8.6640625" style="1"/>
    <col min="14592" max="14592" width="4.1640625" style="1" customWidth="1"/>
    <col min="14593" max="14593" width="13.9140625" style="1" customWidth="1"/>
    <col min="14594" max="14597" width="8.9140625" style="1" bestFit="1" customWidth="1"/>
    <col min="14598" max="14598" width="9.9140625" style="1" bestFit="1" customWidth="1"/>
    <col min="14599" max="14601" width="8.9140625" style="1" bestFit="1" customWidth="1"/>
    <col min="14602" max="14602" width="9.9140625" style="1" bestFit="1" customWidth="1"/>
    <col min="14603" max="14603" width="8.9140625" style="1" bestFit="1" customWidth="1"/>
    <col min="14604" max="14604" width="12.08203125" style="1" bestFit="1" customWidth="1"/>
    <col min="14605" max="14605" width="12.08203125" style="1" customWidth="1"/>
    <col min="14606" max="14606" width="8.6640625" style="1"/>
    <col min="14607" max="14607" width="12.1640625" style="1" customWidth="1"/>
    <col min="14608" max="14608" width="11.9140625" style="1" customWidth="1"/>
    <col min="14609" max="14847" width="8.6640625" style="1"/>
    <col min="14848" max="14848" width="4.1640625" style="1" customWidth="1"/>
    <col min="14849" max="14849" width="13.9140625" style="1" customWidth="1"/>
    <col min="14850" max="14853" width="8.9140625" style="1" bestFit="1" customWidth="1"/>
    <col min="14854" max="14854" width="9.9140625" style="1" bestFit="1" customWidth="1"/>
    <col min="14855" max="14857" width="8.9140625" style="1" bestFit="1" customWidth="1"/>
    <col min="14858" max="14858" width="9.9140625" style="1" bestFit="1" customWidth="1"/>
    <col min="14859" max="14859" width="8.9140625" style="1" bestFit="1" customWidth="1"/>
    <col min="14860" max="14860" width="12.08203125" style="1" bestFit="1" customWidth="1"/>
    <col min="14861" max="14861" width="12.08203125" style="1" customWidth="1"/>
    <col min="14862" max="14862" width="8.6640625" style="1"/>
    <col min="14863" max="14863" width="12.1640625" style="1" customWidth="1"/>
    <col min="14864" max="14864" width="11.9140625" style="1" customWidth="1"/>
    <col min="14865" max="15103" width="8.6640625" style="1"/>
    <col min="15104" max="15104" width="4.1640625" style="1" customWidth="1"/>
    <col min="15105" max="15105" width="13.9140625" style="1" customWidth="1"/>
    <col min="15106" max="15109" width="8.9140625" style="1" bestFit="1" customWidth="1"/>
    <col min="15110" max="15110" width="9.9140625" style="1" bestFit="1" customWidth="1"/>
    <col min="15111" max="15113" width="8.9140625" style="1" bestFit="1" customWidth="1"/>
    <col min="15114" max="15114" width="9.9140625" style="1" bestFit="1" customWidth="1"/>
    <col min="15115" max="15115" width="8.9140625" style="1" bestFit="1" customWidth="1"/>
    <col min="15116" max="15116" width="12.08203125" style="1" bestFit="1" customWidth="1"/>
    <col min="15117" max="15117" width="12.08203125" style="1" customWidth="1"/>
    <col min="15118" max="15118" width="8.6640625" style="1"/>
    <col min="15119" max="15119" width="12.1640625" style="1" customWidth="1"/>
    <col min="15120" max="15120" width="11.9140625" style="1" customWidth="1"/>
    <col min="15121" max="15359" width="8.6640625" style="1"/>
    <col min="15360" max="15360" width="4.1640625" style="1" customWidth="1"/>
    <col min="15361" max="15361" width="13.9140625" style="1" customWidth="1"/>
    <col min="15362" max="15365" width="8.9140625" style="1" bestFit="1" customWidth="1"/>
    <col min="15366" max="15366" width="9.9140625" style="1" bestFit="1" customWidth="1"/>
    <col min="15367" max="15369" width="8.9140625" style="1" bestFit="1" customWidth="1"/>
    <col min="15370" max="15370" width="9.9140625" style="1" bestFit="1" customWidth="1"/>
    <col min="15371" max="15371" width="8.9140625" style="1" bestFit="1" customWidth="1"/>
    <col min="15372" max="15372" width="12.08203125" style="1" bestFit="1" customWidth="1"/>
    <col min="15373" max="15373" width="12.08203125" style="1" customWidth="1"/>
    <col min="15374" max="15374" width="8.6640625" style="1"/>
    <col min="15375" max="15375" width="12.1640625" style="1" customWidth="1"/>
    <col min="15376" max="15376" width="11.9140625" style="1" customWidth="1"/>
    <col min="15377" max="15615" width="8.6640625" style="1"/>
    <col min="15616" max="15616" width="4.1640625" style="1" customWidth="1"/>
    <col min="15617" max="15617" width="13.9140625" style="1" customWidth="1"/>
    <col min="15618" max="15621" width="8.9140625" style="1" bestFit="1" customWidth="1"/>
    <col min="15622" max="15622" width="9.9140625" style="1" bestFit="1" customWidth="1"/>
    <col min="15623" max="15625" width="8.9140625" style="1" bestFit="1" customWidth="1"/>
    <col min="15626" max="15626" width="9.9140625" style="1" bestFit="1" customWidth="1"/>
    <col min="15627" max="15627" width="8.9140625" style="1" bestFit="1" customWidth="1"/>
    <col min="15628" max="15628" width="12.08203125" style="1" bestFit="1" customWidth="1"/>
    <col min="15629" max="15629" width="12.08203125" style="1" customWidth="1"/>
    <col min="15630" max="15630" width="8.6640625" style="1"/>
    <col min="15631" max="15631" width="12.1640625" style="1" customWidth="1"/>
    <col min="15632" max="15632" width="11.9140625" style="1" customWidth="1"/>
    <col min="15633" max="15871" width="8.6640625" style="1"/>
    <col min="15872" max="15872" width="4.1640625" style="1" customWidth="1"/>
    <col min="15873" max="15873" width="13.9140625" style="1" customWidth="1"/>
    <col min="15874" max="15877" width="8.9140625" style="1" bestFit="1" customWidth="1"/>
    <col min="15878" max="15878" width="9.9140625" style="1" bestFit="1" customWidth="1"/>
    <col min="15879" max="15881" width="8.9140625" style="1" bestFit="1" customWidth="1"/>
    <col min="15882" max="15882" width="9.9140625" style="1" bestFit="1" customWidth="1"/>
    <col min="15883" max="15883" width="8.9140625" style="1" bestFit="1" customWidth="1"/>
    <col min="15884" max="15884" width="12.08203125" style="1" bestFit="1" customWidth="1"/>
    <col min="15885" max="15885" width="12.08203125" style="1" customWidth="1"/>
    <col min="15886" max="15886" width="8.6640625" style="1"/>
    <col min="15887" max="15887" width="12.1640625" style="1" customWidth="1"/>
    <col min="15888" max="15888" width="11.9140625" style="1" customWidth="1"/>
    <col min="15889" max="16127" width="8.6640625" style="1"/>
    <col min="16128" max="16128" width="4.1640625" style="1" customWidth="1"/>
    <col min="16129" max="16129" width="13.9140625" style="1" customWidth="1"/>
    <col min="16130" max="16133" width="8.9140625" style="1" bestFit="1" customWidth="1"/>
    <col min="16134" max="16134" width="9.9140625" style="1" bestFit="1" customWidth="1"/>
    <col min="16135" max="16137" width="8.9140625" style="1" bestFit="1" customWidth="1"/>
    <col min="16138" max="16138" width="9.9140625" style="1" bestFit="1" customWidth="1"/>
    <col min="16139" max="16139" width="8.9140625" style="1" bestFit="1" customWidth="1"/>
    <col min="16140" max="16140" width="12.08203125" style="1" bestFit="1" customWidth="1"/>
    <col min="16141" max="16141" width="12.08203125" style="1" customWidth="1"/>
    <col min="16142" max="16142" width="8.6640625" style="1"/>
    <col min="16143" max="16143" width="12.1640625" style="1" customWidth="1"/>
    <col min="16144" max="16144" width="11.9140625" style="1" customWidth="1"/>
    <col min="16145" max="16384" width="8.6640625" style="1"/>
  </cols>
  <sheetData>
    <row r="2" spans="1:16">
      <c r="A2" s="2" t="s">
        <v>4</v>
      </c>
      <c r="B2" s="3"/>
      <c r="C2" s="3"/>
      <c r="D2" s="3"/>
      <c r="E2" s="3"/>
      <c r="F2" s="3"/>
      <c r="G2" s="3"/>
      <c r="H2" s="3"/>
      <c r="I2" s="3"/>
      <c r="J2" s="3"/>
      <c r="K2" s="3"/>
      <c r="L2" s="4"/>
      <c r="M2" s="5" t="s">
        <v>5</v>
      </c>
      <c r="N2" s="6"/>
      <c r="O2" s="6"/>
      <c r="P2" s="6"/>
    </row>
    <row r="3" spans="1:16">
      <c r="A3" s="7" t="s">
        <v>6</v>
      </c>
      <c r="B3" s="8" t="s">
        <v>7</v>
      </c>
      <c r="C3" s="8" t="s">
        <v>8</v>
      </c>
      <c r="D3" s="8" t="s">
        <v>9</v>
      </c>
      <c r="E3" s="8" t="s">
        <v>10</v>
      </c>
      <c r="F3" s="8" t="s">
        <v>11</v>
      </c>
      <c r="G3" s="8" t="s">
        <v>12</v>
      </c>
      <c r="H3" s="8" t="s">
        <v>2</v>
      </c>
      <c r="I3" s="8" t="s">
        <v>3</v>
      </c>
      <c r="J3" s="8" t="s">
        <v>1</v>
      </c>
      <c r="K3" s="8" t="s">
        <v>13</v>
      </c>
      <c r="L3" s="8" t="s">
        <v>14</v>
      </c>
      <c r="M3" s="5" t="s">
        <v>15</v>
      </c>
      <c r="N3" s="6"/>
      <c r="O3" s="9" t="s">
        <v>16</v>
      </c>
      <c r="P3" s="6"/>
    </row>
    <row r="4" spans="1:16">
      <c r="A4" s="10"/>
      <c r="B4" s="8" t="s">
        <v>17</v>
      </c>
      <c r="C4" s="8" t="s">
        <v>18</v>
      </c>
      <c r="D4" s="8" t="s">
        <v>19</v>
      </c>
      <c r="E4" s="8" t="s">
        <v>20</v>
      </c>
      <c r="F4" s="8" t="s">
        <v>21</v>
      </c>
      <c r="G4" s="8" t="s">
        <v>21</v>
      </c>
      <c r="H4" s="8" t="s">
        <v>17</v>
      </c>
      <c r="I4" s="8" t="s">
        <v>17</v>
      </c>
      <c r="J4" s="8" t="s">
        <v>17</v>
      </c>
      <c r="K4" s="8" t="s">
        <v>22</v>
      </c>
      <c r="L4" s="8" t="s">
        <v>23</v>
      </c>
      <c r="M4" s="5" t="s">
        <v>24</v>
      </c>
      <c r="N4" s="6"/>
      <c r="O4" s="11" t="s">
        <v>25</v>
      </c>
      <c r="P4" s="11" t="s">
        <v>26</v>
      </c>
    </row>
    <row r="5" spans="1:16" ht="28.25" customHeight="1">
      <c r="A5" s="12" t="s">
        <v>27</v>
      </c>
      <c r="B5" s="13">
        <v>75</v>
      </c>
      <c r="C5" s="12">
        <v>1</v>
      </c>
      <c r="D5" s="12">
        <v>11.7</v>
      </c>
      <c r="E5" s="12" t="s">
        <v>28</v>
      </c>
      <c r="F5" s="231">
        <v>12.195320410820186</v>
      </c>
      <c r="G5" s="226">
        <f>100-F5</f>
        <v>87.804679589179813</v>
      </c>
      <c r="H5" s="14">
        <v>4856.0400000000009</v>
      </c>
      <c r="I5" s="14">
        <v>34962.840000000026</v>
      </c>
      <c r="J5" s="237">
        <f>ROUND((H5+I5),2)*C5</f>
        <v>39818.879999999997</v>
      </c>
      <c r="K5" s="16">
        <f>O29</f>
        <v>3600</v>
      </c>
      <c r="L5" s="232">
        <f>J5*K5</f>
        <v>143347968</v>
      </c>
      <c r="M5" s="236">
        <f>I5*(G5*K5)*C5</f>
        <v>11051643469.419943</v>
      </c>
      <c r="N5" s="6"/>
      <c r="O5" s="19">
        <f>(D5*60)*(F5)*K5*C5</f>
        <v>30820013.742224775</v>
      </c>
      <c r="P5" s="20" t="s">
        <v>26</v>
      </c>
    </row>
    <row r="6" spans="1:16">
      <c r="A6" s="12"/>
      <c r="B6" s="21"/>
      <c r="C6" s="22"/>
      <c r="D6" s="12"/>
      <c r="E6" s="12"/>
      <c r="F6" s="23"/>
      <c r="G6" s="226">
        <f t="shared" ref="G6:G8" si="0">100-F6</f>
        <v>100</v>
      </c>
      <c r="H6" s="24"/>
      <c r="I6" s="24"/>
      <c r="J6" s="15">
        <f t="shared" ref="J6:J8" si="1">ROUND((H6+I6),2)*C6</f>
        <v>0</v>
      </c>
      <c r="K6" s="16">
        <f>O29</f>
        <v>3600</v>
      </c>
      <c r="L6" s="17">
        <f>J6*K6</f>
        <v>0</v>
      </c>
      <c r="M6" s="18">
        <f>I6*(G6*K6)</f>
        <v>0</v>
      </c>
      <c r="N6" s="6"/>
      <c r="O6" s="19">
        <f>(D6*60)*(F6)*K6</f>
        <v>0</v>
      </c>
      <c r="P6" s="20" t="s">
        <v>26</v>
      </c>
    </row>
    <row r="7" spans="1:16">
      <c r="A7" s="12"/>
      <c r="B7" s="21"/>
      <c r="C7" s="22"/>
      <c r="D7" s="12"/>
      <c r="E7" s="12"/>
      <c r="F7" s="23"/>
      <c r="G7" s="226">
        <f t="shared" si="0"/>
        <v>100</v>
      </c>
      <c r="H7" s="21"/>
      <c r="I7" s="21"/>
      <c r="J7" s="15">
        <f t="shared" si="1"/>
        <v>0</v>
      </c>
      <c r="K7" s="16">
        <f>O29</f>
        <v>3600</v>
      </c>
      <c r="L7" s="17">
        <f>J7*K7</f>
        <v>0</v>
      </c>
      <c r="M7" s="18">
        <f>I7*(G7*K7)</f>
        <v>0</v>
      </c>
      <c r="N7" s="6"/>
      <c r="O7" s="19">
        <f>(D7*60)*(F7)*K7</f>
        <v>0</v>
      </c>
      <c r="P7" s="20" t="s">
        <v>26</v>
      </c>
    </row>
    <row r="8" spans="1:16">
      <c r="A8" s="25"/>
      <c r="B8" s="25"/>
      <c r="C8" s="26"/>
      <c r="D8" s="25"/>
      <c r="E8" s="27"/>
      <c r="F8" s="25"/>
      <c r="G8" s="25"/>
      <c r="H8" s="25"/>
      <c r="I8" s="25"/>
      <c r="J8" s="15">
        <f t="shared" si="1"/>
        <v>0</v>
      </c>
      <c r="K8" s="16">
        <f>O29</f>
        <v>3600</v>
      </c>
      <c r="L8" s="28">
        <f>J8*K8</f>
        <v>0</v>
      </c>
      <c r="M8" s="18">
        <f>I8*(G8*K8)</f>
        <v>0</v>
      </c>
      <c r="N8" s="6"/>
      <c r="O8" s="19">
        <f>(D8*60)*(F8)*K8</f>
        <v>0</v>
      </c>
      <c r="P8" s="20" t="s">
        <v>26</v>
      </c>
    </row>
    <row r="9" spans="1:16">
      <c r="A9" s="26" t="s">
        <v>0</v>
      </c>
      <c r="B9" s="29">
        <f>B5*C5+B6*C6+B7*C7+B8*C8</f>
        <v>75</v>
      </c>
      <c r="C9" s="29">
        <f>SUM(C5:C8)</f>
        <v>1</v>
      </c>
      <c r="D9" s="29">
        <f>C5*D5+C6*D6+C7*D7+C8*D8</f>
        <v>11.7</v>
      </c>
      <c r="E9" s="29" t="s">
        <v>28</v>
      </c>
      <c r="F9" s="30">
        <f>AVERAGE(F5:F7)</f>
        <v>12.195320410820186</v>
      </c>
      <c r="G9" s="227">
        <f>100-F9</f>
        <v>87.804679589179813</v>
      </c>
      <c r="H9" s="30">
        <f>SUM(H5)</f>
        <v>4856.0400000000009</v>
      </c>
      <c r="I9" s="30">
        <f>SUM(I5:I8)</f>
        <v>34962.840000000026</v>
      </c>
      <c r="J9" s="238">
        <f>SUM(J5:J8)</f>
        <v>39818.879999999997</v>
      </c>
      <c r="K9" s="31">
        <f>AVERAGE(K5:K8)</f>
        <v>3600</v>
      </c>
      <c r="L9" s="32">
        <f>ROUND((SUM(L5:L8)),0)</f>
        <v>143347968</v>
      </c>
      <c r="M9" s="33">
        <f>SUM(M5:M8)</f>
        <v>11051643469.419943</v>
      </c>
      <c r="N9" s="6"/>
      <c r="O9" s="34">
        <f>SUM(O5:O8)</f>
        <v>30820013.742224775</v>
      </c>
      <c r="P9" s="11" t="s">
        <v>29</v>
      </c>
    </row>
    <row r="10" spans="1:16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 t="s">
        <v>30</v>
      </c>
      <c r="P10" s="6"/>
    </row>
    <row r="11" spans="1:16">
      <c r="A11" s="2" t="s">
        <v>31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/>
      <c r="N11" s="6"/>
      <c r="O11" s="6"/>
      <c r="P11" s="6"/>
    </row>
    <row r="12" spans="1:16">
      <c r="A12" s="7" t="s">
        <v>6</v>
      </c>
      <c r="B12" s="8" t="s">
        <v>7</v>
      </c>
      <c r="C12" s="8" t="s">
        <v>8</v>
      </c>
      <c r="D12" s="8" t="s">
        <v>9</v>
      </c>
      <c r="E12" s="8" t="s">
        <v>10</v>
      </c>
      <c r="F12" s="8" t="s">
        <v>11</v>
      </c>
      <c r="G12" s="8" t="s">
        <v>12</v>
      </c>
      <c r="H12" s="8" t="s">
        <v>2</v>
      </c>
      <c r="I12" s="8" t="s">
        <v>3</v>
      </c>
      <c r="J12" s="8" t="s">
        <v>1</v>
      </c>
      <c r="K12" s="8" t="s">
        <v>13</v>
      </c>
      <c r="L12" s="8" t="s">
        <v>14</v>
      </c>
      <c r="M12" s="5" t="s">
        <v>15</v>
      </c>
      <c r="N12" s="6"/>
      <c r="O12" s="11" t="s">
        <v>25</v>
      </c>
      <c r="P12" s="11" t="s">
        <v>26</v>
      </c>
    </row>
    <row r="13" spans="1:16">
      <c r="A13" s="10"/>
      <c r="B13" s="8" t="s">
        <v>17</v>
      </c>
      <c r="C13" s="8" t="s">
        <v>18</v>
      </c>
      <c r="D13" s="8" t="s">
        <v>19</v>
      </c>
      <c r="E13" s="8" t="s">
        <v>20</v>
      </c>
      <c r="F13" s="8" t="s">
        <v>21</v>
      </c>
      <c r="G13" s="8" t="s">
        <v>21</v>
      </c>
      <c r="H13" s="8" t="s">
        <v>17</v>
      </c>
      <c r="I13" s="8" t="s">
        <v>17</v>
      </c>
      <c r="J13" s="8" t="s">
        <v>17</v>
      </c>
      <c r="K13" s="8" t="s">
        <v>22</v>
      </c>
      <c r="L13" s="8" t="s">
        <v>23</v>
      </c>
      <c r="M13" s="5" t="s">
        <v>24</v>
      </c>
      <c r="N13" s="6"/>
      <c r="O13" s="34">
        <f>O9</f>
        <v>30820013.742224775</v>
      </c>
      <c r="P13" s="11" t="s">
        <v>32</v>
      </c>
    </row>
    <row r="14" spans="1:16">
      <c r="A14" s="35" t="s">
        <v>33</v>
      </c>
      <c r="B14" s="36">
        <v>75</v>
      </c>
      <c r="C14" s="36">
        <v>1</v>
      </c>
      <c r="D14" s="36">
        <v>13.8</v>
      </c>
      <c r="E14" s="37" t="s">
        <v>28</v>
      </c>
      <c r="F14" s="228">
        <f>O16</f>
        <v>10.339510783086681</v>
      </c>
      <c r="G14" s="38">
        <v>0</v>
      </c>
      <c r="H14" s="38">
        <f>B14</f>
        <v>75</v>
      </c>
      <c r="I14" s="38">
        <v>0</v>
      </c>
      <c r="J14" s="39">
        <f>ROUND((B14*F14),2)*C14</f>
        <v>775.46</v>
      </c>
      <c r="K14" s="40">
        <f>O29</f>
        <v>3600</v>
      </c>
      <c r="L14" s="39">
        <f>J14*K14</f>
        <v>2791656</v>
      </c>
      <c r="M14" s="9">
        <v>0</v>
      </c>
      <c r="N14" s="6"/>
      <c r="O14" s="41">
        <f>ROUND( (O13/(D14*60*C14)),0)</f>
        <v>37222</v>
      </c>
      <c r="P14" s="6" t="s">
        <v>34</v>
      </c>
    </row>
    <row r="15" spans="1:16">
      <c r="A15" s="35"/>
      <c r="B15" s="42"/>
      <c r="C15" s="42">
        <v>1</v>
      </c>
      <c r="D15" s="42"/>
      <c r="E15" s="37" t="s">
        <v>28</v>
      </c>
      <c r="F15" s="43"/>
      <c r="G15" s="44">
        <v>0</v>
      </c>
      <c r="H15" s="45">
        <f>B15</f>
        <v>0</v>
      </c>
      <c r="I15" s="44">
        <v>0</v>
      </c>
      <c r="J15" s="46">
        <f>ROUND((B15*F15),2)*C15</f>
        <v>0</v>
      </c>
      <c r="K15" s="47">
        <f>O29</f>
        <v>3600</v>
      </c>
      <c r="L15" s="46">
        <f>J15*K15</f>
        <v>0</v>
      </c>
      <c r="M15" s="9"/>
      <c r="N15" s="6"/>
      <c r="O15" s="41"/>
      <c r="P15" s="6"/>
    </row>
    <row r="16" spans="1:16">
      <c r="A16" s="48"/>
      <c r="B16" s="49">
        <f>B14*C14</f>
        <v>75</v>
      </c>
      <c r="C16" s="48"/>
      <c r="D16" s="49">
        <f>SUM(D14:D15)-D14</f>
        <v>0</v>
      </c>
      <c r="E16" s="48"/>
      <c r="F16" s="48"/>
      <c r="G16" s="48"/>
      <c r="H16" s="48"/>
      <c r="I16" s="48"/>
      <c r="J16" s="50">
        <f>SUM(J14:J15)-J15</f>
        <v>775.46</v>
      </c>
      <c r="K16" s="51">
        <f>O29</f>
        <v>3600</v>
      </c>
      <c r="L16" s="52">
        <f>SUM(L14:L15)</f>
        <v>2791656</v>
      </c>
      <c r="M16" s="6"/>
      <c r="N16" s="6"/>
      <c r="O16" s="229">
        <f>O13/(C14*D14*60*K14)</f>
        <v>10.339510783086681</v>
      </c>
      <c r="P16" s="6" t="s">
        <v>35</v>
      </c>
    </row>
    <row r="17" spans="1:17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7">
      <c r="A18" s="6"/>
      <c r="B18" s="6"/>
      <c r="C18" s="6"/>
      <c r="D18" s="6"/>
      <c r="E18" s="6"/>
      <c r="F18" s="53">
        <f>D15*60*F15*K15*C15</f>
        <v>0</v>
      </c>
      <c r="G18" s="6"/>
      <c r="H18" s="6"/>
      <c r="I18" s="6"/>
      <c r="J18" s="6"/>
      <c r="K18" s="6"/>
      <c r="L18" s="6"/>
      <c r="M18" s="6"/>
      <c r="N18" s="6"/>
      <c r="O18" s="11" t="s">
        <v>36</v>
      </c>
      <c r="P18" s="54" t="s">
        <v>37</v>
      </c>
    </row>
    <row r="19" spans="1:17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55">
        <f>L9-L16</f>
        <v>140556312</v>
      </c>
      <c r="P19" s="49" t="s">
        <v>37</v>
      </c>
    </row>
    <row r="20" spans="1:17">
      <c r="A20" s="56" t="s">
        <v>38</v>
      </c>
      <c r="B20" s="57" t="s">
        <v>39</v>
      </c>
      <c r="C20" s="58"/>
      <c r="D20" s="58"/>
      <c r="E20" s="58"/>
      <c r="F20" s="59"/>
      <c r="G20" s="60" t="s">
        <v>40</v>
      </c>
      <c r="H20" s="58"/>
      <c r="I20" s="58"/>
      <c r="J20" s="58"/>
      <c r="K20" s="61"/>
      <c r="O20" s="62">
        <f>[1]전력단가!G18</f>
        <v>183.14273554840383</v>
      </c>
      <c r="P20" s="6" t="s">
        <v>41</v>
      </c>
      <c r="Q20" s="1" t="s">
        <v>42</v>
      </c>
    </row>
    <row r="21" spans="1:17">
      <c r="A21" s="63"/>
      <c r="B21" s="64" t="s">
        <v>43</v>
      </c>
      <c r="C21" s="64" t="s">
        <v>44</v>
      </c>
      <c r="D21" s="64" t="s">
        <v>45</v>
      </c>
      <c r="E21" s="64" t="s">
        <v>46</v>
      </c>
      <c r="F21" s="65" t="s">
        <v>47</v>
      </c>
      <c r="G21" s="66" t="s">
        <v>43</v>
      </c>
      <c r="H21" s="64" t="s">
        <v>44</v>
      </c>
      <c r="I21" s="64" t="s">
        <v>45</v>
      </c>
      <c r="J21" s="64" t="s">
        <v>46</v>
      </c>
      <c r="K21" s="64" t="s">
        <v>47</v>
      </c>
      <c r="O21" s="67">
        <f>O19*O20/10^6</f>
        <v>25741.86747827494</v>
      </c>
      <c r="P21" s="6" t="s">
        <v>48</v>
      </c>
      <c r="Q21" s="1" t="s">
        <v>49</v>
      </c>
    </row>
    <row r="22" spans="1:17">
      <c r="A22" s="63"/>
      <c r="B22" s="68" t="s">
        <v>50</v>
      </c>
      <c r="C22" s="68" t="s">
        <v>51</v>
      </c>
      <c r="D22" s="68" t="s">
        <v>52</v>
      </c>
      <c r="E22" s="69" t="s">
        <v>53</v>
      </c>
      <c r="F22" s="70" t="s">
        <v>54</v>
      </c>
      <c r="G22" s="71" t="s">
        <v>50</v>
      </c>
      <c r="H22" s="68" t="s">
        <v>51</v>
      </c>
      <c r="I22" s="68" t="s">
        <v>52</v>
      </c>
      <c r="J22" s="69" t="s">
        <v>53</v>
      </c>
      <c r="K22" s="69" t="s">
        <v>54</v>
      </c>
      <c r="O22" s="72">
        <v>30</v>
      </c>
      <c r="P22" s="6" t="s">
        <v>48</v>
      </c>
      <c r="Q22" s="1" t="s">
        <v>55</v>
      </c>
    </row>
    <row r="23" spans="1:17" ht="17.5" thickBot="1">
      <c r="A23" s="73"/>
      <c r="B23" s="74" t="s">
        <v>56</v>
      </c>
      <c r="C23" s="74" t="s">
        <v>57</v>
      </c>
      <c r="D23" s="74" t="s">
        <v>58</v>
      </c>
      <c r="E23" s="75"/>
      <c r="F23" s="76"/>
      <c r="G23" s="77" t="s">
        <v>56</v>
      </c>
      <c r="H23" s="74" t="s">
        <v>57</v>
      </c>
      <c r="I23" s="74" t="s">
        <v>58</v>
      </c>
      <c r="J23" s="75"/>
      <c r="K23" s="75"/>
      <c r="O23" s="67">
        <f>O22/O21</f>
        <v>1.1654166126571332E-3</v>
      </c>
      <c r="P23" s="6" t="s">
        <v>59</v>
      </c>
      <c r="Q23" s="1" t="s">
        <v>60</v>
      </c>
    </row>
    <row r="24" spans="1:17" ht="17.5" thickTop="1">
      <c r="A24" s="78" t="s">
        <v>61</v>
      </c>
      <c r="B24" s="240">
        <f>J9</f>
        <v>39818.879999999997</v>
      </c>
      <c r="C24" s="79">
        <f>O29</f>
        <v>3600</v>
      </c>
      <c r="D24" s="80">
        <f>L9</f>
        <v>143347968</v>
      </c>
      <c r="E24" s="78">
        <v>120</v>
      </c>
      <c r="F24" s="235">
        <f>D24*E24</f>
        <v>17201756160</v>
      </c>
      <c r="G24" s="81">
        <f>J16</f>
        <v>775.46</v>
      </c>
      <c r="H24" s="79">
        <f>O29</f>
        <v>3600</v>
      </c>
      <c r="I24" s="80">
        <f>L16</f>
        <v>2791656</v>
      </c>
      <c r="J24" s="78">
        <v>120</v>
      </c>
      <c r="K24" s="233">
        <f>I24*J24</f>
        <v>334998720</v>
      </c>
    </row>
    <row r="25" spans="1:17">
      <c r="O25" s="1" t="s">
        <v>62</v>
      </c>
    </row>
    <row r="26" spans="1:17">
      <c r="A26" s="1" t="s">
        <v>63</v>
      </c>
      <c r="C26" s="230" t="str">
        <f>TEXT(G9,"0.00") &amp; "%"</f>
        <v>87.80%</v>
      </c>
      <c r="D26" s="1" t="s">
        <v>64</v>
      </c>
      <c r="O26" s="72">
        <v>12</v>
      </c>
      <c r="P26" s="1" t="s">
        <v>65</v>
      </c>
    </row>
    <row r="27" spans="1:17">
      <c r="A27" s="1" t="s">
        <v>66</v>
      </c>
      <c r="O27" s="72">
        <v>25</v>
      </c>
      <c r="P27" s="1" t="s">
        <v>67</v>
      </c>
    </row>
    <row r="28" spans="1:17">
      <c r="A28" s="67">
        <f>I9</f>
        <v>34962.840000000026</v>
      </c>
      <c r="B28" s="1" t="s">
        <v>68</v>
      </c>
      <c r="C28" s="82">
        <f>O29</f>
        <v>3600</v>
      </c>
      <c r="D28" s="83" t="s">
        <v>69</v>
      </c>
      <c r="E28" s="230">
        <f>G9</f>
        <v>87.804679589179813</v>
      </c>
      <c r="F28" s="1" t="s">
        <v>70</v>
      </c>
      <c r="G28" s="234">
        <f>ROUND((A28*C28*E28),0)</f>
        <v>11051643469</v>
      </c>
      <c r="H28" s="1" t="s">
        <v>71</v>
      </c>
      <c r="O28" s="72">
        <v>12</v>
      </c>
      <c r="P28" s="1" t="s">
        <v>72</v>
      </c>
    </row>
    <row r="29" spans="1:17">
      <c r="A29" s="1" t="s">
        <v>73</v>
      </c>
      <c r="L29" s="84"/>
      <c r="O29" s="82">
        <f>ROUND((O26*O27*O28),0)</f>
        <v>3600</v>
      </c>
      <c r="P29" s="1" t="s">
        <v>74</v>
      </c>
    </row>
    <row r="30" spans="1:17">
      <c r="A30" s="1" t="s">
        <v>75</v>
      </c>
      <c r="D30" s="85">
        <f>O9</f>
        <v>30820013.742224775</v>
      </c>
      <c r="E30" s="1" t="s">
        <v>76</v>
      </c>
      <c r="G30" s="85">
        <f>L9</f>
        <v>143347968</v>
      </c>
      <c r="H30" s="1" t="s">
        <v>77</v>
      </c>
    </row>
    <row r="31" spans="1:17">
      <c r="A31" s="1" t="s">
        <v>78</v>
      </c>
      <c r="D31" s="86">
        <f>O13</f>
        <v>30820013.742224775</v>
      </c>
      <c r="E31" s="1" t="s">
        <v>76</v>
      </c>
      <c r="G31" s="86">
        <f>L16</f>
        <v>2791656</v>
      </c>
      <c r="H31" s="1" t="s">
        <v>79</v>
      </c>
    </row>
    <row r="32" spans="1:17">
      <c r="A32" s="1" t="s">
        <v>80</v>
      </c>
      <c r="B32" s="239">
        <f>L9</f>
        <v>143347968</v>
      </c>
      <c r="C32" s="239"/>
      <c r="D32" s="83" t="s">
        <v>81</v>
      </c>
      <c r="E32" s="86">
        <f>L16</f>
        <v>2791656</v>
      </c>
      <c r="F32" s="83" t="s">
        <v>82</v>
      </c>
      <c r="G32" s="85">
        <f>L9-L16</f>
        <v>140556312</v>
      </c>
      <c r="H32" s="1" t="s">
        <v>83</v>
      </c>
    </row>
  </sheetData>
  <sheetProtection formatCells="0" formatColumns="0" formatRows="0" insertColumns="0" insertRows="0"/>
  <mergeCells count="8">
    <mergeCell ref="B32:C32"/>
    <mergeCell ref="A2:L2"/>
    <mergeCell ref="A3:A4"/>
    <mergeCell ref="A11:L11"/>
    <mergeCell ref="A12:A13"/>
    <mergeCell ref="A20:A23"/>
    <mergeCell ref="B20:F20"/>
    <mergeCell ref="G20:K20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89" fitToWidth="0" orientation="landscape" r:id="rId1"/>
  <colBreaks count="1" manualBreakCount="1">
    <brk id="12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프린트미리보기">
                <anchor moveWithCells="1" sizeWithCells="1">
                  <from>
                    <xdr:col>3</xdr:col>
                    <xdr:colOff>285750</xdr:colOff>
                    <xdr:row>36</xdr:row>
                    <xdr:rowOff>139700</xdr:rowOff>
                  </from>
                  <to>
                    <xdr:col>5</xdr:col>
                    <xdr:colOff>139700</xdr:colOff>
                    <xdr:row>41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2BAA-B1BF-4E16-AEAE-ECA3BFCBF3A5}">
  <sheetPr codeName="Sheet16"/>
  <dimension ref="A1:BE66"/>
  <sheetViews>
    <sheetView workbookViewId="0">
      <selection activeCell="Q9" sqref="Q9:S9"/>
    </sheetView>
    <sheetView workbookViewId="1">
      <selection activeCell="AD55" sqref="AD55"/>
    </sheetView>
  </sheetViews>
  <sheetFormatPr defaultRowHeight="17"/>
  <cols>
    <col min="1" max="52" width="1.6640625" style="1" customWidth="1"/>
    <col min="53" max="53" width="12" style="1" bestFit="1" customWidth="1"/>
    <col min="54" max="256" width="8.6640625" style="1"/>
    <col min="257" max="308" width="1.6640625" style="1" customWidth="1"/>
    <col min="309" max="512" width="8.6640625" style="1"/>
    <col min="513" max="564" width="1.6640625" style="1" customWidth="1"/>
    <col min="565" max="768" width="8.6640625" style="1"/>
    <col min="769" max="820" width="1.6640625" style="1" customWidth="1"/>
    <col min="821" max="1024" width="8.6640625" style="1"/>
    <col min="1025" max="1076" width="1.6640625" style="1" customWidth="1"/>
    <col min="1077" max="1280" width="8.6640625" style="1"/>
    <col min="1281" max="1332" width="1.6640625" style="1" customWidth="1"/>
    <col min="1333" max="1536" width="8.6640625" style="1"/>
    <col min="1537" max="1588" width="1.6640625" style="1" customWidth="1"/>
    <col min="1589" max="1792" width="8.6640625" style="1"/>
    <col min="1793" max="1844" width="1.6640625" style="1" customWidth="1"/>
    <col min="1845" max="2048" width="8.6640625" style="1"/>
    <col min="2049" max="2100" width="1.6640625" style="1" customWidth="1"/>
    <col min="2101" max="2304" width="8.6640625" style="1"/>
    <col min="2305" max="2356" width="1.6640625" style="1" customWidth="1"/>
    <col min="2357" max="2560" width="8.6640625" style="1"/>
    <col min="2561" max="2612" width="1.6640625" style="1" customWidth="1"/>
    <col min="2613" max="2816" width="8.6640625" style="1"/>
    <col min="2817" max="2868" width="1.6640625" style="1" customWidth="1"/>
    <col min="2869" max="3072" width="8.6640625" style="1"/>
    <col min="3073" max="3124" width="1.6640625" style="1" customWidth="1"/>
    <col min="3125" max="3328" width="8.6640625" style="1"/>
    <col min="3329" max="3380" width="1.6640625" style="1" customWidth="1"/>
    <col min="3381" max="3584" width="8.6640625" style="1"/>
    <col min="3585" max="3636" width="1.6640625" style="1" customWidth="1"/>
    <col min="3637" max="3840" width="8.6640625" style="1"/>
    <col min="3841" max="3892" width="1.6640625" style="1" customWidth="1"/>
    <col min="3893" max="4096" width="8.6640625" style="1"/>
    <col min="4097" max="4148" width="1.6640625" style="1" customWidth="1"/>
    <col min="4149" max="4352" width="8.6640625" style="1"/>
    <col min="4353" max="4404" width="1.6640625" style="1" customWidth="1"/>
    <col min="4405" max="4608" width="8.6640625" style="1"/>
    <col min="4609" max="4660" width="1.6640625" style="1" customWidth="1"/>
    <col min="4661" max="4864" width="8.6640625" style="1"/>
    <col min="4865" max="4916" width="1.6640625" style="1" customWidth="1"/>
    <col min="4917" max="5120" width="8.6640625" style="1"/>
    <col min="5121" max="5172" width="1.6640625" style="1" customWidth="1"/>
    <col min="5173" max="5376" width="8.6640625" style="1"/>
    <col min="5377" max="5428" width="1.6640625" style="1" customWidth="1"/>
    <col min="5429" max="5632" width="8.6640625" style="1"/>
    <col min="5633" max="5684" width="1.6640625" style="1" customWidth="1"/>
    <col min="5685" max="5888" width="8.6640625" style="1"/>
    <col min="5889" max="5940" width="1.6640625" style="1" customWidth="1"/>
    <col min="5941" max="6144" width="8.6640625" style="1"/>
    <col min="6145" max="6196" width="1.6640625" style="1" customWidth="1"/>
    <col min="6197" max="6400" width="8.6640625" style="1"/>
    <col min="6401" max="6452" width="1.6640625" style="1" customWidth="1"/>
    <col min="6453" max="6656" width="8.6640625" style="1"/>
    <col min="6657" max="6708" width="1.6640625" style="1" customWidth="1"/>
    <col min="6709" max="6912" width="8.6640625" style="1"/>
    <col min="6913" max="6964" width="1.6640625" style="1" customWidth="1"/>
    <col min="6965" max="7168" width="8.6640625" style="1"/>
    <col min="7169" max="7220" width="1.6640625" style="1" customWidth="1"/>
    <col min="7221" max="7424" width="8.6640625" style="1"/>
    <col min="7425" max="7476" width="1.6640625" style="1" customWidth="1"/>
    <col min="7477" max="7680" width="8.6640625" style="1"/>
    <col min="7681" max="7732" width="1.6640625" style="1" customWidth="1"/>
    <col min="7733" max="7936" width="8.6640625" style="1"/>
    <col min="7937" max="7988" width="1.6640625" style="1" customWidth="1"/>
    <col min="7989" max="8192" width="8.6640625" style="1"/>
    <col min="8193" max="8244" width="1.6640625" style="1" customWidth="1"/>
    <col min="8245" max="8448" width="8.6640625" style="1"/>
    <col min="8449" max="8500" width="1.6640625" style="1" customWidth="1"/>
    <col min="8501" max="8704" width="8.6640625" style="1"/>
    <col min="8705" max="8756" width="1.6640625" style="1" customWidth="1"/>
    <col min="8757" max="8960" width="8.6640625" style="1"/>
    <col min="8961" max="9012" width="1.6640625" style="1" customWidth="1"/>
    <col min="9013" max="9216" width="8.6640625" style="1"/>
    <col min="9217" max="9268" width="1.6640625" style="1" customWidth="1"/>
    <col min="9269" max="9472" width="8.6640625" style="1"/>
    <col min="9473" max="9524" width="1.6640625" style="1" customWidth="1"/>
    <col min="9525" max="9728" width="8.6640625" style="1"/>
    <col min="9729" max="9780" width="1.6640625" style="1" customWidth="1"/>
    <col min="9781" max="9984" width="8.6640625" style="1"/>
    <col min="9985" max="10036" width="1.6640625" style="1" customWidth="1"/>
    <col min="10037" max="10240" width="8.6640625" style="1"/>
    <col min="10241" max="10292" width="1.6640625" style="1" customWidth="1"/>
    <col min="10293" max="10496" width="8.6640625" style="1"/>
    <col min="10497" max="10548" width="1.6640625" style="1" customWidth="1"/>
    <col min="10549" max="10752" width="8.6640625" style="1"/>
    <col min="10753" max="10804" width="1.6640625" style="1" customWidth="1"/>
    <col min="10805" max="11008" width="8.6640625" style="1"/>
    <col min="11009" max="11060" width="1.6640625" style="1" customWidth="1"/>
    <col min="11061" max="11264" width="8.6640625" style="1"/>
    <col min="11265" max="11316" width="1.6640625" style="1" customWidth="1"/>
    <col min="11317" max="11520" width="8.6640625" style="1"/>
    <col min="11521" max="11572" width="1.6640625" style="1" customWidth="1"/>
    <col min="11573" max="11776" width="8.6640625" style="1"/>
    <col min="11777" max="11828" width="1.6640625" style="1" customWidth="1"/>
    <col min="11829" max="12032" width="8.6640625" style="1"/>
    <col min="12033" max="12084" width="1.6640625" style="1" customWidth="1"/>
    <col min="12085" max="12288" width="8.6640625" style="1"/>
    <col min="12289" max="12340" width="1.6640625" style="1" customWidth="1"/>
    <col min="12341" max="12544" width="8.6640625" style="1"/>
    <col min="12545" max="12596" width="1.6640625" style="1" customWidth="1"/>
    <col min="12597" max="12800" width="8.6640625" style="1"/>
    <col min="12801" max="12852" width="1.6640625" style="1" customWidth="1"/>
    <col min="12853" max="13056" width="8.6640625" style="1"/>
    <col min="13057" max="13108" width="1.6640625" style="1" customWidth="1"/>
    <col min="13109" max="13312" width="8.6640625" style="1"/>
    <col min="13313" max="13364" width="1.6640625" style="1" customWidth="1"/>
    <col min="13365" max="13568" width="8.6640625" style="1"/>
    <col min="13569" max="13620" width="1.6640625" style="1" customWidth="1"/>
    <col min="13621" max="13824" width="8.6640625" style="1"/>
    <col min="13825" max="13876" width="1.6640625" style="1" customWidth="1"/>
    <col min="13877" max="14080" width="8.6640625" style="1"/>
    <col min="14081" max="14132" width="1.6640625" style="1" customWidth="1"/>
    <col min="14133" max="14336" width="8.6640625" style="1"/>
    <col min="14337" max="14388" width="1.6640625" style="1" customWidth="1"/>
    <col min="14389" max="14592" width="8.6640625" style="1"/>
    <col min="14593" max="14644" width="1.6640625" style="1" customWidth="1"/>
    <col min="14645" max="14848" width="8.6640625" style="1"/>
    <col min="14849" max="14900" width="1.6640625" style="1" customWidth="1"/>
    <col min="14901" max="15104" width="8.6640625" style="1"/>
    <col min="15105" max="15156" width="1.6640625" style="1" customWidth="1"/>
    <col min="15157" max="15360" width="8.6640625" style="1"/>
    <col min="15361" max="15412" width="1.6640625" style="1" customWidth="1"/>
    <col min="15413" max="15616" width="8.6640625" style="1"/>
    <col min="15617" max="15668" width="1.6640625" style="1" customWidth="1"/>
    <col min="15669" max="15872" width="8.6640625" style="1"/>
    <col min="15873" max="15924" width="1.6640625" style="1" customWidth="1"/>
    <col min="15925" max="16128" width="8.6640625" style="1"/>
    <col min="16129" max="16180" width="1.6640625" style="1" customWidth="1"/>
    <col min="16181" max="16384" width="8.6640625" style="1"/>
  </cols>
  <sheetData>
    <row r="1" spans="1:47" ht="21">
      <c r="A1" s="87" t="s">
        <v>84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9"/>
    </row>
    <row r="2" spans="1:47" ht="17.5">
      <c r="A2" s="90" t="s">
        <v>85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9"/>
    </row>
    <row r="3" spans="1:47" ht="7" customHeight="1">
      <c r="A3" s="92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5"/>
    </row>
    <row r="4" spans="1:47" ht="16" customHeight="1">
      <c r="A4" s="96" t="s">
        <v>86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AU4" s="98"/>
    </row>
    <row r="5" spans="1:47" ht="7" customHeight="1">
      <c r="A5" s="96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AU5" s="98"/>
    </row>
    <row r="6" spans="1:47" ht="16" customHeight="1">
      <c r="A6" s="96" t="s">
        <v>87</v>
      </c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100"/>
    </row>
    <row r="7" spans="1:47" ht="7" customHeight="1">
      <c r="A7" s="96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100"/>
    </row>
    <row r="8" spans="1:47" ht="16" customHeight="1">
      <c r="A8" s="96" t="s">
        <v>88</v>
      </c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100"/>
    </row>
    <row r="9" spans="1:47" ht="16" customHeight="1">
      <c r="A9" s="96" t="s">
        <v>89</v>
      </c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101">
        <f>[1]산출서!L9</f>
        <v>67.31</v>
      </c>
      <c r="R9" s="101"/>
      <c r="S9" s="101"/>
      <c r="T9" s="99" t="s">
        <v>90</v>
      </c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100"/>
    </row>
    <row r="10" spans="1:47" ht="16" customHeight="1">
      <c r="A10" s="96" t="s">
        <v>91</v>
      </c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102">
        <f>[1]산출서!L16</f>
        <v>52.62</v>
      </c>
      <c r="R10" s="102"/>
      <c r="S10" s="102"/>
      <c r="T10" s="99" t="s">
        <v>92</v>
      </c>
      <c r="U10" s="99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4"/>
    </row>
    <row r="11" spans="1:47" ht="7" customHeight="1">
      <c r="A11" s="96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4"/>
    </row>
    <row r="12" spans="1:47" ht="16" customHeight="1">
      <c r="A12" s="105" t="s">
        <v>93</v>
      </c>
      <c r="B12" s="106"/>
      <c r="C12" s="106"/>
      <c r="D12" s="106"/>
      <c r="E12" s="106"/>
      <c r="F12" s="106"/>
      <c r="G12" s="106"/>
      <c r="H12" s="107" t="s">
        <v>94</v>
      </c>
      <c r="I12" s="107"/>
      <c r="J12" s="107"/>
      <c r="K12" s="107"/>
      <c r="L12" s="107" t="s">
        <v>95</v>
      </c>
      <c r="M12" s="107" t="s">
        <v>96</v>
      </c>
      <c r="N12" s="107"/>
      <c r="O12" s="107"/>
      <c r="P12" s="107"/>
      <c r="Q12" s="108" t="s">
        <v>97</v>
      </c>
      <c r="R12" s="108"/>
      <c r="S12" s="109">
        <f>Q9</f>
        <v>67.31</v>
      </c>
      <c r="T12" s="109"/>
      <c r="U12" s="109"/>
      <c r="V12" s="110" t="s">
        <v>98</v>
      </c>
      <c r="W12" s="110"/>
      <c r="X12" s="110"/>
      <c r="Y12" s="110" t="s">
        <v>95</v>
      </c>
      <c r="Z12" s="109">
        <f>Q10</f>
        <v>52.62</v>
      </c>
      <c r="AA12" s="109"/>
      <c r="AB12" s="109"/>
      <c r="AC12" s="110" t="s">
        <v>98</v>
      </c>
      <c r="AD12" s="110"/>
      <c r="AE12" s="110"/>
      <c r="AF12" s="111" t="s">
        <v>99</v>
      </c>
      <c r="AG12" s="111"/>
      <c r="AH12" s="111"/>
      <c r="AI12" s="111"/>
      <c r="AJ12" s="111"/>
      <c r="AK12" s="112">
        <f>1-(Q10/Q9)</f>
        <v>0.21824394592185414</v>
      </c>
      <c r="AL12" s="112"/>
      <c r="AM12" s="112"/>
      <c r="AN12" s="112"/>
      <c r="AO12" s="111" t="s">
        <v>100</v>
      </c>
      <c r="AP12" s="111"/>
      <c r="AQ12" s="103"/>
      <c r="AR12" s="103"/>
      <c r="AS12" s="103"/>
      <c r="AT12" s="103"/>
      <c r="AU12" s="104"/>
    </row>
    <row r="13" spans="1:47" ht="16" customHeight="1">
      <c r="A13" s="105"/>
      <c r="B13" s="106"/>
      <c r="C13" s="106"/>
      <c r="D13" s="106"/>
      <c r="E13" s="106"/>
      <c r="F13" s="106"/>
      <c r="G13" s="106"/>
      <c r="H13" s="106" t="s">
        <v>94</v>
      </c>
      <c r="I13" s="106"/>
      <c r="J13" s="106"/>
      <c r="K13" s="106"/>
      <c r="L13" s="106"/>
      <c r="M13" s="106"/>
      <c r="N13" s="106"/>
      <c r="O13" s="106"/>
      <c r="P13" s="106"/>
      <c r="Q13" s="108"/>
      <c r="R13" s="108"/>
      <c r="S13" s="99"/>
      <c r="T13" s="99"/>
      <c r="U13" s="99"/>
      <c r="V13" s="113">
        <f>Q9</f>
        <v>67.31</v>
      </c>
      <c r="W13" s="114"/>
      <c r="X13" s="114"/>
      <c r="Y13" s="114"/>
      <c r="Z13" s="103" t="s">
        <v>98</v>
      </c>
      <c r="AA13" s="103"/>
      <c r="AB13" s="103"/>
      <c r="AC13" s="103"/>
      <c r="AD13" s="103"/>
      <c r="AE13" s="103"/>
      <c r="AF13" s="111"/>
      <c r="AG13" s="111"/>
      <c r="AH13" s="111"/>
      <c r="AI13" s="111"/>
      <c r="AJ13" s="111"/>
      <c r="AK13" s="112"/>
      <c r="AL13" s="112"/>
      <c r="AM13" s="112"/>
      <c r="AN13" s="112"/>
      <c r="AO13" s="111"/>
      <c r="AP13" s="111"/>
      <c r="AQ13" s="103"/>
      <c r="AR13" s="103"/>
      <c r="AS13" s="103"/>
      <c r="AT13" s="103"/>
      <c r="AU13" s="104"/>
    </row>
    <row r="14" spans="1:47" ht="7" customHeight="1">
      <c r="A14" s="96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4"/>
    </row>
    <row r="15" spans="1:47" ht="16" customHeight="1">
      <c r="A15" s="96" t="s">
        <v>101</v>
      </c>
      <c r="C15" s="99"/>
      <c r="D15" s="99"/>
      <c r="E15" s="99"/>
      <c r="F15" s="99"/>
      <c r="G15" s="99"/>
      <c r="H15" s="99"/>
      <c r="I15" s="115">
        <f>[1]산출서!Q29</f>
        <v>3600</v>
      </c>
      <c r="J15" s="115"/>
      <c r="K15" s="115"/>
      <c r="L15" s="99" t="s">
        <v>102</v>
      </c>
      <c r="M15" s="99"/>
      <c r="N15" s="99"/>
      <c r="O15" s="99"/>
      <c r="P15" s="99"/>
      <c r="Q15" s="116">
        <f>[1]산출서!Q26</f>
        <v>12</v>
      </c>
      <c r="R15" s="116"/>
      <c r="S15" s="99" t="s">
        <v>103</v>
      </c>
      <c r="T15" s="99"/>
      <c r="U15" s="99"/>
      <c r="V15" s="103"/>
      <c r="W15" s="117">
        <f>[1]산출서!Q27</f>
        <v>25</v>
      </c>
      <c r="X15" s="117"/>
      <c r="Y15" s="103" t="s">
        <v>104</v>
      </c>
      <c r="Z15" s="103"/>
      <c r="AA15" s="103"/>
      <c r="AB15" s="118">
        <f>[1]산출서!Q28</f>
        <v>12</v>
      </c>
      <c r="AC15" s="118"/>
      <c r="AD15" s="103" t="s">
        <v>105</v>
      </c>
      <c r="AE15" s="103"/>
      <c r="AF15" s="103"/>
      <c r="AG15" s="103"/>
      <c r="AH15" s="103"/>
      <c r="AI15" s="103"/>
      <c r="AJ15" s="103"/>
      <c r="AK15" s="103"/>
      <c r="AL15" s="103"/>
      <c r="AM15" s="103"/>
      <c r="AN15" s="103"/>
      <c r="AO15" s="103"/>
      <c r="AP15" s="103"/>
      <c r="AQ15" s="103"/>
      <c r="AR15" s="103"/>
      <c r="AS15" s="103"/>
      <c r="AT15" s="103"/>
      <c r="AU15" s="104"/>
    </row>
    <row r="16" spans="1:47" ht="16" customHeight="1">
      <c r="A16" s="96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  <c r="AP16" s="103"/>
      <c r="AQ16" s="103"/>
      <c r="AR16" s="103"/>
      <c r="AS16" s="103"/>
      <c r="AT16" s="103"/>
      <c r="AU16" s="104"/>
    </row>
    <row r="17" spans="1:53" ht="16" customHeight="1">
      <c r="A17" s="96" t="s">
        <v>106</v>
      </c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3"/>
      <c r="AL17" s="103"/>
      <c r="AM17" s="103"/>
      <c r="AN17" s="103"/>
      <c r="AO17" s="103"/>
      <c r="AP17" s="103"/>
      <c r="AQ17" s="103"/>
      <c r="AR17" s="103"/>
      <c r="AS17" s="103"/>
      <c r="AT17" s="103"/>
      <c r="AU17" s="104"/>
    </row>
    <row r="18" spans="1:53" ht="16" customHeight="1">
      <c r="A18" s="96" t="s">
        <v>107</v>
      </c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4"/>
    </row>
    <row r="19" spans="1:53" ht="16" customHeight="1">
      <c r="A19" s="96" t="s">
        <v>108</v>
      </c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103"/>
      <c r="W19" s="103"/>
      <c r="X19" s="101">
        <f>Q9</f>
        <v>67.31</v>
      </c>
      <c r="Y19" s="101"/>
      <c r="Z19" s="101"/>
      <c r="AA19" s="103" t="s">
        <v>109</v>
      </c>
      <c r="AB19" s="103"/>
      <c r="AC19" s="103"/>
      <c r="AD19" s="103"/>
      <c r="AE19" s="119">
        <f>I15</f>
        <v>3600</v>
      </c>
      <c r="AF19" s="101"/>
      <c r="AG19" s="101"/>
      <c r="AH19" s="103" t="s">
        <v>110</v>
      </c>
      <c r="AI19" s="103"/>
      <c r="AJ19" s="103"/>
      <c r="AK19" s="103"/>
      <c r="AL19" s="103"/>
      <c r="AM19" s="120">
        <f>ROUND((X19*AE19),0)</f>
        <v>242316</v>
      </c>
      <c r="AN19" s="120"/>
      <c r="AO19" s="120"/>
      <c r="AP19" s="120"/>
      <c r="AQ19" s="103" t="s">
        <v>71</v>
      </c>
      <c r="AR19" s="103"/>
      <c r="AS19" s="103"/>
      <c r="AT19" s="103"/>
      <c r="AU19" s="104"/>
      <c r="BA19" s="121"/>
    </row>
    <row r="20" spans="1:53" ht="16" customHeight="1">
      <c r="A20" s="96" t="s">
        <v>111</v>
      </c>
      <c r="B20" s="99"/>
      <c r="C20" s="122">
        <f>AM19/1000</f>
        <v>242.316</v>
      </c>
      <c r="D20" s="122"/>
      <c r="E20" s="122"/>
      <c r="F20" s="99" t="s">
        <v>112</v>
      </c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103"/>
      <c r="W20" s="123">
        <f>C20*0.229</f>
        <v>55.490364</v>
      </c>
      <c r="X20" s="123"/>
      <c r="Y20" s="123"/>
      <c r="Z20" s="123"/>
      <c r="AA20" s="103" t="s">
        <v>113</v>
      </c>
      <c r="AB20" s="103"/>
      <c r="AC20" s="124">
        <f>W20</f>
        <v>55.490364</v>
      </c>
      <c r="AD20" s="124"/>
      <c r="AE20" s="124"/>
      <c r="AF20" s="124"/>
      <c r="AG20" s="103" t="s">
        <v>114</v>
      </c>
      <c r="AH20" s="103"/>
      <c r="AI20" s="103"/>
      <c r="AJ20" s="103"/>
      <c r="AK20" s="103"/>
      <c r="AL20" s="103"/>
      <c r="AM20" s="103"/>
      <c r="AN20" s="103"/>
      <c r="AO20" s="103"/>
      <c r="AP20" s="103"/>
      <c r="AQ20" s="103"/>
      <c r="AR20" s="103"/>
      <c r="AS20" s="103"/>
      <c r="AT20" s="103"/>
      <c r="AU20" s="104"/>
    </row>
    <row r="21" spans="1:53" ht="15" customHeight="1">
      <c r="A21" s="96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4"/>
    </row>
    <row r="22" spans="1:53" ht="16" customHeight="1">
      <c r="A22" s="96" t="s">
        <v>115</v>
      </c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4"/>
    </row>
    <row r="23" spans="1:53" ht="16" customHeight="1">
      <c r="A23" s="96" t="s">
        <v>116</v>
      </c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103"/>
      <c r="W23" s="103"/>
      <c r="X23" s="101">
        <f>Q10</f>
        <v>52.62</v>
      </c>
      <c r="Y23" s="101"/>
      <c r="Z23" s="101"/>
      <c r="AA23" s="103" t="s">
        <v>109</v>
      </c>
      <c r="AB23" s="103"/>
      <c r="AC23" s="103"/>
      <c r="AD23" s="103"/>
      <c r="AE23" s="119">
        <f>I15</f>
        <v>3600</v>
      </c>
      <c r="AF23" s="101"/>
      <c r="AG23" s="101"/>
      <c r="AH23" s="103" t="s">
        <v>110</v>
      </c>
      <c r="AI23" s="103"/>
      <c r="AJ23" s="103"/>
      <c r="AK23" s="103"/>
      <c r="AL23" s="103"/>
      <c r="AM23" s="120">
        <f>ROUND((X23*AE23),0)</f>
        <v>189432</v>
      </c>
      <c r="AN23" s="120"/>
      <c r="AO23" s="120"/>
      <c r="AP23" s="120"/>
      <c r="AQ23" s="103" t="s">
        <v>71</v>
      </c>
      <c r="AR23" s="103"/>
      <c r="AS23" s="103"/>
      <c r="AT23" s="103"/>
      <c r="AU23" s="104"/>
    </row>
    <row r="24" spans="1:53" ht="16" customHeight="1">
      <c r="A24" s="96" t="s">
        <v>111</v>
      </c>
      <c r="B24" s="99"/>
      <c r="C24" s="122">
        <f>AM23/1000</f>
        <v>189.43199999999999</v>
      </c>
      <c r="D24" s="122"/>
      <c r="E24" s="122"/>
      <c r="F24" s="99" t="s">
        <v>112</v>
      </c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103"/>
      <c r="W24" s="123">
        <f>C24*0.229</f>
        <v>43.379928</v>
      </c>
      <c r="X24" s="123"/>
      <c r="Y24" s="123"/>
      <c r="Z24" s="123"/>
      <c r="AA24" s="103" t="s">
        <v>113</v>
      </c>
      <c r="AB24" s="103"/>
      <c r="AC24" s="125">
        <f>W24</f>
        <v>43.379928</v>
      </c>
      <c r="AD24" s="125"/>
      <c r="AE24" s="125"/>
      <c r="AF24" s="125"/>
      <c r="AG24" s="103" t="s">
        <v>114</v>
      </c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104"/>
    </row>
    <row r="25" spans="1:53" ht="15" customHeight="1">
      <c r="A25" s="96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4"/>
    </row>
    <row r="26" spans="1:53" ht="16" customHeight="1">
      <c r="A26" s="96" t="s">
        <v>117</v>
      </c>
      <c r="B26" s="99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4"/>
    </row>
    <row r="27" spans="1:53" ht="16" customHeight="1">
      <c r="A27" s="96" t="s">
        <v>118</v>
      </c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4"/>
    </row>
    <row r="28" spans="1:53" ht="16" customHeight="1">
      <c r="A28" s="96" t="s">
        <v>111</v>
      </c>
      <c r="B28" s="99"/>
      <c r="C28" s="120">
        <f>AM19</f>
        <v>242316</v>
      </c>
      <c r="D28" s="126"/>
      <c r="E28" s="126"/>
      <c r="F28" s="126"/>
      <c r="G28" s="99" t="s">
        <v>119</v>
      </c>
      <c r="H28" s="99"/>
      <c r="I28" s="99"/>
      <c r="J28" s="99"/>
      <c r="K28" s="99"/>
      <c r="L28" s="99"/>
      <c r="M28" s="99"/>
      <c r="N28" s="120">
        <f>AM23</f>
        <v>189432</v>
      </c>
      <c r="O28" s="126"/>
      <c r="P28" s="126"/>
      <c r="Q28" s="126"/>
      <c r="R28" s="99" t="s">
        <v>120</v>
      </c>
      <c r="S28" s="99"/>
      <c r="T28" s="99"/>
      <c r="U28" s="99"/>
      <c r="V28" s="103"/>
      <c r="W28" s="103"/>
      <c r="X28" s="127">
        <f>C28-N28</f>
        <v>52884</v>
      </c>
      <c r="Y28" s="102"/>
      <c r="Z28" s="102"/>
      <c r="AA28" s="102"/>
      <c r="AB28" s="102"/>
      <c r="AC28" s="103" t="s">
        <v>71</v>
      </c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4"/>
      <c r="BA28" s="128"/>
    </row>
    <row r="29" spans="1:53" ht="16" customHeight="1">
      <c r="A29" s="96" t="s">
        <v>111</v>
      </c>
      <c r="B29" s="99"/>
      <c r="C29" s="129">
        <f>AC20</f>
        <v>55.490364</v>
      </c>
      <c r="D29" s="116"/>
      <c r="E29" s="116"/>
      <c r="F29" s="99" t="s">
        <v>121</v>
      </c>
      <c r="G29" s="99"/>
      <c r="H29" s="99"/>
      <c r="I29" s="99"/>
      <c r="J29" s="99"/>
      <c r="K29" s="99"/>
      <c r="L29" s="130">
        <f>AC24</f>
        <v>43.379928</v>
      </c>
      <c r="M29" s="101"/>
      <c r="N29" s="101"/>
      <c r="O29" s="99" t="s">
        <v>122</v>
      </c>
      <c r="P29" s="99"/>
      <c r="Q29" s="99"/>
      <c r="R29" s="99"/>
      <c r="S29" s="99"/>
      <c r="T29" s="99"/>
      <c r="U29" s="131">
        <f>C29-L29</f>
        <v>12.110436</v>
      </c>
      <c r="V29" s="132"/>
      <c r="W29" s="132"/>
      <c r="X29" s="132"/>
      <c r="Y29" s="103" t="s">
        <v>114</v>
      </c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4"/>
    </row>
    <row r="30" spans="1:53" ht="16" customHeight="1">
      <c r="A30" s="96" t="s">
        <v>111</v>
      </c>
      <c r="B30" s="99"/>
      <c r="C30" s="132">
        <f>ROUND((X28/1000),2)</f>
        <v>52.88</v>
      </c>
      <c r="D30" s="132"/>
      <c r="E30" s="132"/>
      <c r="F30" s="132"/>
      <c r="G30" s="99" t="s">
        <v>123</v>
      </c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103"/>
      <c r="W30" s="103"/>
      <c r="X30" s="133">
        <f>C30*0.229</f>
        <v>12.109520000000002</v>
      </c>
      <c r="Y30" s="133"/>
      <c r="Z30" s="133"/>
      <c r="AA30" s="133"/>
      <c r="AB30" s="103" t="s">
        <v>124</v>
      </c>
      <c r="AC30" s="103"/>
      <c r="AD30" s="131">
        <f>X30</f>
        <v>12.109520000000002</v>
      </c>
      <c r="AE30" s="131"/>
      <c r="AF30" s="131"/>
      <c r="AG30" s="131"/>
      <c r="AH30" s="103" t="s">
        <v>114</v>
      </c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104"/>
    </row>
    <row r="31" spans="1:53" ht="15" customHeight="1">
      <c r="A31" s="96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4"/>
    </row>
    <row r="32" spans="1:53" ht="16" customHeight="1">
      <c r="A32" s="96" t="s">
        <v>125</v>
      </c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4"/>
    </row>
    <row r="33" spans="1:47" ht="16" customHeight="1">
      <c r="A33" s="96" t="s">
        <v>126</v>
      </c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4"/>
    </row>
    <row r="34" spans="1:47" ht="16" customHeight="1">
      <c r="A34" s="96" t="s">
        <v>111</v>
      </c>
      <c r="B34" s="99"/>
      <c r="C34" s="131">
        <f>AD30</f>
        <v>12.109520000000002</v>
      </c>
      <c r="D34" s="132"/>
      <c r="E34" s="132"/>
      <c r="F34" s="132"/>
      <c r="G34" s="99" t="s">
        <v>127</v>
      </c>
      <c r="H34" s="99"/>
      <c r="I34" s="99"/>
      <c r="J34" s="99"/>
      <c r="K34" s="99"/>
      <c r="L34" s="99"/>
      <c r="M34" s="131">
        <f>AC20</f>
        <v>55.490364</v>
      </c>
      <c r="N34" s="132"/>
      <c r="O34" s="132"/>
      <c r="P34" s="132"/>
      <c r="Q34" s="99" t="s">
        <v>128</v>
      </c>
      <c r="R34" s="99"/>
      <c r="S34" s="99"/>
      <c r="T34" s="99"/>
      <c r="U34" s="99"/>
      <c r="V34" s="103"/>
      <c r="W34" s="103"/>
      <c r="X34" s="103"/>
      <c r="Y34" s="103"/>
      <c r="Z34" s="103"/>
      <c r="AA34" s="103"/>
      <c r="AB34" s="134">
        <f>C34/M34</f>
        <v>0.21822743855131319</v>
      </c>
      <c r="AC34" s="134"/>
      <c r="AD34" s="134"/>
      <c r="AE34" s="134"/>
      <c r="AF34" s="103" t="s">
        <v>124</v>
      </c>
      <c r="AG34" s="103"/>
      <c r="AH34" s="135">
        <f>AB34</f>
        <v>0.21822743855131319</v>
      </c>
      <c r="AI34" s="135"/>
      <c r="AJ34" s="135"/>
      <c r="AK34" s="135"/>
      <c r="AL34" s="103"/>
      <c r="AM34" s="103"/>
      <c r="AN34" s="103"/>
      <c r="AO34" s="103"/>
      <c r="AP34" s="103"/>
      <c r="AQ34" s="103"/>
      <c r="AR34" s="103"/>
      <c r="AS34" s="103"/>
      <c r="AT34" s="103"/>
      <c r="AU34" s="104"/>
    </row>
    <row r="35" spans="1:47" ht="15" customHeight="1">
      <c r="A35" s="96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4"/>
    </row>
    <row r="36" spans="1:47" ht="16" customHeight="1">
      <c r="A36" s="96" t="s">
        <v>129</v>
      </c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4"/>
    </row>
    <row r="37" spans="1:47" ht="16" customHeight="1">
      <c r="A37" s="96" t="s">
        <v>111</v>
      </c>
      <c r="B37" s="99"/>
      <c r="C37" s="127">
        <f>X28</f>
        <v>52884</v>
      </c>
      <c r="D37" s="102"/>
      <c r="E37" s="102"/>
      <c r="F37" s="102"/>
      <c r="G37" s="99" t="s">
        <v>130</v>
      </c>
      <c r="H37" s="99"/>
      <c r="I37" s="99"/>
      <c r="J37" s="99"/>
      <c r="K37" s="99"/>
      <c r="L37" s="99"/>
      <c r="M37" s="99"/>
      <c r="N37" s="136">
        <f>[1]산출서!Q20</f>
        <v>183.14273554840383</v>
      </c>
      <c r="O37" s="136"/>
      <c r="P37" s="136"/>
      <c r="Q37" s="136"/>
      <c r="R37" s="99" t="s">
        <v>131</v>
      </c>
      <c r="S37" s="99"/>
      <c r="T37" s="99"/>
      <c r="U37" s="99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O37" s="103"/>
      <c r="AP37" s="103"/>
      <c r="AQ37" s="103"/>
      <c r="AR37" s="103"/>
      <c r="AS37" s="103"/>
      <c r="AT37" s="103"/>
      <c r="AU37" s="104"/>
    </row>
    <row r="38" spans="1:47" ht="16" customHeight="1">
      <c r="A38" s="96" t="s">
        <v>111</v>
      </c>
      <c r="B38" s="99"/>
      <c r="C38" s="137">
        <f>C37*N37/10^3</f>
        <v>9685.3204267417877</v>
      </c>
      <c r="D38" s="137"/>
      <c r="E38" s="137"/>
      <c r="F38" s="137"/>
      <c r="G38" s="137"/>
      <c r="H38" s="99" t="s">
        <v>124</v>
      </c>
      <c r="I38" s="99"/>
      <c r="J38" s="138">
        <f>C38</f>
        <v>9685.3204267417877</v>
      </c>
      <c r="K38" s="138"/>
      <c r="L38" s="138"/>
      <c r="M38" s="138"/>
      <c r="N38" s="138"/>
      <c r="O38" s="99" t="s">
        <v>132</v>
      </c>
      <c r="P38" s="99"/>
      <c r="Q38" s="99"/>
      <c r="R38" s="99"/>
      <c r="S38" s="99"/>
      <c r="T38" s="99"/>
      <c r="U38" s="99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4"/>
    </row>
    <row r="39" spans="1:47" ht="15" customHeight="1">
      <c r="A39" s="96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4"/>
    </row>
    <row r="40" spans="1:47" ht="16" customHeight="1">
      <c r="A40" s="96" t="s">
        <v>133</v>
      </c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4"/>
    </row>
    <row r="41" spans="1:47" ht="16" customHeight="1">
      <c r="A41" s="96" t="s">
        <v>134</v>
      </c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4"/>
    </row>
    <row r="42" spans="1:47" ht="16" customHeight="1">
      <c r="A42" s="96" t="s">
        <v>135</v>
      </c>
      <c r="B42" s="99"/>
      <c r="C42" s="132">
        <f>C30</f>
        <v>52.88</v>
      </c>
      <c r="D42" s="132"/>
      <c r="E42" s="132"/>
      <c r="F42" s="132"/>
      <c r="G42" s="99" t="s">
        <v>136</v>
      </c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  <c r="AO42" s="103"/>
      <c r="AP42" s="103"/>
      <c r="AQ42" s="103"/>
      <c r="AR42" s="103"/>
      <c r="AS42" s="103"/>
      <c r="AT42" s="103"/>
      <c r="AU42" s="104"/>
    </row>
    <row r="43" spans="1:47" ht="16" customHeight="1">
      <c r="A43" s="96" t="s">
        <v>137</v>
      </c>
      <c r="B43" s="99"/>
      <c r="C43" s="132">
        <f>L43*12/44</f>
        <v>6.7104720000000011</v>
      </c>
      <c r="D43" s="132"/>
      <c r="E43" s="132"/>
      <c r="F43" s="132"/>
      <c r="G43" s="99" t="s">
        <v>138</v>
      </c>
      <c r="H43" s="99"/>
      <c r="I43" s="99"/>
      <c r="J43" s="99"/>
      <c r="K43" s="99"/>
      <c r="L43" s="139">
        <f>C42*0.4653</f>
        <v>24.605064000000002</v>
      </c>
      <c r="M43" s="139"/>
      <c r="N43" s="139"/>
      <c r="O43" s="139"/>
      <c r="P43" s="139"/>
      <c r="Q43" s="99" t="s">
        <v>139</v>
      </c>
      <c r="R43" s="99"/>
      <c r="S43" s="99"/>
      <c r="T43" s="99"/>
      <c r="U43" s="99"/>
      <c r="V43" s="103"/>
      <c r="W43" s="103"/>
      <c r="X43" s="139">
        <f>C42*0.46625</f>
        <v>24.6553</v>
      </c>
      <c r="Y43" s="139"/>
      <c r="Z43" s="139"/>
      <c r="AA43" s="139"/>
      <c r="AB43" s="139"/>
      <c r="AC43" s="103" t="s">
        <v>140</v>
      </c>
      <c r="AD43" s="103"/>
      <c r="AE43" s="103"/>
      <c r="AF43" s="103"/>
      <c r="AG43" s="103"/>
      <c r="AH43" s="103"/>
      <c r="AI43" s="103"/>
      <c r="AJ43" s="103"/>
      <c r="AK43" s="103"/>
      <c r="AL43" s="103"/>
      <c r="AM43" s="103"/>
      <c r="AN43" s="103"/>
      <c r="AO43" s="103"/>
      <c r="AP43" s="103"/>
      <c r="AQ43" s="103"/>
      <c r="AR43" s="103"/>
      <c r="AS43" s="103"/>
      <c r="AT43" s="103"/>
      <c r="AU43" s="104"/>
    </row>
    <row r="44" spans="1:47" ht="15" customHeight="1">
      <c r="A44" s="96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3"/>
      <c r="AU44" s="104"/>
    </row>
    <row r="45" spans="1:47" ht="16" customHeight="1">
      <c r="A45" s="96" t="s">
        <v>141</v>
      </c>
      <c r="B45" s="99"/>
      <c r="C45" s="99"/>
      <c r="D45" s="99"/>
      <c r="E45" s="99"/>
      <c r="F45" s="99"/>
      <c r="G45" s="99"/>
      <c r="H45" s="140">
        <f>[1]산출서!Q22*1000</f>
        <v>30000</v>
      </c>
      <c r="I45" s="140"/>
      <c r="J45" s="140"/>
      <c r="K45" s="140"/>
      <c r="L45" s="140"/>
      <c r="M45" s="99" t="s">
        <v>142</v>
      </c>
      <c r="N45" s="99"/>
      <c r="O45" s="99"/>
      <c r="P45" s="99"/>
      <c r="Q45" s="99"/>
      <c r="R45" s="99"/>
      <c r="S45" s="99"/>
      <c r="T45" s="99"/>
      <c r="U45" s="99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3"/>
      <c r="AU45" s="104"/>
    </row>
    <row r="46" spans="1:47" ht="16" customHeight="1">
      <c r="A46" s="96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  <c r="AI46" s="103"/>
      <c r="AJ46" s="103"/>
      <c r="AK46" s="103"/>
      <c r="AL46" s="103"/>
      <c r="AM46" s="103"/>
      <c r="AN46" s="103"/>
      <c r="AO46" s="103"/>
      <c r="AP46" s="103"/>
      <c r="AQ46" s="103"/>
      <c r="AR46" s="103"/>
      <c r="AS46" s="103"/>
      <c r="AT46" s="103"/>
      <c r="AU46" s="104"/>
    </row>
    <row r="47" spans="1:47" ht="16" customHeight="1">
      <c r="A47" s="96" t="s">
        <v>143</v>
      </c>
      <c r="B47" s="99"/>
      <c r="C47" s="99"/>
      <c r="D47" s="99"/>
      <c r="E47" s="99"/>
      <c r="F47" s="99"/>
      <c r="G47" s="99"/>
      <c r="H47" s="99"/>
      <c r="I47" s="99"/>
      <c r="J47" s="132">
        <f>ROUND((C48/M48),2)</f>
        <v>3.1</v>
      </c>
      <c r="K47" s="132"/>
      <c r="L47" s="132"/>
      <c r="M47" s="132"/>
      <c r="N47" s="99" t="s">
        <v>144</v>
      </c>
      <c r="O47" s="99"/>
      <c r="P47" s="99"/>
      <c r="Q47" s="99"/>
      <c r="R47" s="99"/>
      <c r="S47" s="99"/>
      <c r="T47" s="99"/>
      <c r="U47" s="99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103"/>
      <c r="AM47" s="103"/>
      <c r="AN47" s="103"/>
      <c r="AO47" s="103"/>
      <c r="AP47" s="103"/>
      <c r="AQ47" s="103"/>
      <c r="AR47" s="103"/>
      <c r="AS47" s="103"/>
      <c r="AT47" s="103"/>
      <c r="AU47" s="104"/>
    </row>
    <row r="48" spans="1:47" ht="16" customHeight="1">
      <c r="A48" s="96" t="s">
        <v>111</v>
      </c>
      <c r="B48" s="99"/>
      <c r="C48" s="141">
        <f>H45</f>
        <v>30000</v>
      </c>
      <c r="D48" s="117"/>
      <c r="E48" s="117"/>
      <c r="F48" s="117"/>
      <c r="G48" s="117"/>
      <c r="H48" s="99" t="s">
        <v>145</v>
      </c>
      <c r="I48" s="99"/>
      <c r="J48" s="99"/>
      <c r="K48" s="99"/>
      <c r="L48" s="99"/>
      <c r="M48" s="142">
        <f>J38</f>
        <v>9685.3204267417877</v>
      </c>
      <c r="N48" s="132"/>
      <c r="O48" s="132"/>
      <c r="P48" s="132"/>
      <c r="Q48" s="132"/>
      <c r="R48" s="99" t="s">
        <v>146</v>
      </c>
      <c r="S48" s="99"/>
      <c r="T48" s="99"/>
      <c r="U48" s="99"/>
      <c r="V48" s="103"/>
      <c r="W48" s="103"/>
      <c r="X48" s="103"/>
      <c r="Y48" s="132">
        <f>ROUND((C48/M48),2)</f>
        <v>3.1</v>
      </c>
      <c r="Z48" s="132"/>
      <c r="AA48" s="132"/>
      <c r="AB48" s="132"/>
      <c r="AC48" s="103" t="s">
        <v>144</v>
      </c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4"/>
    </row>
    <row r="49" spans="1:57" ht="16" customHeight="1">
      <c r="A49" s="96"/>
      <c r="B49" s="99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104"/>
    </row>
    <row r="50" spans="1:57" ht="16" customHeight="1">
      <c r="A50" s="143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44"/>
    </row>
    <row r="51" spans="1:57" ht="15" customHeight="1">
      <c r="A51" s="103"/>
      <c r="B51" s="103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  <c r="AK51" s="103"/>
      <c r="AL51" s="103"/>
      <c r="AM51" s="103"/>
      <c r="AN51" s="103"/>
      <c r="AO51" s="103"/>
      <c r="AP51" s="103"/>
      <c r="AQ51" s="103"/>
      <c r="AR51" s="103"/>
      <c r="AS51" s="103"/>
      <c r="AT51" s="103"/>
      <c r="AU51" s="103"/>
    </row>
    <row r="52" spans="1:57" ht="15" customHeight="1">
      <c r="A52" s="103"/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3"/>
      <c r="AQ52" s="103"/>
      <c r="AR52" s="103"/>
      <c r="AS52" s="103"/>
      <c r="AT52" s="103"/>
      <c r="AU52" s="103"/>
      <c r="BA52" s="145" t="s">
        <v>147</v>
      </c>
      <c r="BB52" s="145" t="s">
        <v>148</v>
      </c>
      <c r="BC52" s="145" t="s">
        <v>149</v>
      </c>
      <c r="BD52" s="145" t="s">
        <v>150</v>
      </c>
      <c r="BE52" s="145" t="s">
        <v>151</v>
      </c>
    </row>
    <row r="53" spans="1:57" ht="15" customHeight="1">
      <c r="A53" s="103"/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3"/>
      <c r="AL53" s="103"/>
      <c r="AM53" s="103"/>
      <c r="AN53" s="103"/>
      <c r="AO53" s="103"/>
      <c r="AP53" s="103"/>
      <c r="AQ53" s="103"/>
      <c r="AR53" s="103"/>
      <c r="AS53" s="103"/>
      <c r="AT53" s="103"/>
      <c r="AU53" s="103"/>
      <c r="BA53" s="146" t="s">
        <v>152</v>
      </c>
      <c r="BB53" s="146" t="s">
        <v>153</v>
      </c>
      <c r="BC53" s="146" t="s">
        <v>154</v>
      </c>
      <c r="BD53" s="146" t="s">
        <v>155</v>
      </c>
      <c r="BE53" s="146" t="s">
        <v>156</v>
      </c>
    </row>
    <row r="54" spans="1:57" ht="15" customHeight="1">
      <c r="A54" s="103"/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  <c r="AJ54" s="103"/>
      <c r="AK54" s="103"/>
      <c r="AL54" s="103"/>
      <c r="AM54" s="103"/>
      <c r="AN54" s="103"/>
      <c r="AO54" s="103"/>
      <c r="AP54" s="103"/>
      <c r="AQ54" s="103"/>
      <c r="AR54" s="103"/>
      <c r="AS54" s="103"/>
      <c r="AT54" s="103"/>
      <c r="AU54" s="103"/>
      <c r="BA54" s="147">
        <f>AD30</f>
        <v>12.109520000000002</v>
      </c>
      <c r="BB54" s="148">
        <f>AK12</f>
        <v>0.21824394592185414</v>
      </c>
      <c r="BC54" s="149">
        <f>J38</f>
        <v>9685.3204267417877</v>
      </c>
      <c r="BD54" s="149">
        <f>[1]산출서!Q22*1000</f>
        <v>30000</v>
      </c>
      <c r="BE54" s="150">
        <f>Y48</f>
        <v>3.1</v>
      </c>
    </row>
    <row r="55" spans="1:57" ht="15" customHeight="1">
      <c r="A55" s="103"/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K55" s="103"/>
      <c r="AL55" s="103"/>
      <c r="AM55" s="103"/>
      <c r="AN55" s="103"/>
      <c r="AO55" s="103"/>
      <c r="AP55" s="103"/>
      <c r="AQ55" s="103"/>
      <c r="AR55" s="103"/>
      <c r="AS55" s="103"/>
      <c r="AT55" s="103"/>
      <c r="AU55" s="103"/>
    </row>
    <row r="56" spans="1:57" ht="15" customHeight="1"/>
    <row r="57" spans="1:57" ht="15" customHeight="1"/>
    <row r="58" spans="1:57" ht="15" customHeight="1"/>
    <row r="59" spans="1:57" ht="15" customHeight="1"/>
    <row r="60" spans="1:57" ht="15" customHeight="1"/>
    <row r="61" spans="1:57" ht="15" customHeight="1"/>
    <row r="62" spans="1:57" ht="15" customHeight="1"/>
    <row r="63" spans="1:57" ht="15" customHeight="1"/>
    <row r="64" spans="1:57" ht="15" customHeight="1"/>
    <row r="65" ht="15" customHeight="1"/>
    <row r="66" ht="15" customHeight="1"/>
  </sheetData>
  <sheetProtection algorithmName="SHA-512" hashValue="20WNdWzMyAu6FmQvEXmtocM2A28mAC92YTf0gCnbww6dsR9fxrUT3D6K3F9JHXeqSE29snm01JTbYiC/bwaozA==" saltValue="SuXFcaLOX+gx0m/IxFILUA==" spinCount="100000" sheet="1" objects="1" scenarios="1"/>
  <mergeCells count="53">
    <mergeCell ref="C43:F43"/>
    <mergeCell ref="L43:P43"/>
    <mergeCell ref="X43:AB43"/>
    <mergeCell ref="H45:L45"/>
    <mergeCell ref="J47:M47"/>
    <mergeCell ref="C48:G48"/>
    <mergeCell ref="M48:Q48"/>
    <mergeCell ref="Y48:AB48"/>
    <mergeCell ref="AH34:AK34"/>
    <mergeCell ref="C37:F37"/>
    <mergeCell ref="N37:Q37"/>
    <mergeCell ref="C38:G38"/>
    <mergeCell ref="J38:N38"/>
    <mergeCell ref="C42:F42"/>
    <mergeCell ref="C30:F30"/>
    <mergeCell ref="X30:AA30"/>
    <mergeCell ref="AD30:AG30"/>
    <mergeCell ref="C34:F34"/>
    <mergeCell ref="M34:P34"/>
    <mergeCell ref="AB34:AE34"/>
    <mergeCell ref="C28:F28"/>
    <mergeCell ref="N28:Q28"/>
    <mergeCell ref="X28:AB28"/>
    <mergeCell ref="C29:E29"/>
    <mergeCell ref="L29:N29"/>
    <mergeCell ref="U29:X29"/>
    <mergeCell ref="X23:Z23"/>
    <mergeCell ref="AE23:AG23"/>
    <mergeCell ref="AM23:AP23"/>
    <mergeCell ref="C24:E24"/>
    <mergeCell ref="W24:Z24"/>
    <mergeCell ref="AC24:AF24"/>
    <mergeCell ref="X19:Z19"/>
    <mergeCell ref="AE19:AG19"/>
    <mergeCell ref="AM19:AP19"/>
    <mergeCell ref="C20:E20"/>
    <mergeCell ref="W20:Z20"/>
    <mergeCell ref="AC20:AF20"/>
    <mergeCell ref="AF12:AJ13"/>
    <mergeCell ref="AK12:AN13"/>
    <mergeCell ref="AO12:AP13"/>
    <mergeCell ref="H13:P13"/>
    <mergeCell ref="V13:Y13"/>
    <mergeCell ref="I15:K15"/>
    <mergeCell ref="Q15:R15"/>
    <mergeCell ref="W15:X15"/>
    <mergeCell ref="AB15:AC15"/>
    <mergeCell ref="Q9:S9"/>
    <mergeCell ref="Q10:S10"/>
    <mergeCell ref="A12:G13"/>
    <mergeCell ref="Q12:R13"/>
    <mergeCell ref="S12:U12"/>
    <mergeCell ref="Z12:AB1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52D8-CD40-4F29-A50B-ACC9E3C57C8F}">
  <sheetPr codeName="Sheet17"/>
  <dimension ref="B2:M25"/>
  <sheetViews>
    <sheetView workbookViewId="0">
      <selection activeCell="E27" sqref="E27"/>
    </sheetView>
    <sheetView workbookViewId="1">
      <selection activeCell="D43" sqref="D43"/>
    </sheetView>
  </sheetViews>
  <sheetFormatPr defaultRowHeight="17"/>
  <cols>
    <col min="11" max="11" width="7.4140625" bestFit="1" customWidth="1"/>
  </cols>
  <sheetData>
    <row r="2" spans="2:13" ht="17.5">
      <c r="B2" s="151" t="s">
        <v>157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</row>
    <row r="3" spans="2:13" ht="35">
      <c r="B3" s="154" t="s">
        <v>38</v>
      </c>
      <c r="C3" s="155" t="s">
        <v>158</v>
      </c>
      <c r="D3" s="156"/>
      <c r="E3" s="157"/>
      <c r="F3" s="155" t="s">
        <v>159</v>
      </c>
      <c r="G3" s="156"/>
      <c r="H3" s="157"/>
      <c r="I3" s="158" t="s">
        <v>149</v>
      </c>
      <c r="J3" s="158" t="s">
        <v>150</v>
      </c>
      <c r="K3" s="158" t="s">
        <v>150</v>
      </c>
      <c r="L3" s="159" t="s">
        <v>160</v>
      </c>
      <c r="M3" s="158" t="s">
        <v>161</v>
      </c>
    </row>
    <row r="4" spans="2:13" ht="35">
      <c r="B4" s="160"/>
      <c r="C4" s="161"/>
      <c r="D4" s="162"/>
      <c r="E4" s="163"/>
      <c r="F4" s="161"/>
      <c r="G4" s="162"/>
      <c r="H4" s="163"/>
      <c r="I4" s="164" t="s">
        <v>162</v>
      </c>
      <c r="J4" s="164" t="s">
        <v>163</v>
      </c>
      <c r="K4" s="165" t="s">
        <v>164</v>
      </c>
      <c r="L4" s="165" t="s">
        <v>165</v>
      </c>
      <c r="M4" s="165" t="s">
        <v>166</v>
      </c>
    </row>
    <row r="5" spans="2:13" ht="32">
      <c r="B5" s="160"/>
      <c r="C5" s="166"/>
      <c r="D5" s="167"/>
      <c r="E5" s="168"/>
      <c r="F5" s="166"/>
      <c r="G5" s="167"/>
      <c r="H5" s="168"/>
      <c r="I5" s="169"/>
      <c r="J5" s="169"/>
      <c r="K5" s="165" t="s">
        <v>167</v>
      </c>
      <c r="L5" s="164" t="s">
        <v>168</v>
      </c>
      <c r="M5" s="164" t="s">
        <v>169</v>
      </c>
    </row>
    <row r="6" spans="2:13" ht="17.5">
      <c r="B6" s="170"/>
      <c r="C6" s="171" t="s">
        <v>170</v>
      </c>
      <c r="D6" s="171" t="s">
        <v>50</v>
      </c>
      <c r="E6" s="171" t="s">
        <v>171</v>
      </c>
      <c r="F6" s="171" t="s">
        <v>170</v>
      </c>
      <c r="G6" s="171" t="s">
        <v>50</v>
      </c>
      <c r="H6" s="171" t="s">
        <v>171</v>
      </c>
      <c r="I6" s="172"/>
      <c r="J6" s="172"/>
      <c r="K6" s="173" t="s">
        <v>172</v>
      </c>
      <c r="L6" s="172"/>
      <c r="M6" s="172"/>
    </row>
    <row r="7" spans="2:13">
      <c r="B7" s="174" t="s">
        <v>173</v>
      </c>
      <c r="C7" s="175"/>
      <c r="D7" s="175"/>
      <c r="E7" s="176">
        <f>D10</f>
        <v>12.109520000000002</v>
      </c>
      <c r="F7" s="177"/>
      <c r="G7" s="178">
        <f>[1]기대효과!AH34</f>
        <v>0.21822743855131319</v>
      </c>
      <c r="H7" s="178">
        <f>G7</f>
        <v>0.21822743855131319</v>
      </c>
      <c r="I7" s="179">
        <f>[1]기대효과!J38/1000</f>
        <v>9.6853204267417876</v>
      </c>
      <c r="J7" s="180">
        <f>[1]기대효과!H45/1000</f>
        <v>30</v>
      </c>
      <c r="K7" s="181">
        <f>[1]기대효과!Y48</f>
        <v>3.1</v>
      </c>
      <c r="L7" s="182">
        <f>E7/J7</f>
        <v>0.40365066666666671</v>
      </c>
      <c r="M7" s="183">
        <f>[1]기대효과!L43</f>
        <v>24.605064000000002</v>
      </c>
    </row>
    <row r="8" spans="2:13">
      <c r="B8" s="184"/>
      <c r="C8" s="185"/>
      <c r="D8" s="186">
        <f>[1]기대효과!X28/1000</f>
        <v>52.884</v>
      </c>
      <c r="E8" s="187" t="s">
        <v>174</v>
      </c>
      <c r="F8" s="188"/>
      <c r="G8" s="189"/>
      <c r="H8" s="189"/>
      <c r="I8" s="189"/>
      <c r="J8" s="190"/>
      <c r="K8" s="189"/>
      <c r="L8" s="191"/>
      <c r="M8" s="192"/>
    </row>
    <row r="9" spans="2:13">
      <c r="B9" s="184"/>
      <c r="C9" s="185"/>
      <c r="D9" s="193" t="s">
        <v>175</v>
      </c>
      <c r="E9" s="169"/>
      <c r="F9" s="188"/>
      <c r="G9" s="189"/>
      <c r="H9" s="189"/>
      <c r="I9" s="189"/>
      <c r="J9" s="190"/>
      <c r="K9" s="189"/>
      <c r="L9" s="191"/>
      <c r="M9" s="192"/>
    </row>
    <row r="10" spans="2:13">
      <c r="B10" s="184"/>
      <c r="C10" s="187" t="s">
        <v>174</v>
      </c>
      <c r="D10" s="194">
        <f>[1]기대효과!AD30</f>
        <v>12.109520000000002</v>
      </c>
      <c r="E10" s="169"/>
      <c r="F10" s="188"/>
      <c r="G10" s="189"/>
      <c r="H10" s="189"/>
      <c r="I10" s="189"/>
      <c r="J10" s="190"/>
      <c r="K10" s="189"/>
      <c r="L10" s="191"/>
      <c r="M10" s="192"/>
    </row>
    <row r="11" spans="2:13">
      <c r="B11" s="195"/>
      <c r="C11" s="172"/>
      <c r="D11" s="193" t="s">
        <v>176</v>
      </c>
      <c r="E11" s="172"/>
      <c r="F11" s="196"/>
      <c r="G11" s="197"/>
      <c r="H11" s="197"/>
      <c r="I11" s="197"/>
      <c r="J11" s="198"/>
      <c r="K11" s="197"/>
      <c r="L11" s="199"/>
      <c r="M11" s="200"/>
    </row>
    <row r="12" spans="2:13">
      <c r="B12" s="177"/>
      <c r="C12" s="175"/>
      <c r="D12" s="175"/>
      <c r="E12" s="175"/>
      <c r="F12" s="177"/>
      <c r="G12" s="177"/>
      <c r="H12" s="177"/>
      <c r="I12" s="177"/>
      <c r="J12" s="201"/>
      <c r="K12" s="177"/>
      <c r="L12" s="177"/>
      <c r="M12" s="177"/>
    </row>
    <row r="13" spans="2:13">
      <c r="B13" s="188"/>
      <c r="C13" s="185"/>
      <c r="D13" s="185"/>
      <c r="E13" s="185"/>
      <c r="F13" s="188"/>
      <c r="G13" s="188"/>
      <c r="H13" s="188"/>
      <c r="I13" s="188"/>
      <c r="J13" s="202"/>
      <c r="K13" s="188"/>
      <c r="L13" s="188"/>
      <c r="M13" s="188"/>
    </row>
    <row r="14" spans="2:13">
      <c r="B14" s="188"/>
      <c r="C14" s="185"/>
      <c r="D14" s="193" t="s">
        <v>175</v>
      </c>
      <c r="E14" s="185"/>
      <c r="F14" s="188"/>
      <c r="G14" s="188"/>
      <c r="H14" s="188"/>
      <c r="I14" s="188"/>
      <c r="J14" s="202"/>
      <c r="K14" s="188"/>
      <c r="L14" s="188"/>
      <c r="M14" s="188"/>
    </row>
    <row r="15" spans="2:13">
      <c r="B15" s="188"/>
      <c r="C15" s="203" t="s">
        <v>174</v>
      </c>
      <c r="D15" s="175"/>
      <c r="E15" s="187" t="s">
        <v>174</v>
      </c>
      <c r="F15" s="188"/>
      <c r="G15" s="188"/>
      <c r="H15" s="188"/>
      <c r="I15" s="188"/>
      <c r="J15" s="202"/>
      <c r="K15" s="188"/>
      <c r="L15" s="188"/>
      <c r="M15" s="188"/>
    </row>
    <row r="16" spans="2:13">
      <c r="B16" s="188"/>
      <c r="C16" s="169"/>
      <c r="D16" s="185"/>
      <c r="E16" s="169"/>
      <c r="F16" s="188"/>
      <c r="G16" s="188"/>
      <c r="H16" s="188"/>
      <c r="I16" s="188"/>
      <c r="J16" s="202"/>
      <c r="K16" s="188"/>
      <c r="L16" s="188"/>
      <c r="M16" s="188"/>
    </row>
    <row r="17" spans="2:13" ht="17.5" thickBot="1">
      <c r="B17" s="204"/>
      <c r="C17" s="172"/>
      <c r="D17" s="193" t="s">
        <v>176</v>
      </c>
      <c r="E17" s="172"/>
      <c r="F17" s="204"/>
      <c r="G17" s="204"/>
      <c r="H17" s="204"/>
      <c r="I17" s="204"/>
      <c r="J17" s="205"/>
      <c r="K17" s="204"/>
      <c r="L17" s="204"/>
      <c r="M17" s="204"/>
    </row>
    <row r="18" spans="2:13" ht="17.5" thickTop="1">
      <c r="B18" s="206" t="s">
        <v>0</v>
      </c>
      <c r="C18" s="207"/>
      <c r="D18" s="208">
        <f>D8</f>
        <v>52.884</v>
      </c>
      <c r="E18" s="209">
        <f>E7</f>
        <v>12.109520000000002</v>
      </c>
      <c r="F18" s="210"/>
      <c r="G18" s="211">
        <f>SUM(G7:G17)</f>
        <v>0.21822743855131319</v>
      </c>
      <c r="H18" s="211">
        <f>SUM(H7:H17)</f>
        <v>0.21822743855131319</v>
      </c>
      <c r="I18" s="212">
        <f>SUM(I7:I17)</f>
        <v>9.6853204267417876</v>
      </c>
      <c r="J18" s="213">
        <f>SUM(J7:J17)</f>
        <v>30</v>
      </c>
      <c r="K18" s="214">
        <f>J18/I18</f>
        <v>3.0974710880156411</v>
      </c>
      <c r="L18" s="215">
        <v>0.23499999999999999</v>
      </c>
      <c r="M18" s="214">
        <f>SUM(M7:M17)</f>
        <v>24.605064000000002</v>
      </c>
    </row>
    <row r="19" spans="2:13">
      <c r="B19" s="216"/>
      <c r="C19" s="185"/>
      <c r="D19" s="217" t="s">
        <v>175</v>
      </c>
      <c r="E19" s="187" t="s">
        <v>174</v>
      </c>
      <c r="F19" s="188"/>
      <c r="G19" s="218"/>
      <c r="H19" s="218"/>
      <c r="I19" s="218"/>
      <c r="J19" s="219"/>
      <c r="K19" s="220"/>
      <c r="L19" s="218"/>
      <c r="M19" s="218"/>
    </row>
    <row r="20" spans="2:13">
      <c r="B20" s="216"/>
      <c r="C20" s="185"/>
      <c r="D20" s="172"/>
      <c r="E20" s="169"/>
      <c r="F20" s="188"/>
      <c r="G20" s="218"/>
      <c r="H20" s="218"/>
      <c r="I20" s="218"/>
      <c r="J20" s="219"/>
      <c r="K20" s="220"/>
      <c r="L20" s="218"/>
      <c r="M20" s="218"/>
    </row>
    <row r="21" spans="2:13">
      <c r="B21" s="216"/>
      <c r="C21" s="187" t="s">
        <v>174</v>
      </c>
      <c r="D21" s="175"/>
      <c r="E21" s="169"/>
      <c r="F21" s="188"/>
      <c r="G21" s="218"/>
      <c r="H21" s="218"/>
      <c r="I21" s="218"/>
      <c r="J21" s="219"/>
      <c r="K21" s="220"/>
      <c r="L21" s="218"/>
      <c r="M21" s="218"/>
    </row>
    <row r="22" spans="2:13">
      <c r="B22" s="216"/>
      <c r="C22" s="169"/>
      <c r="D22" s="221">
        <f>D10</f>
        <v>12.109520000000002</v>
      </c>
      <c r="E22" s="169"/>
      <c r="F22" s="188"/>
      <c r="G22" s="218"/>
      <c r="H22" s="218"/>
      <c r="I22" s="218"/>
      <c r="J22" s="219"/>
      <c r="K22" s="220"/>
      <c r="L22" s="218"/>
      <c r="M22" s="218"/>
    </row>
    <row r="23" spans="2:13">
      <c r="B23" s="222"/>
      <c r="C23" s="172"/>
      <c r="D23" s="193" t="s">
        <v>176</v>
      </c>
      <c r="E23" s="172"/>
      <c r="F23" s="196"/>
      <c r="G23" s="223"/>
      <c r="H23" s="223"/>
      <c r="I23" s="223"/>
      <c r="J23" s="224"/>
      <c r="K23" s="225"/>
      <c r="L23" s="223"/>
      <c r="M23" s="223"/>
    </row>
    <row r="25" spans="2:13">
      <c r="B25" t="s">
        <v>177</v>
      </c>
    </row>
  </sheetData>
  <sheetProtection algorithmName="SHA-512" hashValue="ymxwd31IBMMsPro/o+aouZLzVjisE4CyL2+2tj+My+xeb2hxubrOq26gLV6RREx/AEALyqJVZe4ynpJxZHLP1g==" saltValue="7bMYBiorgucp0fc6lsgtyw==" spinCount="100000" sheet="1" objects="1" scenarios="1"/>
  <mergeCells count="31">
    <mergeCell ref="M18:M23"/>
    <mergeCell ref="L12:L17"/>
    <mergeCell ref="M12:M17"/>
    <mergeCell ref="B18:B23"/>
    <mergeCell ref="F18:F23"/>
    <mergeCell ref="G18:G23"/>
    <mergeCell ref="H18:H23"/>
    <mergeCell ref="I18:I23"/>
    <mergeCell ref="J18:J23"/>
    <mergeCell ref="K18:K23"/>
    <mergeCell ref="L18:L23"/>
    <mergeCell ref="K7:K11"/>
    <mergeCell ref="L7:L11"/>
    <mergeCell ref="M7:M11"/>
    <mergeCell ref="B12:B17"/>
    <mergeCell ref="F12:F17"/>
    <mergeCell ref="G12:G17"/>
    <mergeCell ref="H12:H17"/>
    <mergeCell ref="I12:I17"/>
    <mergeCell ref="J12:J17"/>
    <mergeCell ref="K12:K17"/>
    <mergeCell ref="B2:M2"/>
    <mergeCell ref="B3:B6"/>
    <mergeCell ref="C3:E5"/>
    <mergeCell ref="F3:H5"/>
    <mergeCell ref="B7:B11"/>
    <mergeCell ref="F7:F11"/>
    <mergeCell ref="G7:G11"/>
    <mergeCell ref="H7:H11"/>
    <mergeCell ref="I7:I11"/>
    <mergeCell ref="J7:J11"/>
  </mergeCells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AFCA36-1A27-407C-924D-F87F615337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Empty</vt:lpstr>
      <vt:lpstr>Sheet44</vt:lpstr>
      <vt:lpstr>산출서</vt:lpstr>
      <vt:lpstr>기대효과</vt:lpstr>
      <vt:lpstr>예상에너지 절감량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경일정용</cp:lastModifiedBy>
  <cp:lastPrinted>2020-10-03T17:15:51Z</cp:lastPrinted>
  <dcterms:created xsi:type="dcterms:W3CDTF">2019-04-28T06:03:16Z</dcterms:created>
  <dcterms:modified xsi:type="dcterms:W3CDTF">2020-10-03T17:44:27Z</dcterms:modified>
</cp:coreProperties>
</file>