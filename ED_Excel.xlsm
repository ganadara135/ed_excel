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dev\ed_excel\"/>
    </mc:Choice>
  </mc:AlternateContent>
  <xr:revisionPtr revIDLastSave="0" documentId="13_ncr:1_{8633424D-9F5C-4CB7-926C-81EE39BA9BB5}" xr6:coauthVersionLast="45" xr6:coauthVersionMax="45" xr10:uidLastSave="{00000000-0000-0000-0000-000000000000}"/>
  <bookViews>
    <workbookView xWindow="380" yWindow="380" windowWidth="28800" windowHeight="15910" activeTab="3" xr2:uid="{00000000-000D-0000-FFFF-FFFF00000000}"/>
  </bookViews>
  <sheets>
    <sheet name="Raw" sheetId="413" r:id="rId1"/>
    <sheet name="EDChart" sheetId="414" r:id="rId2"/>
    <sheet name="계산결과" sheetId="415" r:id="rId3"/>
    <sheet name="산출서" sheetId="375" r:id="rId4"/>
    <sheet name="기대효과" sheetId="376" r:id="rId5"/>
    <sheet name="예상에너지 절감량" sheetId="377" r:id="rId6"/>
  </sheets>
  <functionGroups builtInGroupCount="19"/>
  <externalReferences>
    <externalReference r:id="rId7"/>
  </externalReferences>
  <definedNames>
    <definedName name="ExternalData_1" localSheetId="0">Raw!$A$1:$IU$2511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375" l="1"/>
  <c r="J8" i="375"/>
  <c r="J6" i="375"/>
  <c r="J7" i="375"/>
  <c r="I9" i="375"/>
  <c r="G6" i="375"/>
  <c r="G7" i="375"/>
  <c r="D10" i="377"/>
  <c r="D22" i="377" s="1"/>
  <c r="D8" i="377"/>
  <c r="D18" i="377" s="1"/>
  <c r="M7" i="377"/>
  <c r="M18" i="377" s="1"/>
  <c r="K7" i="377"/>
  <c r="J7" i="377"/>
  <c r="J18" i="377" s="1"/>
  <c r="I7" i="377"/>
  <c r="I18" i="377" s="1"/>
  <c r="G7" i="377"/>
  <c r="G18" i="377" s="1"/>
  <c r="E7" i="377"/>
  <c r="BD54" i="376"/>
  <c r="H45" i="376"/>
  <c r="C48" i="376" s="1"/>
  <c r="N37" i="376"/>
  <c r="X23" i="376"/>
  <c r="AB15" i="376"/>
  <c r="W15" i="376"/>
  <c r="Q15" i="376"/>
  <c r="I15" i="376"/>
  <c r="AE19" i="376" s="1"/>
  <c r="Q10" i="376"/>
  <c r="Z12" i="376" s="1"/>
  <c r="Q9" i="376"/>
  <c r="AK12" i="376" s="1"/>
  <c r="BB54" i="376" s="1"/>
  <c r="O29" i="375"/>
  <c r="H24" i="375" s="1"/>
  <c r="O20" i="375"/>
  <c r="D16" i="375"/>
  <c r="B16" i="375"/>
  <c r="J15" i="375"/>
  <c r="H15" i="375"/>
  <c r="H14" i="375"/>
  <c r="D9" i="375"/>
  <c r="C9" i="375"/>
  <c r="B9" i="375"/>
  <c r="H7" i="377" l="1"/>
  <c r="H18" i="377" s="1"/>
  <c r="V13" i="376"/>
  <c r="L7" i="377"/>
  <c r="F9" i="375"/>
  <c r="G9" i="375" s="1"/>
  <c r="C26" i="375" s="1"/>
  <c r="J5" i="375"/>
  <c r="J9" i="375" s="1"/>
  <c r="C28" i="375"/>
  <c r="H9" i="375"/>
  <c r="K8" i="375"/>
  <c r="O8" i="375" s="1"/>
  <c r="K16" i="375"/>
  <c r="K15" i="375"/>
  <c r="F18" i="375" s="1"/>
  <c r="K5" i="375"/>
  <c r="K6" i="375"/>
  <c r="L6" i="375" s="1"/>
  <c r="K14" i="375"/>
  <c r="C24" i="375"/>
  <c r="K7" i="375"/>
  <c r="O7" i="375" s="1"/>
  <c r="L7" i="375"/>
  <c r="M7" i="375"/>
  <c r="K18" i="377"/>
  <c r="E18" i="377"/>
  <c r="AE23" i="376"/>
  <c r="AM23" i="376" s="1"/>
  <c r="S12" i="376"/>
  <c r="X19" i="376"/>
  <c r="AM19" i="376" s="1"/>
  <c r="L5" i="375" l="1"/>
  <c r="O6" i="375"/>
  <c r="M6" i="375"/>
  <c r="O5" i="375"/>
  <c r="K9" i="375"/>
  <c r="L8" i="375"/>
  <c r="M8" i="375"/>
  <c r="M5" i="375"/>
  <c r="M9" i="375" s="1"/>
  <c r="L15" i="375"/>
  <c r="C24" i="376"/>
  <c r="W24" i="376" s="1"/>
  <c r="AC24" i="376" s="1"/>
  <c r="L29" i="376" s="1"/>
  <c r="N28" i="376"/>
  <c r="C20" i="376"/>
  <c r="W20" i="376" s="1"/>
  <c r="AC20" i="376" s="1"/>
  <c r="C28" i="376"/>
  <c r="X28" i="376" s="1"/>
  <c r="B24" i="375"/>
  <c r="L9" i="375" l="1"/>
  <c r="D24" i="375" s="1"/>
  <c r="F24" i="375" s="1"/>
  <c r="O9" i="375"/>
  <c r="C30" i="376"/>
  <c r="C37" i="376"/>
  <c r="C38" i="376" s="1"/>
  <c r="J38" i="376" s="1"/>
  <c r="C29" i="376"/>
  <c r="U29" i="376" s="1"/>
  <c r="M34" i="376"/>
  <c r="E28" i="375"/>
  <c r="G30" i="375" l="1"/>
  <c r="B32" i="375"/>
  <c r="D30" i="375"/>
  <c r="O13" i="375"/>
  <c r="BC54" i="376"/>
  <c r="M48" i="376"/>
  <c r="X30" i="376"/>
  <c r="AD30" i="376" s="1"/>
  <c r="C42" i="376"/>
  <c r="A28" i="375"/>
  <c r="G28" i="375" s="1"/>
  <c r="O14" i="375" l="1"/>
  <c r="O16" i="375"/>
  <c r="F14" i="375" s="1"/>
  <c r="J14" i="375" s="1"/>
  <c r="D31" i="375"/>
  <c r="J47" i="376"/>
  <c r="Y48" i="376"/>
  <c r="BE54" i="376" s="1"/>
  <c r="X43" i="376"/>
  <c r="L43" i="376"/>
  <c r="C43" i="376" s="1"/>
  <c r="C34" i="376"/>
  <c r="AB34" i="376" s="1"/>
  <c r="AH34" i="376" s="1"/>
  <c r="BA54" i="376"/>
  <c r="J16" i="375" l="1"/>
  <c r="G24" i="375" s="1"/>
  <c r="L14" i="375"/>
  <c r="L16" i="375" s="1"/>
  <c r="I24" i="375" l="1"/>
  <c r="K24" i="375" s="1"/>
  <c r="E32" i="375"/>
  <c r="G31" i="375"/>
  <c r="G32" i="375"/>
  <c r="O19" i="375"/>
  <c r="O21" i="375" s="1"/>
  <c r="O23" i="37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62FB94-BDDF-430B-978E-70EF18C7A128}" name="rawData" type="6" refreshedVersion="0" background="1">
    <textPr prompt="0" sourceFile="C:\dev\ed_excel\rawData.csv">
      <textFields>
        <textField/>
      </textFields>
    </textPr>
  </connection>
  <connection id="2" xr16:uid="{B4338105-DB22-4545-954B-68D87F31928C}" name="rawData1" type="6" refreshedVersion="6" background="1" saveData="1">
    <textPr prompt="0" sourceFile="C:\dev\ed_excel\rawData.csv" comma="1">
      <textFields>
        <textField/>
      </textFields>
    </textPr>
  </connection>
  <connection id="3" xr16:uid="{5A3E9980-0DEE-4EDF-840E-810E9470BAE4}" name="rawData2" type="6" refreshedVersion="0" background="1">
    <textPr prompt="0" sourceFile="C:\vba\ed_excel\rawData.csv">
      <textFields>
        <textField/>
      </textFields>
    </textPr>
  </connection>
  <connection id="4" xr16:uid="{ADBDFE31-8B5B-4C9F-9B19-E9F4233E98A3}" keepAlive="1" name="쿼리 - rawData" description="통합 문서의 'rawData' 쿼리에 대한 연결입니다." type="5" refreshedVersion="6" minRefreshableVersion="3" background="1" saveData="1">
    <dbPr connection="Provider=Microsoft.Mashup.OleDb.1;Data Source=$Workbook$;Location=rawData;Extended Properties=&quot;&quot;" command="SELECT * FROM [rawData]"/>
  </connection>
  <connection id="5" xr16:uid="{25245730-D1EA-48A1-A762-10B6851FCDA2}" keepAlive="1" name="쿼리 - 실측정Data" description="통합 문서의 '실측정Data' 쿼리에 대한 연결입니다." type="5" refreshedVersion="6" background="1" saveData="1">
    <dbPr connection="Provider=Microsoft.Mashup.OleDb.1;Data Source=$Workbook$;Location=실측정Data;Extended Properties=&quot;&quot;" command="SELECT * FROM [실측정Data]"/>
  </connection>
</connections>
</file>

<file path=xl/sharedStrings.xml><?xml version="1.0" encoding="utf-8"?>
<sst xmlns="http://schemas.openxmlformats.org/spreadsheetml/2006/main" count="49173" uniqueCount="11781">
  <si>
    <t>합계</t>
  </si>
  <si>
    <t>평균전력</t>
  </si>
  <si>
    <t>로딩전력</t>
  </si>
  <si>
    <t>언로딩전력</t>
  </si>
  <si>
    <t>개선전 운전현황</t>
  </si>
  <si>
    <t>참고</t>
    <phoneticPr fontId="6" type="noConversion"/>
  </si>
  <si>
    <t>모델명</t>
  </si>
  <si>
    <t>용량</t>
  </si>
  <si>
    <t>대수</t>
  </si>
  <si>
    <t>토출량</t>
  </si>
  <si>
    <t>운전압력</t>
  </si>
  <si>
    <t>로딩율</t>
  </si>
  <si>
    <t>언로딩율</t>
  </si>
  <si>
    <t>가동시간</t>
  </si>
  <si>
    <t>연간사용량</t>
  </si>
  <si>
    <t>언로딩손실량</t>
    <phoneticPr fontId="6" type="noConversion"/>
  </si>
  <si>
    <t>콤프레샤 별</t>
    <phoneticPr fontId="6" type="noConversion"/>
  </si>
  <si>
    <t>kW</t>
  </si>
  <si>
    <t>대</t>
  </si>
  <si>
    <r>
      <t>N</t>
    </r>
    <r>
      <rPr>
        <b/>
        <sz val="10"/>
        <color indexed="8"/>
        <rFont val="맑은 고딕"/>
        <family val="3"/>
        <charset val="129"/>
      </rPr>
      <t>㎥/min</t>
    </r>
  </si>
  <si>
    <r>
      <t>kgf/</t>
    </r>
    <r>
      <rPr>
        <b/>
        <sz val="10"/>
        <color indexed="8"/>
        <rFont val="맑은 고딕"/>
        <family val="3"/>
        <charset val="129"/>
      </rPr>
      <t>㎠</t>
    </r>
  </si>
  <si>
    <t>%</t>
  </si>
  <si>
    <r>
      <t>hr/</t>
    </r>
    <r>
      <rPr>
        <b/>
        <sz val="10"/>
        <color indexed="8"/>
        <rFont val="맑은 고딕"/>
        <family val="3"/>
        <charset val="129"/>
      </rPr>
      <t>년</t>
    </r>
  </si>
  <si>
    <t>kWh</t>
  </si>
  <si>
    <t>kWh</t>
    <phoneticPr fontId="6" type="noConversion"/>
  </si>
  <si>
    <t>Air생산량</t>
    <phoneticPr fontId="6" type="noConversion"/>
  </si>
  <si>
    <t>m3/년</t>
    <phoneticPr fontId="6" type="noConversion"/>
  </si>
  <si>
    <t>CKDX1380</t>
    <phoneticPr fontId="2" type="noConversion"/>
  </si>
  <si>
    <t>7~9</t>
    <phoneticPr fontId="2" type="noConversion"/>
  </si>
  <si>
    <t>Nm3/년</t>
    <phoneticPr fontId="6" type="noConversion"/>
  </si>
  <si>
    <t>토출량*60*가동시간*로딩률</t>
    <phoneticPr fontId="6" type="noConversion"/>
  </si>
  <si>
    <t>개선후 운전현황</t>
  </si>
  <si>
    <t>Nm3</t>
    <phoneticPr fontId="6" type="noConversion"/>
  </si>
  <si>
    <t>KE-100 VSD</t>
    <phoneticPr fontId="14" type="noConversion"/>
  </si>
  <si>
    <t>예상운전시간</t>
    <phoneticPr fontId="6" type="noConversion"/>
  </si>
  <si>
    <t>예상 로딩률</t>
    <phoneticPr fontId="6" type="noConversion"/>
  </si>
  <si>
    <t>전력절감량</t>
    <phoneticPr fontId="6" type="noConversion"/>
  </si>
  <si>
    <t>kWh/년</t>
    <phoneticPr fontId="6" type="noConversion"/>
  </si>
  <si>
    <t>구분</t>
  </si>
  <si>
    <t>개선전</t>
  </si>
  <si>
    <t>개선후</t>
  </si>
  <si>
    <t>원/kWh</t>
    <phoneticPr fontId="6" type="noConversion"/>
  </si>
  <si>
    <t>전력단가</t>
    <phoneticPr fontId="6" type="noConversion"/>
  </si>
  <si>
    <t>소비</t>
  </si>
  <si>
    <t>가동</t>
  </si>
  <si>
    <t>사용</t>
  </si>
  <si>
    <t>전력단가</t>
  </si>
  <si>
    <t>전력요금</t>
  </si>
  <si>
    <t>백만원</t>
    <phoneticPr fontId="6" type="noConversion"/>
  </si>
  <si>
    <t>절감금액</t>
    <phoneticPr fontId="6" type="noConversion"/>
  </si>
  <si>
    <t>전력</t>
  </si>
  <si>
    <t>시간</t>
  </si>
  <si>
    <t>전력량</t>
  </si>
  <si>
    <r>
      <t>(</t>
    </r>
    <r>
      <rPr>
        <b/>
        <sz val="10"/>
        <color rgb="FF000000"/>
        <rFont val="맑은 고딕"/>
        <family val="3"/>
        <charset val="129"/>
        <scheme val="minor"/>
      </rPr>
      <t>원</t>
    </r>
    <r>
      <rPr>
        <b/>
        <sz val="10"/>
        <color rgb="FF000000"/>
        <rFont val="굴림체"/>
        <family val="3"/>
        <charset val="129"/>
      </rPr>
      <t>/kWh)</t>
    </r>
  </si>
  <si>
    <r>
      <t>(</t>
    </r>
    <r>
      <rPr>
        <b/>
        <sz val="10"/>
        <color rgb="FF000000"/>
        <rFont val="맑은 고딕"/>
        <family val="3"/>
        <charset val="129"/>
        <scheme val="minor"/>
      </rPr>
      <t>원</t>
    </r>
    <r>
      <rPr>
        <b/>
        <sz val="10"/>
        <color rgb="FF000000"/>
        <rFont val="굴림체"/>
        <family val="3"/>
        <charset val="129"/>
      </rPr>
      <t>)</t>
    </r>
  </si>
  <si>
    <t>투자비</t>
    <phoneticPr fontId="6" type="noConversion"/>
  </si>
  <si>
    <t>(kW)</t>
  </si>
  <si>
    <r>
      <t>(</t>
    </r>
    <r>
      <rPr>
        <b/>
        <sz val="10"/>
        <color rgb="FF000000"/>
        <rFont val="맑은 고딕"/>
        <family val="3"/>
        <charset val="129"/>
        <scheme val="minor"/>
      </rPr>
      <t>시간</t>
    </r>
    <r>
      <rPr>
        <b/>
        <sz val="10"/>
        <color rgb="FF000000"/>
        <rFont val="굴림체"/>
        <family val="3"/>
        <charset val="129"/>
      </rPr>
      <t>)</t>
    </r>
  </si>
  <si>
    <t>(kWh)</t>
  </si>
  <si>
    <t>년</t>
    <phoneticPr fontId="6" type="noConversion"/>
  </si>
  <si>
    <t>ROI</t>
    <phoneticPr fontId="6" type="noConversion"/>
  </si>
  <si>
    <r>
      <t>1</t>
    </r>
    <r>
      <rPr>
        <sz val="10"/>
        <color rgb="FF000000"/>
        <rFont val="맑은 고딕"/>
        <family val="3"/>
        <charset val="129"/>
        <scheme val="minor"/>
      </rPr>
      <t>월</t>
    </r>
    <r>
      <rPr>
        <sz val="10"/>
        <color rgb="FF000000"/>
        <rFont val="굴림체"/>
        <family val="3"/>
        <charset val="129"/>
      </rPr>
      <t>~12</t>
    </r>
    <r>
      <rPr>
        <sz val="10"/>
        <color rgb="FF000000"/>
        <rFont val="맑은 고딕"/>
        <family val="3"/>
        <charset val="129"/>
        <scheme val="minor"/>
      </rPr>
      <t>월</t>
    </r>
  </si>
  <si>
    <t>가동시간</t>
    <phoneticPr fontId="2" type="noConversion"/>
  </si>
  <si>
    <t xml:space="preserve"> - 현재 언로딩 운전(</t>
    <phoneticPr fontId="2" type="noConversion"/>
  </si>
  <si>
    <t xml:space="preserve">)에 의한 에너지손실이 발생하고 있다. </t>
    <phoneticPr fontId="2" type="noConversion"/>
  </si>
  <si>
    <t>시간/일</t>
    <phoneticPr fontId="2" type="noConversion"/>
  </si>
  <si>
    <t xml:space="preserve">   연간 전력 손실량 = Un-Loading운전량 = 언로딩전력 × 연간가동시간 × 언로딩률</t>
    <phoneticPr fontId="2" type="noConversion"/>
  </si>
  <si>
    <t>월 조업일수</t>
    <phoneticPr fontId="2" type="noConversion"/>
  </si>
  <si>
    <t xml:space="preserve">(kW) × { </t>
    <phoneticPr fontId="2" type="noConversion"/>
  </si>
  <si>
    <t xml:space="preserve">× </t>
    <phoneticPr fontId="2" type="noConversion"/>
  </si>
  <si>
    <t xml:space="preserve">} = </t>
    <phoneticPr fontId="2" type="noConversion"/>
  </si>
  <si>
    <t>(kWh/년)</t>
    <phoneticPr fontId="2" type="noConversion"/>
  </si>
  <si>
    <t>12월</t>
    <phoneticPr fontId="2" type="noConversion"/>
  </si>
  <si>
    <t xml:space="preserve"> -인버터 콤프레샤로 개선하게 되면 언로딩 전력이 Zero가 된다. 즉, 언로딩에 의한 손실량을 Zero화 시킬 수 있다.</t>
    <phoneticPr fontId="2" type="noConversion"/>
  </si>
  <si>
    <t>연간가동시간</t>
    <phoneticPr fontId="2" type="noConversion"/>
  </si>
  <si>
    <t xml:space="preserve"> 즉, 개선전 연간 압축공기생산량 </t>
    <phoneticPr fontId="2" type="noConversion"/>
  </si>
  <si>
    <t xml:space="preserve">N㎥을 생산하는데, </t>
    <phoneticPr fontId="2" type="noConversion"/>
  </si>
  <si>
    <t xml:space="preserve">kWh를 사용하였는데, </t>
    <phoneticPr fontId="2" type="noConversion"/>
  </si>
  <si>
    <t xml:space="preserve">개선후에는 압축공기생산량 </t>
    <phoneticPr fontId="2" type="noConversion"/>
  </si>
  <si>
    <t xml:space="preserve">kWh를 사용하게 되므로 </t>
    <phoneticPr fontId="2" type="noConversion"/>
  </si>
  <si>
    <t>절감량은</t>
    <phoneticPr fontId="2" type="noConversion"/>
  </si>
  <si>
    <t>-</t>
    <phoneticPr fontId="2" type="noConversion"/>
  </si>
  <si>
    <t>=</t>
    <phoneticPr fontId="2" type="noConversion"/>
  </si>
  <si>
    <t>kWh이 된다.</t>
    <phoneticPr fontId="2" type="noConversion"/>
  </si>
  <si>
    <t>Ⅱ. 기대효과</t>
    <phoneticPr fontId="6" type="noConversion"/>
  </si>
  <si>
    <t>가. 개선 후 기대효과</t>
    <phoneticPr fontId="6" type="noConversion"/>
  </si>
  <si>
    <t>□ 시 설 명 : 공기압축기()</t>
    <phoneticPr fontId="6" type="noConversion"/>
  </si>
  <si>
    <t>□ 개선 대책 : 고효율 인버터 공기압축기로 교체(일반형→고효율 인버터 Type)</t>
    <phoneticPr fontId="6" type="noConversion"/>
  </si>
  <si>
    <t xml:space="preserve"> 1) 산정기준</t>
    <phoneticPr fontId="6" type="noConversion"/>
  </si>
  <si>
    <t xml:space="preserve"> - 개선 전 공기압축기 전력: 33.48 </t>
    <phoneticPr fontId="6" type="noConversion"/>
  </si>
  <si>
    <t>(kW) ....... 기존 공기압축기 소비전력 합산(kW)</t>
    <phoneticPr fontId="2" type="noConversion"/>
  </si>
  <si>
    <t xml:space="preserve"> - 개선 후 공기압축기 전력: 11.82 </t>
    <phoneticPr fontId="6" type="noConversion"/>
  </si>
  <si>
    <t>(kW) ....... 통합 System 공기압축기 운전전력</t>
    <phoneticPr fontId="2" type="noConversion"/>
  </si>
  <si>
    <t xml:space="preserve"> - 절전률 =</t>
    <phoneticPr fontId="6" type="noConversion"/>
  </si>
  <si>
    <t>개선전</t>
    <phoneticPr fontId="6" type="noConversion"/>
  </si>
  <si>
    <t>-</t>
    <phoneticPr fontId="6" type="noConversion"/>
  </si>
  <si>
    <t>개선후</t>
    <phoneticPr fontId="6" type="noConversion"/>
  </si>
  <si>
    <t>=</t>
    <phoneticPr fontId="6" type="noConversion"/>
  </si>
  <si>
    <t>(kW)</t>
    <phoneticPr fontId="6" type="noConversion"/>
  </si>
  <si>
    <r>
      <rPr>
        <sz val="11"/>
        <color indexed="8"/>
        <rFont val="맑은 고딕"/>
        <family val="3"/>
        <charset val="129"/>
      </rPr>
      <t>ⅹ</t>
    </r>
    <r>
      <rPr>
        <sz val="11"/>
        <color indexed="8"/>
        <rFont val="휴먼명조"/>
        <family val="3"/>
        <charset val="129"/>
      </rPr>
      <t>100% =</t>
    </r>
    <phoneticPr fontId="6" type="noConversion"/>
  </si>
  <si>
    <t>%</t>
    <phoneticPr fontId="6" type="noConversion"/>
  </si>
  <si>
    <t xml:space="preserve"> - 가동시간 : </t>
    <phoneticPr fontId="6" type="noConversion"/>
  </si>
  <si>
    <t>(hr/년)....</t>
    <phoneticPr fontId="2" type="noConversion"/>
  </si>
  <si>
    <t xml:space="preserve">시간× </t>
    <phoneticPr fontId="2" type="noConversion"/>
  </si>
  <si>
    <t xml:space="preserve">일 × </t>
    <phoneticPr fontId="2" type="noConversion"/>
  </si>
  <si>
    <t>개월</t>
    <phoneticPr fontId="2" type="noConversion"/>
  </si>
  <si>
    <t xml:space="preserve"> 2) 기대효과 산출</t>
    <phoneticPr fontId="6" type="noConversion"/>
  </si>
  <si>
    <t xml:space="preserve"> * 개선전 설비의 연간 소비 에너지량 : 산출식을 이용하여 작성</t>
    <phoneticPr fontId="6" type="noConversion"/>
  </si>
  <si>
    <t xml:space="preserve"> = 개선전 설비의 소비전력 ×가동시간 = </t>
    <phoneticPr fontId="6" type="noConversion"/>
  </si>
  <si>
    <t>(kW)×</t>
    <phoneticPr fontId="2" type="noConversion"/>
  </si>
  <si>
    <t xml:space="preserve">(hr/년) = </t>
    <phoneticPr fontId="2" type="noConversion"/>
  </si>
  <si>
    <t xml:space="preserve"> = </t>
    <phoneticPr fontId="6" type="noConversion"/>
  </si>
  <si>
    <t xml:space="preserve">(MWh/년) × 0.229(toe/MWh) = </t>
    <phoneticPr fontId="2" type="noConversion"/>
  </si>
  <si>
    <t xml:space="preserve">≒ </t>
    <phoneticPr fontId="2" type="noConversion"/>
  </si>
  <si>
    <t>(toe/년)</t>
    <phoneticPr fontId="2" type="noConversion"/>
  </si>
  <si>
    <t xml:space="preserve"> * 개선 후 설비의 연간 소비 에너지량 : 산출식을 이용하여 작성</t>
    <phoneticPr fontId="6" type="noConversion"/>
  </si>
  <si>
    <t xml:space="preserve"> = 개선후 설비의 소비전력 ×가동시간 = </t>
    <phoneticPr fontId="6" type="noConversion"/>
  </si>
  <si>
    <t xml:space="preserve"> * 연간 절감 에너지량 : </t>
    <phoneticPr fontId="6" type="noConversion"/>
  </si>
  <si>
    <t xml:space="preserve"> = 개선 전 설비의 연간 소비 에너지량 – 개선 후 설비의 연간 소비 에너지량</t>
    <phoneticPr fontId="6" type="noConversion"/>
  </si>
  <si>
    <t xml:space="preserve">(kWh/년) - </t>
    <phoneticPr fontId="2" type="noConversion"/>
  </si>
  <si>
    <t xml:space="preserve">(kWh/년)= </t>
    <phoneticPr fontId="2" type="noConversion"/>
  </si>
  <si>
    <t xml:space="preserve">(toe/년) - </t>
    <phoneticPr fontId="2" type="noConversion"/>
  </si>
  <si>
    <t xml:space="preserve">(toe/년) = </t>
    <phoneticPr fontId="2" type="noConversion"/>
  </si>
  <si>
    <t>(MWh/년) × 0.229(toe/MWh) =</t>
    <phoneticPr fontId="2" type="noConversion"/>
  </si>
  <si>
    <t xml:space="preserve"> ≒ </t>
    <phoneticPr fontId="2" type="noConversion"/>
  </si>
  <si>
    <t xml:space="preserve"> * 절감율(%) : 진단 설비 기준 작성</t>
    <phoneticPr fontId="6" type="noConversion"/>
  </si>
  <si>
    <t xml:space="preserve"> = 연간 절감 에너지량 ÷  2018년 공기압축기 에너지사용량</t>
    <phoneticPr fontId="6" type="noConversion"/>
  </si>
  <si>
    <t xml:space="preserve">(toe/년) ÷ </t>
    <phoneticPr fontId="2" type="noConversion"/>
  </si>
  <si>
    <t xml:space="preserve">(toe/년) × 100% = </t>
    <phoneticPr fontId="2" type="noConversion"/>
  </si>
  <si>
    <t xml:space="preserve"> ◦ 연간 전력 절감액 = 연간 전력 절감량 x 전력단가</t>
    <phoneticPr fontId="6" type="noConversion"/>
  </si>
  <si>
    <t xml:space="preserve">(kWh/년) × </t>
    <phoneticPr fontId="2" type="noConversion"/>
  </si>
  <si>
    <t>(원/kWh) ÷ 1,000(원/천원)</t>
    <phoneticPr fontId="2" type="noConversion"/>
  </si>
  <si>
    <t>(천원/년)</t>
    <phoneticPr fontId="2" type="noConversion"/>
  </si>
  <si>
    <t xml:space="preserve"> ◦ 연간 예상 온실가스 절감량</t>
    <phoneticPr fontId="6" type="noConversion"/>
  </si>
  <si>
    <t xml:space="preserve"> = 연간 절감전력량(MWh/년) × 0.46625(tCO2-eq/MWh)</t>
    <phoneticPr fontId="6" type="noConversion"/>
  </si>
  <si>
    <t xml:space="preserve"> =</t>
    <phoneticPr fontId="6" type="noConversion"/>
  </si>
  <si>
    <t>(MWh/년) × 0.4653(tco2/MWh) x (12 ÷ 44)</t>
    <phoneticPr fontId="2" type="noConversion"/>
  </si>
  <si>
    <t xml:space="preserve"> ≒ </t>
    <phoneticPr fontId="6" type="noConversion"/>
  </si>
  <si>
    <t xml:space="preserve">(tc/년)≒ </t>
    <phoneticPr fontId="2" type="noConversion"/>
  </si>
  <si>
    <t xml:space="preserve">(tco2/년) ≒ </t>
    <phoneticPr fontId="2" type="noConversion"/>
  </si>
  <si>
    <t>(tCO2-eq/년)</t>
    <phoneticPr fontId="2" type="noConversion"/>
  </si>
  <si>
    <t xml:space="preserve"> ◦ 투자비 : </t>
    <phoneticPr fontId="6" type="noConversion"/>
  </si>
  <si>
    <t>(천원)......VSD 콤프레샤 100 HP x 1대 추천</t>
    <phoneticPr fontId="2" type="noConversion"/>
  </si>
  <si>
    <t xml:space="preserve"> ◦ 회수기간  : </t>
    <phoneticPr fontId="6" type="noConversion"/>
  </si>
  <si>
    <t>(년)</t>
    <phoneticPr fontId="2" type="noConversion"/>
  </si>
  <si>
    <t xml:space="preserve">(천원) ÷ </t>
    <phoneticPr fontId="2" type="noConversion"/>
  </si>
  <si>
    <t xml:space="preserve">(천원/년) = </t>
    <phoneticPr fontId="2" type="noConversion"/>
  </si>
  <si>
    <t>절감량</t>
  </si>
  <si>
    <t>절감율</t>
  </si>
  <si>
    <t>절감액</t>
  </si>
  <si>
    <t>투자비</t>
  </si>
  <si>
    <t>투자회수기간</t>
  </si>
  <si>
    <r>
      <t>(toe/</t>
    </r>
    <r>
      <rPr>
        <b/>
        <sz val="12"/>
        <color rgb="FF000000"/>
        <rFont val="맑은 고딕"/>
        <family val="3"/>
        <charset val="129"/>
        <scheme val="minor"/>
      </rPr>
      <t>년</t>
    </r>
    <r>
      <rPr>
        <b/>
        <sz val="12"/>
        <color rgb="FF000000"/>
        <rFont val="굴림"/>
        <family val="3"/>
        <charset val="129"/>
      </rPr>
      <t>)</t>
    </r>
  </si>
  <si>
    <t>(%)</t>
  </si>
  <si>
    <r>
      <t>(</t>
    </r>
    <r>
      <rPr>
        <b/>
        <sz val="12"/>
        <color rgb="FF000000"/>
        <rFont val="맑은 고딕"/>
        <family val="3"/>
        <charset val="129"/>
        <scheme val="minor"/>
      </rPr>
      <t>천원</t>
    </r>
    <r>
      <rPr>
        <b/>
        <sz val="12"/>
        <color rgb="FF000000"/>
        <rFont val="굴림"/>
        <family val="3"/>
        <charset val="129"/>
      </rPr>
      <t>/</t>
    </r>
    <r>
      <rPr>
        <b/>
        <sz val="12"/>
        <color rgb="FF000000"/>
        <rFont val="맑은 고딕"/>
        <family val="3"/>
        <charset val="129"/>
        <scheme val="minor"/>
      </rPr>
      <t>년</t>
    </r>
    <r>
      <rPr>
        <b/>
        <sz val="12"/>
        <color rgb="FF000000"/>
        <rFont val="굴림"/>
        <family val="3"/>
        <charset val="129"/>
      </rPr>
      <t>)</t>
    </r>
  </si>
  <si>
    <r>
      <t>(</t>
    </r>
    <r>
      <rPr>
        <b/>
        <sz val="12"/>
        <color rgb="FF000000"/>
        <rFont val="맑은 고딕"/>
        <family val="3"/>
        <charset val="129"/>
        <scheme val="minor"/>
      </rPr>
      <t>천원</t>
    </r>
    <r>
      <rPr>
        <b/>
        <sz val="12"/>
        <color rgb="FF000000"/>
        <rFont val="굴림"/>
        <family val="3"/>
        <charset val="129"/>
      </rPr>
      <t>)</t>
    </r>
  </si>
  <si>
    <r>
      <t>(</t>
    </r>
    <r>
      <rPr>
        <b/>
        <sz val="12"/>
        <color rgb="FF000000"/>
        <rFont val="맑은 고딕"/>
        <family val="3"/>
        <charset val="129"/>
        <scheme val="minor"/>
      </rPr>
      <t>년</t>
    </r>
    <r>
      <rPr>
        <b/>
        <sz val="12"/>
        <color rgb="FF000000"/>
        <rFont val="굴림"/>
        <family val="3"/>
        <charset val="129"/>
      </rPr>
      <t>)</t>
    </r>
  </si>
  <si>
    <r>
      <t>나</t>
    </r>
    <r>
      <rPr>
        <b/>
        <sz val="12"/>
        <color rgb="FF000000"/>
        <rFont val="휴먼명조"/>
        <family val="3"/>
        <charset val="129"/>
      </rPr>
      <t xml:space="preserve">. </t>
    </r>
    <r>
      <rPr>
        <b/>
        <sz val="12"/>
        <color rgb="FF000000"/>
        <rFont val="맑은 고딕"/>
        <family val="3"/>
        <charset val="129"/>
        <scheme val="minor"/>
      </rPr>
      <t xml:space="preserve">예상 에너지 절감량 </t>
    </r>
    <r>
      <rPr>
        <b/>
        <sz val="12"/>
        <color rgb="FF000000"/>
        <rFont val="휴먼명조"/>
        <family val="3"/>
        <charset val="129"/>
      </rPr>
      <t>(</t>
    </r>
    <r>
      <rPr>
        <b/>
        <sz val="12"/>
        <color rgb="FF000000"/>
        <rFont val="맑은 고딕"/>
        <family val="3"/>
        <charset val="129"/>
        <scheme val="minor"/>
      </rPr>
      <t>진단 설비 기준</t>
    </r>
    <r>
      <rPr>
        <b/>
        <sz val="12"/>
        <color rgb="FF000000"/>
        <rFont val="휴먼명조"/>
        <family val="3"/>
        <charset val="129"/>
      </rPr>
      <t>)</t>
    </r>
  </si>
  <si>
    <t>예상 에너지 절감량</t>
  </si>
  <si>
    <r>
      <t>사용량대비 절감율</t>
    </r>
    <r>
      <rPr>
        <sz val="12"/>
        <color rgb="FF000000"/>
        <rFont val="휴먼명조"/>
        <family val="3"/>
        <charset val="129"/>
      </rPr>
      <t>(%)</t>
    </r>
  </si>
  <si>
    <r>
      <t xml:space="preserve">* </t>
    </r>
    <r>
      <rPr>
        <sz val="12"/>
        <color rgb="FF000000"/>
        <rFont val="맑은 고딕"/>
        <family val="3"/>
        <charset val="129"/>
        <scheme val="minor"/>
      </rPr>
      <t>에너지</t>
    </r>
  </si>
  <si>
    <t>이산화탄소</t>
  </si>
  <si>
    <r>
      <t>(</t>
    </r>
    <r>
      <rPr>
        <sz val="10"/>
        <color rgb="FF000000"/>
        <rFont val="맑은 고딕"/>
        <family val="3"/>
        <charset val="129"/>
        <scheme val="minor"/>
      </rPr>
      <t>백만원</t>
    </r>
    <r>
      <rPr>
        <sz val="10"/>
        <color rgb="FF000000"/>
        <rFont val="휴먼명조"/>
        <family val="3"/>
        <charset val="129"/>
      </rPr>
      <t>/</t>
    </r>
    <r>
      <rPr>
        <sz val="10"/>
        <color rgb="FF000000"/>
        <rFont val="맑은 고딕"/>
        <family val="3"/>
        <charset val="129"/>
        <scheme val="minor"/>
      </rPr>
      <t>년</t>
    </r>
    <r>
      <rPr>
        <sz val="10"/>
        <color rgb="FF000000"/>
        <rFont val="휴먼명조"/>
        <family val="3"/>
        <charset val="129"/>
      </rPr>
      <t>)</t>
    </r>
  </si>
  <si>
    <r>
      <t>(</t>
    </r>
    <r>
      <rPr>
        <sz val="10"/>
        <color rgb="FF000000"/>
        <rFont val="맑은 고딕"/>
        <family val="3"/>
        <charset val="129"/>
        <scheme val="minor"/>
      </rPr>
      <t>백만원</t>
    </r>
    <r>
      <rPr>
        <sz val="10"/>
        <color rgb="FF000000"/>
        <rFont val="휴먼명조"/>
        <family val="3"/>
        <charset val="129"/>
      </rPr>
      <t>)</t>
    </r>
  </si>
  <si>
    <t>회수</t>
  </si>
  <si>
    <t>절감효과</t>
  </si>
  <si>
    <t>저감량</t>
  </si>
  <si>
    <t>기간</t>
  </si>
  <si>
    <r>
      <t>(toe/</t>
    </r>
    <r>
      <rPr>
        <sz val="10"/>
        <color rgb="FF000000"/>
        <rFont val="맑은 고딕"/>
        <family val="3"/>
        <charset val="129"/>
        <scheme val="minor"/>
      </rPr>
      <t>백만원</t>
    </r>
    <r>
      <rPr>
        <sz val="10"/>
        <color rgb="FF000000"/>
        <rFont val="휴먼명조"/>
        <family val="3"/>
        <charset val="129"/>
      </rPr>
      <t>)</t>
    </r>
  </si>
  <si>
    <r>
      <t>(tCO2/</t>
    </r>
    <r>
      <rPr>
        <sz val="10"/>
        <color rgb="FF000000"/>
        <rFont val="맑은 고딕"/>
        <family val="3"/>
        <charset val="129"/>
        <scheme val="minor"/>
      </rPr>
      <t>년</t>
    </r>
    <r>
      <rPr>
        <sz val="10"/>
        <color rgb="FF000000"/>
        <rFont val="휴먼명조"/>
        <family val="3"/>
        <charset val="129"/>
      </rPr>
      <t>)</t>
    </r>
  </si>
  <si>
    <t>연료</t>
  </si>
  <si>
    <t>계</t>
  </si>
  <si>
    <r>
      <t>(</t>
    </r>
    <r>
      <rPr>
        <sz val="10"/>
        <color rgb="FF000000"/>
        <rFont val="맑은 고딕"/>
        <family val="3"/>
        <charset val="129"/>
        <scheme val="minor"/>
      </rPr>
      <t>년</t>
    </r>
    <r>
      <rPr>
        <sz val="10"/>
        <color rgb="FF000000"/>
        <rFont val="휴먼명조"/>
        <family val="3"/>
        <charset val="129"/>
      </rPr>
      <t>)</t>
    </r>
  </si>
  <si>
    <t>고효율인버터 콤프레샤로 교체</t>
  </si>
  <si>
    <r>
      <t>(toe/</t>
    </r>
    <r>
      <rPr>
        <sz val="10"/>
        <color theme="1"/>
        <rFont val="맑은 고딕"/>
        <family val="3"/>
        <charset val="129"/>
        <scheme val="minor"/>
      </rPr>
      <t>년</t>
    </r>
    <r>
      <rPr>
        <sz val="10"/>
        <color theme="1"/>
        <rFont val="휴먼명조"/>
        <family val="3"/>
        <charset val="129"/>
      </rPr>
      <t>)</t>
    </r>
  </si>
  <si>
    <r>
      <t>(MWh/</t>
    </r>
    <r>
      <rPr>
        <sz val="9"/>
        <color theme="1"/>
        <rFont val="맑은 고딕"/>
        <family val="3"/>
        <charset val="129"/>
        <scheme val="minor"/>
      </rPr>
      <t>년</t>
    </r>
    <r>
      <rPr>
        <sz val="9"/>
        <color theme="1"/>
        <rFont val="휴먼명조"/>
        <family val="3"/>
        <charset val="129"/>
      </rPr>
      <t>)</t>
    </r>
  </si>
  <si>
    <r>
      <t>(toe/</t>
    </r>
    <r>
      <rPr>
        <sz val="9"/>
        <color theme="1"/>
        <rFont val="맑은 고딕"/>
        <family val="3"/>
        <charset val="129"/>
        <scheme val="minor"/>
      </rPr>
      <t>년</t>
    </r>
    <r>
      <rPr>
        <sz val="9"/>
        <color theme="1"/>
        <rFont val="휴먼명조"/>
        <family val="3"/>
        <charset val="129"/>
      </rPr>
      <t>)</t>
    </r>
  </si>
  <si>
    <t xml:space="preserve"> * 에너지절감효과 : 절감량(toe/년) ÷ 설비구입비용(백만원)</t>
    <phoneticPr fontId="2" type="noConversion"/>
  </si>
  <si>
    <t>3P3W</t>
  </si>
  <si>
    <t>Hz=60</t>
  </si>
  <si>
    <t>MD=15</t>
  </si>
  <si>
    <t>SEC=2</t>
  </si>
  <si>
    <t>CT=1</t>
  </si>
  <si>
    <t>VT=1</t>
  </si>
  <si>
    <t>INPUT=V1</t>
  </si>
  <si>
    <t xml:space="preserve">      DATE</t>
  </si>
  <si>
    <t xml:space="preserve">      TIME</t>
  </si>
  <si>
    <t xml:space="preserve">       V12</t>
  </si>
  <si>
    <t xml:space="preserve">       V23</t>
  </si>
  <si>
    <t xml:space="preserve">       V31</t>
  </si>
  <si>
    <t xml:space="preserve">        I1</t>
  </si>
  <si>
    <t xml:space="preserve">         I2</t>
  </si>
  <si>
    <t xml:space="preserve">       I3</t>
  </si>
  <si>
    <t xml:space="preserve">     W_SYS</t>
  </si>
  <si>
    <t xml:space="preserve">    VA_SYS</t>
  </si>
  <si>
    <t xml:space="preserve">   VAR_SYS</t>
  </si>
  <si>
    <t xml:space="preserve">    PF_SYS</t>
  </si>
  <si>
    <t xml:space="preserve">     WH_SYS</t>
  </si>
  <si>
    <t xml:space="preserve">  VAH_SYS</t>
  </si>
  <si>
    <t xml:space="preserve">  VARH_SYS</t>
  </si>
  <si>
    <t xml:space="preserve">   PFH_SYS</t>
  </si>
  <si>
    <t xml:space="preserve">     W(AD)</t>
  </si>
  <si>
    <t xml:space="preserve">    VA(AD)</t>
  </si>
  <si>
    <t xml:space="preserve">     W(MD)</t>
  </si>
  <si>
    <t xml:space="preserve">    VA(MD)</t>
  </si>
  <si>
    <t xml:space="preserve">  14:44:55</t>
  </si>
  <si>
    <t xml:space="preserve">    364.7V</t>
  </si>
  <si>
    <t xml:space="preserve">    365.2V</t>
  </si>
  <si>
    <t xml:space="preserve">    367.2V</t>
  </si>
  <si>
    <t xml:space="preserve">    97.65A</t>
  </si>
  <si>
    <t xml:space="preserve">    88.92A</t>
  </si>
  <si>
    <t xml:space="preserve">    98.67A</t>
  </si>
  <si>
    <t xml:space="preserve">   52.32KW</t>
  </si>
  <si>
    <t xml:space="preserve">  60.18KVA</t>
  </si>
  <si>
    <t>-29.79KVAR</t>
  </si>
  <si>
    <t xml:space="preserve">  00.03KWH</t>
  </si>
  <si>
    <t xml:space="preserve"> 00.03KVAH</t>
  </si>
  <si>
    <t>00.02KVARH</t>
  </si>
  <si>
    <t xml:space="preserve">     0.86H</t>
  </si>
  <si>
    <t xml:space="preserve">   05.76KW</t>
  </si>
  <si>
    <t xml:space="preserve">  10.00KVA</t>
  </si>
  <si>
    <t xml:space="preserve">    ------</t>
  </si>
  <si>
    <t xml:space="preserve">  14:44:57</t>
  </si>
  <si>
    <t xml:space="preserve">    364.6V</t>
  </si>
  <si>
    <t xml:space="preserve">    364.9V</t>
  </si>
  <si>
    <t xml:space="preserve">    368.2V</t>
  </si>
  <si>
    <t xml:space="preserve">    97.26A</t>
  </si>
  <si>
    <t xml:space="preserve">    88.71A</t>
  </si>
  <si>
    <t xml:space="preserve">    98.13A</t>
  </si>
  <si>
    <t xml:space="preserve">   52.08KW</t>
  </si>
  <si>
    <t xml:space="preserve">  59.97KVA</t>
  </si>
  <si>
    <t>-29.76KVAR</t>
  </si>
  <si>
    <t xml:space="preserve">  00.06KWH</t>
  </si>
  <si>
    <t xml:space="preserve"> 00.07KVAH</t>
  </si>
  <si>
    <t>00.03KVARH</t>
  </si>
  <si>
    <t xml:space="preserve">  14:44:59</t>
  </si>
  <si>
    <t xml:space="preserve">    364.5V</t>
  </si>
  <si>
    <t xml:space="preserve">    365.3V</t>
  </si>
  <si>
    <t xml:space="preserve">    368.1V</t>
  </si>
  <si>
    <t xml:space="preserve">    96.96A</t>
  </si>
  <si>
    <t xml:space="preserve">    88.89A</t>
  </si>
  <si>
    <t xml:space="preserve">    98.31A</t>
  </si>
  <si>
    <t xml:space="preserve">   52.14KW</t>
  </si>
  <si>
    <t xml:space="preserve">  60.00KVA</t>
  </si>
  <si>
    <t>-29.70KVAR</t>
  </si>
  <si>
    <t xml:space="preserve">  00.09KWH</t>
  </si>
  <si>
    <t xml:space="preserve"> 00.10KVAH</t>
  </si>
  <si>
    <t>00.05KVARH</t>
  </si>
  <si>
    <t xml:space="preserve">  14:45:01</t>
  </si>
  <si>
    <t xml:space="preserve">    365.0V</t>
  </si>
  <si>
    <t xml:space="preserve">    367.8V</t>
  </si>
  <si>
    <t xml:space="preserve">    96.81A</t>
  </si>
  <si>
    <t xml:space="preserve">    88.77A</t>
  </si>
  <si>
    <t xml:space="preserve">    97.98A</t>
  </si>
  <si>
    <t xml:space="preserve">   52.02KW</t>
  </si>
  <si>
    <t xml:space="preserve">  59.85KVA</t>
  </si>
  <si>
    <t>-29.61KVAR</t>
  </si>
  <si>
    <t xml:space="preserve">  00.12KWH</t>
  </si>
  <si>
    <t xml:space="preserve"> 00.13KVAH</t>
  </si>
  <si>
    <t>00.07KVARH</t>
  </si>
  <si>
    <t xml:space="preserve">  14:45:03</t>
  </si>
  <si>
    <t xml:space="preserve">    365.4V</t>
  </si>
  <si>
    <t xml:space="preserve">    364.3V</t>
  </si>
  <si>
    <t xml:space="preserve">    96.69A</t>
  </si>
  <si>
    <t xml:space="preserve">    88.65A</t>
  </si>
  <si>
    <t xml:space="preserve">    97.71A</t>
  </si>
  <si>
    <t xml:space="preserve">   51.90KW</t>
  </si>
  <si>
    <t xml:space="preserve">  59.73KVA</t>
  </si>
  <si>
    <t>-29.58KVAR</t>
  </si>
  <si>
    <t xml:space="preserve">  00.14KWH</t>
  </si>
  <si>
    <t xml:space="preserve"> 00.17KVAH</t>
  </si>
  <si>
    <t>00.08KVARH</t>
  </si>
  <si>
    <t xml:space="preserve">  14:45:05</t>
  </si>
  <si>
    <t xml:space="preserve">    364.4V</t>
  </si>
  <si>
    <t xml:space="preserve">    365.5V</t>
  </si>
  <si>
    <t xml:space="preserve">    96.60A</t>
  </si>
  <si>
    <t xml:space="preserve">    88.53A</t>
  </si>
  <si>
    <t xml:space="preserve">    97.62A</t>
  </si>
  <si>
    <t xml:space="preserve">   51.84KW</t>
  </si>
  <si>
    <t xml:space="preserve">  59.67KVA</t>
  </si>
  <si>
    <t>-29.55KVAR</t>
  </si>
  <si>
    <t xml:space="preserve">  00.17KWH</t>
  </si>
  <si>
    <t xml:space="preserve"> 00.20KVAH</t>
  </si>
  <si>
    <t>00.10KVARH</t>
  </si>
  <si>
    <t xml:space="preserve">  14:45:07</t>
  </si>
  <si>
    <t xml:space="preserve">    96.15A</t>
  </si>
  <si>
    <t xml:space="preserve">    88.35A</t>
  </si>
  <si>
    <t xml:space="preserve">    97.92A</t>
  </si>
  <si>
    <t xml:space="preserve">   51.69KW</t>
  </si>
  <si>
    <t xml:space="preserve">  59.61KVA</t>
  </si>
  <si>
    <t xml:space="preserve">  00.20KWH</t>
  </si>
  <si>
    <t xml:space="preserve"> 00.23KVAH</t>
  </si>
  <si>
    <t>00.12KVARH</t>
  </si>
  <si>
    <t xml:space="preserve">  14:45:09</t>
  </si>
  <si>
    <t xml:space="preserve">    365.7V</t>
  </si>
  <si>
    <t xml:space="preserve">    95.73A</t>
  </si>
  <si>
    <t xml:space="preserve">    88.38A</t>
  </si>
  <si>
    <t xml:space="preserve">   51.63KW</t>
  </si>
  <si>
    <t xml:space="preserve">  59.52KVA</t>
  </si>
  <si>
    <t>-29.64KVAR</t>
  </si>
  <si>
    <t xml:space="preserve">  00.23KWH</t>
  </si>
  <si>
    <t xml:space="preserve"> 00.27KVAH</t>
  </si>
  <si>
    <t>00.13KVARH</t>
  </si>
  <si>
    <t xml:space="preserve">  14:45:11</t>
  </si>
  <si>
    <t xml:space="preserve">    368.3V</t>
  </si>
  <si>
    <t xml:space="preserve">    95.82A</t>
  </si>
  <si>
    <t xml:space="preserve">    88.11A</t>
  </si>
  <si>
    <t xml:space="preserve">    97.59A</t>
  </si>
  <si>
    <t xml:space="preserve">   51.57KW</t>
  </si>
  <si>
    <t xml:space="preserve">  59.43KVA</t>
  </si>
  <si>
    <t xml:space="preserve">  00.26KWH</t>
  </si>
  <si>
    <t xml:space="preserve"> 00.30KVAH</t>
  </si>
  <si>
    <t>00.15KVARH</t>
  </si>
  <si>
    <t xml:space="preserve">  14:45:13</t>
  </si>
  <si>
    <t xml:space="preserve">    95.70A</t>
  </si>
  <si>
    <t xml:space="preserve">    87.81A</t>
  </si>
  <si>
    <t xml:space="preserve">    97.11A</t>
  </si>
  <si>
    <t xml:space="preserve">   51.39KW</t>
  </si>
  <si>
    <t xml:space="preserve">  59.28KVA</t>
  </si>
  <si>
    <t xml:space="preserve">  00.29KWH</t>
  </si>
  <si>
    <t xml:space="preserve"> 00.33KVAH</t>
  </si>
  <si>
    <t>00.16KVARH</t>
  </si>
  <si>
    <t xml:space="preserve">  14:45:15</t>
  </si>
  <si>
    <t xml:space="preserve">    95.28A</t>
  </si>
  <si>
    <t xml:space="preserve">    87.66A</t>
  </si>
  <si>
    <t xml:space="preserve">   51.24KW</t>
  </si>
  <si>
    <t xml:space="preserve">  59.10KVA</t>
  </si>
  <si>
    <t>-29.46KVAR</t>
  </si>
  <si>
    <t xml:space="preserve">  00.32KWH</t>
  </si>
  <si>
    <t xml:space="preserve"> 00.36KVAH</t>
  </si>
  <si>
    <t>00.18KVARH</t>
  </si>
  <si>
    <t xml:space="preserve">  14:45:17</t>
  </si>
  <si>
    <t xml:space="preserve">    367.9V</t>
  </si>
  <si>
    <t xml:space="preserve">    95.10A</t>
  </si>
  <si>
    <t xml:space="preserve">    87.57A</t>
  </si>
  <si>
    <t xml:space="preserve">    96.87A</t>
  </si>
  <si>
    <t xml:space="preserve">   51.15KW</t>
  </si>
  <si>
    <t xml:space="preserve">  59.04KVA</t>
  </si>
  <si>
    <t>-29.52KVAR</t>
  </si>
  <si>
    <t xml:space="preserve">  00.34KWH</t>
  </si>
  <si>
    <t xml:space="preserve"> 00.40KVAH</t>
  </si>
  <si>
    <t>00.20KVARH</t>
  </si>
  <si>
    <t xml:space="preserve">  14:45:19</t>
  </si>
  <si>
    <t xml:space="preserve">    367.6V</t>
  </si>
  <si>
    <t xml:space="preserve">    94.77A</t>
  </si>
  <si>
    <t xml:space="preserve">    87.69A</t>
  </si>
  <si>
    <t xml:space="preserve">    97.05A</t>
  </si>
  <si>
    <t xml:space="preserve">   51.18KW</t>
  </si>
  <si>
    <t xml:space="preserve">  59.01KVA</t>
  </si>
  <si>
    <t>-29.40KVAR</t>
  </si>
  <si>
    <t xml:space="preserve">  00.37KWH</t>
  </si>
  <si>
    <t xml:space="preserve"> 00.43KVAH</t>
  </si>
  <si>
    <t>00.21KVARH</t>
  </si>
  <si>
    <t xml:space="preserve">  14:45:21</t>
  </si>
  <si>
    <t xml:space="preserve">    95.04A</t>
  </si>
  <si>
    <t xml:space="preserve">    87.42A</t>
  </si>
  <si>
    <t xml:space="preserve">    96.51A</t>
  </si>
  <si>
    <t xml:space="preserve">   51.06KW</t>
  </si>
  <si>
    <t xml:space="preserve">  58.89KVA</t>
  </si>
  <si>
    <t>-29.37KVAR</t>
  </si>
  <si>
    <t xml:space="preserve">  00.40KWH</t>
  </si>
  <si>
    <t xml:space="preserve"> 00.46KVAH</t>
  </si>
  <si>
    <t>00.23KVARH</t>
  </si>
  <si>
    <t xml:space="preserve">  14:45:23</t>
  </si>
  <si>
    <t xml:space="preserve">    94.89A</t>
  </si>
  <si>
    <t xml:space="preserve">    87.18A</t>
  </si>
  <si>
    <t xml:space="preserve">    96.30A</t>
  </si>
  <si>
    <t xml:space="preserve">   50.91KW</t>
  </si>
  <si>
    <t xml:space="preserve">  58.74KVA</t>
  </si>
  <si>
    <t>-29.31KVAR</t>
  </si>
  <si>
    <t xml:space="preserve">  00.43KWH</t>
  </si>
  <si>
    <t xml:space="preserve"> 00.50KVAH</t>
  </si>
  <si>
    <t>00.25KVARH</t>
  </si>
  <si>
    <t xml:space="preserve">  14:45:25</t>
  </si>
  <si>
    <t xml:space="preserve">    94.83A</t>
  </si>
  <si>
    <t xml:space="preserve">    87.12A</t>
  </si>
  <si>
    <t xml:space="preserve">   50.85KW</t>
  </si>
  <si>
    <t xml:space="preserve">  58.71KVA</t>
  </si>
  <si>
    <t xml:space="preserve">  00.46KWH</t>
  </si>
  <si>
    <t xml:space="preserve"> 00.53KVAH</t>
  </si>
  <si>
    <t>00.26KVARH</t>
  </si>
  <si>
    <t xml:space="preserve">  14:45:27</t>
  </si>
  <si>
    <t xml:space="preserve">    367.4V</t>
  </si>
  <si>
    <t xml:space="preserve">    94.74A</t>
  </si>
  <si>
    <t xml:space="preserve">    86.79A</t>
  </si>
  <si>
    <t xml:space="preserve">    96.21A</t>
  </si>
  <si>
    <t xml:space="preserve">   50.76KW</t>
  </si>
  <si>
    <t xml:space="preserve">  58.65KVA</t>
  </si>
  <si>
    <t xml:space="preserve">  00.49KWH</t>
  </si>
  <si>
    <t xml:space="preserve"> 00.56KVAH</t>
  </si>
  <si>
    <t>00.28KVARH</t>
  </si>
  <si>
    <t xml:space="preserve">  14:45:29</t>
  </si>
  <si>
    <t xml:space="preserve">    366.9V</t>
  </si>
  <si>
    <t xml:space="preserve">    94.35A</t>
  </si>
  <si>
    <t xml:space="preserve">    86.73A</t>
  </si>
  <si>
    <t xml:space="preserve">    95.97A</t>
  </si>
  <si>
    <t xml:space="preserve">   50.61KW</t>
  </si>
  <si>
    <t xml:space="preserve">  58.47KVA</t>
  </si>
  <si>
    <t xml:space="preserve">  00.51KWH</t>
  </si>
  <si>
    <t xml:space="preserve"> 00.59KVAH</t>
  </si>
  <si>
    <t>00.30KVARH</t>
  </si>
  <si>
    <t xml:space="preserve">  14:45:31</t>
  </si>
  <si>
    <t xml:space="preserve">    367.5V</t>
  </si>
  <si>
    <t xml:space="preserve">    94.14A</t>
  </si>
  <si>
    <t xml:space="preserve">    86.46A</t>
  </si>
  <si>
    <t xml:space="preserve">    95.64A</t>
  </si>
  <si>
    <t xml:space="preserve">   50.46KW</t>
  </si>
  <si>
    <t xml:space="preserve">  58.32KVA</t>
  </si>
  <si>
    <t>-29.25KVAR</t>
  </si>
  <si>
    <t xml:space="preserve">  00.54KWH</t>
  </si>
  <si>
    <t xml:space="preserve"> 00.63KVAH</t>
  </si>
  <si>
    <t>00.31KVARH</t>
  </si>
  <si>
    <t xml:space="preserve">  14:45:33</t>
  </si>
  <si>
    <t xml:space="preserve">    94.02A</t>
  </si>
  <si>
    <t xml:space="preserve">    86.19A</t>
  </si>
  <si>
    <t xml:space="preserve">    95.52A</t>
  </si>
  <si>
    <t xml:space="preserve">   50.34KW</t>
  </si>
  <si>
    <t xml:space="preserve">  58.23KVA</t>
  </si>
  <si>
    <t>-29.28KVAR</t>
  </si>
  <si>
    <t xml:space="preserve">  00.57KWH</t>
  </si>
  <si>
    <t xml:space="preserve"> 00.66KVAH</t>
  </si>
  <si>
    <t>00.33KVARH</t>
  </si>
  <si>
    <t xml:space="preserve">  14:45:35</t>
  </si>
  <si>
    <t xml:space="preserve">    365.1V</t>
  </si>
  <si>
    <t xml:space="preserve">    368.0V</t>
  </si>
  <si>
    <t xml:space="preserve">    86.25A</t>
  </si>
  <si>
    <t xml:space="preserve">    95.49A</t>
  </si>
  <si>
    <t xml:space="preserve">   50.37KW</t>
  </si>
  <si>
    <t>-29.22KVAR</t>
  </si>
  <si>
    <t xml:space="preserve">  00.60KWH</t>
  </si>
  <si>
    <t xml:space="preserve"> 00.69KVAH</t>
  </si>
  <si>
    <t>00.34KVARH</t>
  </si>
  <si>
    <t xml:space="preserve">  14:45:37</t>
  </si>
  <si>
    <t xml:space="preserve">    94.23A</t>
  </si>
  <si>
    <t xml:space="preserve">    86.01A</t>
  </si>
  <si>
    <t xml:space="preserve">    95.40A</t>
  </si>
  <si>
    <t xml:space="preserve">   50.31KW</t>
  </si>
  <si>
    <t xml:space="preserve">  58.17KVA</t>
  </si>
  <si>
    <t xml:space="preserve">  00.63KWH</t>
  </si>
  <si>
    <t xml:space="preserve"> 00.72KVAH</t>
  </si>
  <si>
    <t>00.36KVARH</t>
  </si>
  <si>
    <t xml:space="preserve">  14:45:39</t>
  </si>
  <si>
    <t xml:space="preserve">    365.6V</t>
  </si>
  <si>
    <t xml:space="preserve">    367.3V</t>
  </si>
  <si>
    <t xml:space="preserve">    93.75A</t>
  </si>
  <si>
    <t xml:space="preserve">    95.19A</t>
  </si>
  <si>
    <t xml:space="preserve">   50.19KW</t>
  </si>
  <si>
    <t xml:space="preserve">  58.02KVA</t>
  </si>
  <si>
    <t>-29.13KVAR</t>
  </si>
  <si>
    <t xml:space="preserve">  00.65KWH</t>
  </si>
  <si>
    <t xml:space="preserve"> 00.75KVAH</t>
  </si>
  <si>
    <t>00.38KVARH</t>
  </si>
  <si>
    <t xml:space="preserve">  14:45:41</t>
  </si>
  <si>
    <t xml:space="preserve">    85.68A</t>
  </si>
  <si>
    <t xml:space="preserve">    94.95A</t>
  </si>
  <si>
    <t xml:space="preserve">   50.04KW</t>
  </si>
  <si>
    <t xml:space="preserve">  57.93KVA</t>
  </si>
  <si>
    <t>-29.19KVAR</t>
  </si>
  <si>
    <t xml:space="preserve">  00.68KWH</t>
  </si>
  <si>
    <t xml:space="preserve"> 00.79KVAH</t>
  </si>
  <si>
    <t>00.39KVARH</t>
  </si>
  <si>
    <t xml:space="preserve">  14:45:43</t>
  </si>
  <si>
    <t xml:space="preserve">    361.0V</t>
  </si>
  <si>
    <t xml:space="preserve">    360.6V</t>
  </si>
  <si>
    <t xml:space="preserve">    146.6A</t>
  </si>
  <si>
    <t xml:space="preserve">    136.9A</t>
  </si>
  <si>
    <t xml:space="preserve">    150.3A</t>
  </si>
  <si>
    <t xml:space="preserve">   81.39KW</t>
  </si>
  <si>
    <t xml:space="preserve">  90.66KVA</t>
  </si>
  <si>
    <t>-39.96KVAR</t>
  </si>
  <si>
    <t xml:space="preserve">  00.73KWH</t>
  </si>
  <si>
    <t xml:space="preserve"> 00.84KVAH</t>
  </si>
  <si>
    <t>00.41KVARH</t>
  </si>
  <si>
    <t xml:space="preserve">  14:45:45</t>
  </si>
  <si>
    <t xml:space="preserve">    360.9V</t>
  </si>
  <si>
    <t xml:space="preserve">    364.2V</t>
  </si>
  <si>
    <t xml:space="preserve">    148.3A</t>
  </si>
  <si>
    <t xml:space="preserve">    138.1A</t>
  </si>
  <si>
    <t xml:space="preserve">    151.5A</t>
  </si>
  <si>
    <t xml:space="preserve">   82.17KW</t>
  </si>
  <si>
    <t xml:space="preserve">  91.47KVA</t>
  </si>
  <si>
    <t>-40.20KVAR</t>
  </si>
  <si>
    <t xml:space="preserve">  00.77KWH</t>
  </si>
  <si>
    <t xml:space="preserve"> 00.89KVAH</t>
  </si>
  <si>
    <t>00.44KVARH</t>
  </si>
  <si>
    <t xml:space="preserve">     0.87H</t>
  </si>
  <si>
    <t xml:space="preserve">  14:45:47</t>
  </si>
  <si>
    <t xml:space="preserve">    360.8V</t>
  </si>
  <si>
    <t xml:space="preserve">    363.6V</t>
  </si>
  <si>
    <t xml:space="preserve">    149.9A</t>
  </si>
  <si>
    <t xml:space="preserve">    139.8A</t>
  </si>
  <si>
    <t xml:space="preserve">    153.2A</t>
  </si>
  <si>
    <t xml:space="preserve">   83.04KW</t>
  </si>
  <si>
    <t xml:space="preserve">  92.43KVA</t>
  </si>
  <si>
    <t>-40.65KVAR</t>
  </si>
  <si>
    <t xml:space="preserve">  00.82KWH</t>
  </si>
  <si>
    <t xml:space="preserve"> 00.94KVAH</t>
  </si>
  <si>
    <t>00.46KVARH</t>
  </si>
  <si>
    <t xml:space="preserve">  14:45:49</t>
  </si>
  <si>
    <t xml:space="preserve">    361.3V</t>
  </si>
  <si>
    <t xml:space="preserve">    150.2A</t>
  </si>
  <si>
    <t xml:space="preserve">    138.6A</t>
  </si>
  <si>
    <t xml:space="preserve">    134.8A</t>
  </si>
  <si>
    <t xml:space="preserve">   79.26KW</t>
  </si>
  <si>
    <t xml:space="preserve">  88.56KVA</t>
  </si>
  <si>
    <t>-39.57KVAR</t>
  </si>
  <si>
    <t xml:space="preserve">  00.86KWH</t>
  </si>
  <si>
    <t xml:space="preserve"> 00.99KVAH</t>
  </si>
  <si>
    <t>00.48KVARH</t>
  </si>
  <si>
    <t xml:space="preserve">  14:45:51</t>
  </si>
  <si>
    <t xml:space="preserve">    364.8V</t>
  </si>
  <si>
    <t xml:space="preserve">    90.12A</t>
  </si>
  <si>
    <t xml:space="preserve">    99.45A</t>
  </si>
  <si>
    <t xml:space="preserve">   52.83KW</t>
  </si>
  <si>
    <t xml:space="preserve">  60.69KVA</t>
  </si>
  <si>
    <t>-29.88KVAR</t>
  </si>
  <si>
    <t xml:space="preserve">  00.89KWH</t>
  </si>
  <si>
    <t xml:space="preserve"> 01.02KVAH</t>
  </si>
  <si>
    <t>00.50KVARH</t>
  </si>
  <si>
    <t xml:space="preserve">  14:45:53</t>
  </si>
  <si>
    <t xml:space="preserve">    89.61A</t>
  </si>
  <si>
    <t xml:space="preserve">    99.30A</t>
  </si>
  <si>
    <t xml:space="preserve">   52.71KW</t>
  </si>
  <si>
    <t xml:space="preserve">  60.60KVA</t>
  </si>
  <si>
    <t>-29.91KVAR</t>
  </si>
  <si>
    <t xml:space="preserve">  00.92KWH</t>
  </si>
  <si>
    <t xml:space="preserve"> 01.06KVAH</t>
  </si>
  <si>
    <t>00.52KVARH</t>
  </si>
  <si>
    <t xml:space="preserve">  14:45:55</t>
  </si>
  <si>
    <t xml:space="preserve">    97.56A</t>
  </si>
  <si>
    <t xml:space="preserve">    89.73A</t>
  </si>
  <si>
    <t xml:space="preserve">    98.76A</t>
  </si>
  <si>
    <t xml:space="preserve">   52.53KW</t>
  </si>
  <si>
    <t xml:space="preserve">  60.39KVA</t>
  </si>
  <si>
    <t>-29.85KVAR</t>
  </si>
  <si>
    <t xml:space="preserve">  00.95KWH</t>
  </si>
  <si>
    <t xml:space="preserve"> 01.09KVAH</t>
  </si>
  <si>
    <t>00.53KVARH</t>
  </si>
  <si>
    <t xml:space="preserve">  14:45:57</t>
  </si>
  <si>
    <t xml:space="preserve">    97.50A</t>
  </si>
  <si>
    <t xml:space="preserve">    89.43A</t>
  </si>
  <si>
    <t xml:space="preserve">    98.91A</t>
  </si>
  <si>
    <t xml:space="preserve">   52.47KW</t>
  </si>
  <si>
    <t xml:space="preserve">  60.33KVA</t>
  </si>
  <si>
    <t xml:space="preserve">  00.98KWH</t>
  </si>
  <si>
    <t xml:space="preserve"> 01.12KVAH</t>
  </si>
  <si>
    <t>00.55KVARH</t>
  </si>
  <si>
    <t xml:space="preserve">  14:45:59</t>
  </si>
  <si>
    <t xml:space="preserve">    89.31A</t>
  </si>
  <si>
    <t xml:space="preserve">    98.88A</t>
  </si>
  <si>
    <t xml:space="preserve">   52.41KW</t>
  </si>
  <si>
    <t xml:space="preserve">  60.27KVA</t>
  </si>
  <si>
    <t xml:space="preserve">  01.01KWH</t>
  </si>
  <si>
    <t xml:space="preserve"> 01.16KVAH</t>
  </si>
  <si>
    <t>00.56KVARH</t>
  </si>
  <si>
    <t xml:space="preserve">  14:46:01</t>
  </si>
  <si>
    <t xml:space="preserve">    367.7V</t>
  </si>
  <si>
    <t xml:space="preserve">    97.20A</t>
  </si>
  <si>
    <t xml:space="preserve">    88.74A</t>
  </si>
  <si>
    <t xml:space="preserve">    98.58A</t>
  </si>
  <si>
    <t xml:space="preserve">   52.17KW</t>
  </si>
  <si>
    <t xml:space="preserve">  60.06KVA</t>
  </si>
  <si>
    <t xml:space="preserve">  01.04KWH</t>
  </si>
  <si>
    <t xml:space="preserve"> 01.19KVAH</t>
  </si>
  <si>
    <t>00.58KVARH</t>
  </si>
  <si>
    <t xml:space="preserve">  14:46:03</t>
  </si>
  <si>
    <t xml:space="preserve">    96.78A</t>
  </si>
  <si>
    <t xml:space="preserve">    88.62A</t>
  </si>
  <si>
    <t xml:space="preserve">    98.16A</t>
  </si>
  <si>
    <t xml:space="preserve">   51.99KW</t>
  </si>
  <si>
    <t xml:space="preserve">  59.88KVA</t>
  </si>
  <si>
    <t>-29.73KVAR</t>
  </si>
  <si>
    <t xml:space="preserve">  01.07KWH</t>
  </si>
  <si>
    <t xml:space="preserve"> 01.22KVAH</t>
  </si>
  <si>
    <t>00.60KVARH</t>
  </si>
  <si>
    <t xml:space="preserve">  14:46:05</t>
  </si>
  <si>
    <t xml:space="preserve">    96.48A</t>
  </si>
  <si>
    <t xml:space="preserve">   51.93KW</t>
  </si>
  <si>
    <t xml:space="preserve">  59.79KVA</t>
  </si>
  <si>
    <t>-29.67KVAR</t>
  </si>
  <si>
    <t xml:space="preserve">  01.10KWH</t>
  </si>
  <si>
    <t xml:space="preserve"> 01.26KVAH</t>
  </si>
  <si>
    <t>00.61KVARH</t>
  </si>
  <si>
    <t xml:space="preserve">  14:46:07</t>
  </si>
  <si>
    <t xml:space="preserve">    96.72A</t>
  </si>
  <si>
    <t xml:space="preserve">    97.68A</t>
  </si>
  <si>
    <t xml:space="preserve">  01.12KWH</t>
  </si>
  <si>
    <t xml:space="preserve"> 01.29KVAH</t>
  </si>
  <si>
    <t>00.63KVARH</t>
  </si>
  <si>
    <t xml:space="preserve">  14:46:09</t>
  </si>
  <si>
    <t xml:space="preserve">    96.33A</t>
  </si>
  <si>
    <t xml:space="preserve">    87.93A</t>
  </si>
  <si>
    <t xml:space="preserve">  59.58KVA</t>
  </si>
  <si>
    <t xml:space="preserve">  01.15KWH</t>
  </si>
  <si>
    <t xml:space="preserve"> 01.32KVAH</t>
  </si>
  <si>
    <t>00.65KVARH</t>
  </si>
  <si>
    <t xml:space="preserve">  14:46:11</t>
  </si>
  <si>
    <t xml:space="preserve">    368.6V</t>
  </si>
  <si>
    <t xml:space="preserve">    96.27A</t>
  </si>
  <si>
    <t xml:space="preserve">    88.14A</t>
  </si>
  <si>
    <t xml:space="preserve">    97.29A</t>
  </si>
  <si>
    <t xml:space="preserve">  59.46KVA</t>
  </si>
  <si>
    <t xml:space="preserve">  01.18KWH</t>
  </si>
  <si>
    <t xml:space="preserve"> 01.36KVAH</t>
  </si>
  <si>
    <t>00.66KVARH</t>
  </si>
  <si>
    <t xml:space="preserve">  14:46:13</t>
  </si>
  <si>
    <t xml:space="preserve">    368.9V</t>
  </si>
  <si>
    <t xml:space="preserve">    88.08A</t>
  </si>
  <si>
    <t xml:space="preserve">    97.23A</t>
  </si>
  <si>
    <t xml:space="preserve">   51.60KW</t>
  </si>
  <si>
    <t xml:space="preserve">  01.21KWH</t>
  </si>
  <si>
    <t xml:space="preserve"> 01.39KVAH</t>
  </si>
  <si>
    <t>00.68KVARH</t>
  </si>
  <si>
    <t xml:space="preserve">  14:46:15</t>
  </si>
  <si>
    <t xml:space="preserve">    365.8V</t>
  </si>
  <si>
    <t xml:space="preserve">    365.9V</t>
  </si>
  <si>
    <t xml:space="preserve">    96.18A</t>
  </si>
  <si>
    <t xml:space="preserve">    87.39A</t>
  </si>
  <si>
    <t xml:space="preserve">    97.17A</t>
  </si>
  <si>
    <t xml:space="preserve">   51.45KW</t>
  </si>
  <si>
    <t xml:space="preserve">  59.34KVA</t>
  </si>
  <si>
    <t xml:space="preserve">  01.24KWH</t>
  </si>
  <si>
    <t xml:space="preserve"> 01.42KVAH</t>
  </si>
  <si>
    <t>00.70KVARH</t>
  </si>
  <si>
    <t xml:space="preserve">  14:46:17</t>
  </si>
  <si>
    <t xml:space="preserve">    366.0V</t>
  </si>
  <si>
    <t xml:space="preserve">    96.09A</t>
  </si>
  <si>
    <t xml:space="preserve">  01.27KWH</t>
  </si>
  <si>
    <t xml:space="preserve"> 01.45KVAH</t>
  </si>
  <si>
    <t>00.71KVARH</t>
  </si>
  <si>
    <t xml:space="preserve">  14:46:19</t>
  </si>
  <si>
    <t xml:space="preserve">    366.5V</t>
  </si>
  <si>
    <t xml:space="preserve">    368.8V</t>
  </si>
  <si>
    <t xml:space="preserve">    95.31A</t>
  </si>
  <si>
    <t xml:space="preserve">  59.16KVA</t>
  </si>
  <si>
    <t xml:space="preserve">  01.30KWH</t>
  </si>
  <si>
    <t xml:space="preserve"> 01.49KVAH</t>
  </si>
  <si>
    <t>00.73KVARH</t>
  </si>
  <si>
    <t xml:space="preserve">  14:46:21</t>
  </si>
  <si>
    <t xml:space="preserve">    95.22A</t>
  </si>
  <si>
    <t xml:space="preserve">  59.07KVA</t>
  </si>
  <si>
    <t xml:space="preserve">  01.33KWH</t>
  </si>
  <si>
    <t xml:space="preserve"> 01.52KVAH</t>
  </si>
  <si>
    <t>00.75KVARH</t>
  </si>
  <si>
    <t xml:space="preserve">  14:46:23</t>
  </si>
  <si>
    <t xml:space="preserve">    366.2V</t>
  </si>
  <si>
    <t xml:space="preserve">    369.2V</t>
  </si>
  <si>
    <t xml:space="preserve">    95.07A</t>
  </si>
  <si>
    <t xml:space="preserve">    87.15A</t>
  </si>
  <si>
    <t xml:space="preserve">    96.57A</t>
  </si>
  <si>
    <t xml:space="preserve">  58.95KVA</t>
  </si>
  <si>
    <t>-29.49KVAR</t>
  </si>
  <si>
    <t xml:space="preserve">  01.35KWH</t>
  </si>
  <si>
    <t xml:space="preserve"> 01.55KVAH</t>
  </si>
  <si>
    <t>00.76KVARH</t>
  </si>
  <si>
    <t xml:space="preserve">  14:46:25</t>
  </si>
  <si>
    <t xml:space="preserve">   50.94KW</t>
  </si>
  <si>
    <t xml:space="preserve">  58.83KVA</t>
  </si>
  <si>
    <t xml:space="preserve">  01.38KWH</t>
  </si>
  <si>
    <t xml:space="preserve"> 01.59KVAH</t>
  </si>
  <si>
    <t>00.78KVARH</t>
  </si>
  <si>
    <t xml:space="preserve">  14:46:27</t>
  </si>
  <si>
    <t xml:space="preserve">    94.68A</t>
  </si>
  <si>
    <t xml:space="preserve">    87.00A</t>
  </si>
  <si>
    <t xml:space="preserve">   50.88KW</t>
  </si>
  <si>
    <t xml:space="preserve">  58.77KVA</t>
  </si>
  <si>
    <t>-29.43KVAR</t>
  </si>
  <si>
    <t xml:space="preserve">  01.41KWH</t>
  </si>
  <si>
    <t xml:space="preserve"> 01.62KVAH</t>
  </si>
  <si>
    <t>00.79KVARH</t>
  </si>
  <si>
    <t xml:space="preserve">  14:46:29</t>
  </si>
  <si>
    <t xml:space="preserve">    366.3V</t>
  </si>
  <si>
    <t xml:space="preserve">    94.59A</t>
  </si>
  <si>
    <t xml:space="preserve">    86.76A</t>
  </si>
  <si>
    <t xml:space="preserve">   50.79KW</t>
  </si>
  <si>
    <t xml:space="preserve">  01.44KWH</t>
  </si>
  <si>
    <t xml:space="preserve"> 01.65KVAH</t>
  </si>
  <si>
    <t>00.81KVARH</t>
  </si>
  <si>
    <t xml:space="preserve">  14:46:31</t>
  </si>
  <si>
    <t xml:space="preserve">    366.4V</t>
  </si>
  <si>
    <t xml:space="preserve">    368.7V</t>
  </si>
  <si>
    <t xml:space="preserve">    86.67A</t>
  </si>
  <si>
    <t xml:space="preserve">    95.88A</t>
  </si>
  <si>
    <t xml:space="preserve">   50.70KW</t>
  </si>
  <si>
    <t xml:space="preserve">  58.62KVA</t>
  </si>
  <si>
    <t xml:space="preserve">  01.47KWH</t>
  </si>
  <si>
    <t xml:space="preserve"> 01.68KVAH</t>
  </si>
  <si>
    <t>00.83KVARH</t>
  </si>
  <si>
    <t xml:space="preserve">  14:46:33</t>
  </si>
  <si>
    <t xml:space="preserve">    94.11A</t>
  </si>
  <si>
    <t xml:space="preserve">   50.58KW</t>
  </si>
  <si>
    <t xml:space="preserve">  58.50KVA</t>
  </si>
  <si>
    <t xml:space="preserve">  01.49KWH</t>
  </si>
  <si>
    <t xml:space="preserve"> 01.72KVAH</t>
  </si>
  <si>
    <t>00.84KVARH</t>
  </si>
  <si>
    <t xml:space="preserve">  14:46:35</t>
  </si>
  <si>
    <t xml:space="preserve">    368.4V</t>
  </si>
  <si>
    <t xml:space="preserve">    86.49A</t>
  </si>
  <si>
    <t xml:space="preserve">   50.52KW</t>
  </si>
  <si>
    <t xml:space="preserve">  58.41KVA</t>
  </si>
  <si>
    <t>-29.34KVAR</t>
  </si>
  <si>
    <t xml:space="preserve">  01.52KWH</t>
  </si>
  <si>
    <t xml:space="preserve"> 01.75KVAH</t>
  </si>
  <si>
    <t>00.86KVARH</t>
  </si>
  <si>
    <t xml:space="preserve">  14:46:37</t>
  </si>
  <si>
    <t xml:space="preserve">    86.13A</t>
  </si>
  <si>
    <t xml:space="preserve">    95.61A</t>
  </si>
  <si>
    <t xml:space="preserve">  58.35KVA</t>
  </si>
  <si>
    <t xml:space="preserve">  01.55KWH</t>
  </si>
  <si>
    <t xml:space="preserve"> 01.78KVAH</t>
  </si>
  <si>
    <t>00.88KVARH</t>
  </si>
  <si>
    <t xml:space="preserve">  14:46:39</t>
  </si>
  <si>
    <t xml:space="preserve">    366.1V</t>
  </si>
  <si>
    <t xml:space="preserve">    95.37A</t>
  </si>
  <si>
    <t xml:space="preserve">  01.58KWH</t>
  </si>
  <si>
    <t xml:space="preserve"> 01.81KVAH</t>
  </si>
  <si>
    <t>00.89KVARH</t>
  </si>
  <si>
    <t xml:space="preserve">  14:46:41</t>
  </si>
  <si>
    <t xml:space="preserve">    93.54A</t>
  </si>
  <si>
    <t xml:space="preserve">    85.77A</t>
  </si>
  <si>
    <t xml:space="preserve">    95.25A</t>
  </si>
  <si>
    <t xml:space="preserve">   50.16KW</t>
  </si>
  <si>
    <t>-29.16KVAR</t>
  </si>
  <si>
    <t xml:space="preserve">  01.61KWH</t>
  </si>
  <si>
    <t xml:space="preserve"> 01.85KVAH</t>
  </si>
  <si>
    <t>00.91KVARH</t>
  </si>
  <si>
    <t xml:space="preserve">  14:46:43</t>
  </si>
  <si>
    <t xml:space="preserve">    93.72A</t>
  </si>
  <si>
    <t xml:space="preserve">    85.86A</t>
  </si>
  <si>
    <t xml:space="preserve">    95.01A</t>
  </si>
  <si>
    <t xml:space="preserve">  58.05KVA</t>
  </si>
  <si>
    <t xml:space="preserve">  01.63KWH</t>
  </si>
  <si>
    <t xml:space="preserve"> 01.88KVAH</t>
  </si>
  <si>
    <t>00.93KVARH</t>
  </si>
  <si>
    <t xml:space="preserve">  14:46:45</t>
  </si>
  <si>
    <t xml:space="preserve">    361.2V</t>
  </si>
  <si>
    <t xml:space="preserve">    361.6V</t>
  </si>
  <si>
    <t xml:space="preserve">    144.8A</t>
  </si>
  <si>
    <t xml:space="preserve">    134.7A</t>
  </si>
  <si>
    <t xml:space="preserve">    148.7A</t>
  </si>
  <si>
    <t xml:space="preserve">   80.46KW</t>
  </si>
  <si>
    <t xml:space="preserve">  89.61KVA</t>
  </si>
  <si>
    <t>-39.45KVAR</t>
  </si>
  <si>
    <t xml:space="preserve">  01.68KWH</t>
  </si>
  <si>
    <t xml:space="preserve"> 01.93KVAH</t>
  </si>
  <si>
    <t>00.95KVARH</t>
  </si>
  <si>
    <t xml:space="preserve">  14:46:47</t>
  </si>
  <si>
    <t xml:space="preserve">    361.4V</t>
  </si>
  <si>
    <t xml:space="preserve">    146.7A</t>
  </si>
  <si>
    <t xml:space="preserve">    136.7A</t>
  </si>
  <si>
    <t xml:space="preserve">   81.45KW</t>
  </si>
  <si>
    <t xml:space="preserve">  90.72KVA</t>
  </si>
  <si>
    <t xml:space="preserve">  01.72KWH</t>
  </si>
  <si>
    <t xml:space="preserve"> 01.98KVAH</t>
  </si>
  <si>
    <t>00.97KVARH</t>
  </si>
  <si>
    <t xml:space="preserve">  14:46:49</t>
  </si>
  <si>
    <t xml:space="preserve">    360.7V</t>
  </si>
  <si>
    <t xml:space="preserve">    148.8A</t>
  </si>
  <si>
    <t xml:space="preserve">    152.2A</t>
  </si>
  <si>
    <t xml:space="preserve">   82.56KW</t>
  </si>
  <si>
    <t xml:space="preserve">  91.92KVA</t>
  </si>
  <si>
    <t>-40.44KVAR</t>
  </si>
  <si>
    <t xml:space="preserve">  01.77KWH</t>
  </si>
  <si>
    <t xml:space="preserve"> 02.03KVAH</t>
  </si>
  <si>
    <t>00.99KVARH</t>
  </si>
  <si>
    <t xml:space="preserve">  14:46:51</t>
  </si>
  <si>
    <t xml:space="preserve">    149.8A</t>
  </si>
  <si>
    <t xml:space="preserve">    139.5A</t>
  </si>
  <si>
    <t xml:space="preserve">    153.0A</t>
  </si>
  <si>
    <t xml:space="preserve">   83.01KW</t>
  </si>
  <si>
    <t xml:space="preserve">  92.46KVA</t>
  </si>
  <si>
    <t>-40.74KVAR</t>
  </si>
  <si>
    <t xml:space="preserve">  01.82KWH</t>
  </si>
  <si>
    <t xml:space="preserve"> 02.08KVAH</t>
  </si>
  <si>
    <t>01.01KVARH</t>
  </si>
  <si>
    <t xml:space="preserve">  14:46:53</t>
  </si>
  <si>
    <t xml:space="preserve">    98.70A</t>
  </si>
  <si>
    <t xml:space="preserve">    90.06A</t>
  </si>
  <si>
    <t xml:space="preserve">    99.78A</t>
  </si>
  <si>
    <t xml:space="preserve">   53.01KW</t>
  </si>
  <si>
    <t xml:space="preserve">  60.96KVA</t>
  </si>
  <si>
    <t>-30.12KVAR</t>
  </si>
  <si>
    <t xml:space="preserve">  01.85KWH</t>
  </si>
  <si>
    <t xml:space="preserve"> 02.11KVAH</t>
  </si>
  <si>
    <t>01.03KVARH</t>
  </si>
  <si>
    <t xml:space="preserve">  14:46:55</t>
  </si>
  <si>
    <t xml:space="preserve">    89.67A</t>
  </si>
  <si>
    <t xml:space="preserve">    99.06A</t>
  </si>
  <si>
    <t xml:space="preserve">  01.87KWH</t>
  </si>
  <si>
    <t xml:space="preserve"> 02.15KVAH</t>
  </si>
  <si>
    <t>01.05KVARH</t>
  </si>
  <si>
    <t xml:space="preserve">  14:46:57</t>
  </si>
  <si>
    <t xml:space="preserve">    89.46A</t>
  </si>
  <si>
    <t xml:space="preserve">   52.56KW</t>
  </si>
  <si>
    <t xml:space="preserve">  01.90KWH</t>
  </si>
  <si>
    <t xml:space="preserve"> 02.18KVAH</t>
  </si>
  <si>
    <t>01.06KVARH</t>
  </si>
  <si>
    <t xml:space="preserve">  14:46:59</t>
  </si>
  <si>
    <t xml:space="preserve">    89.01A</t>
  </si>
  <si>
    <t xml:space="preserve">    98.61A</t>
  </si>
  <si>
    <t xml:space="preserve">  01.93KWH</t>
  </si>
  <si>
    <t xml:space="preserve"> 02.22KVAH</t>
  </si>
  <si>
    <t>01.08KVARH</t>
  </si>
  <si>
    <t xml:space="preserve">  14:47:01</t>
  </si>
  <si>
    <t xml:space="preserve">    88.98A</t>
  </si>
  <si>
    <t xml:space="preserve">    98.10A</t>
  </si>
  <si>
    <t xml:space="preserve">   52.20KW</t>
  </si>
  <si>
    <t xml:space="preserve">  60.09KVA</t>
  </si>
  <si>
    <t xml:space="preserve">  01.96KWH</t>
  </si>
  <si>
    <t xml:space="preserve"> 02.25KVAH</t>
  </si>
  <si>
    <t>01.10KVARH</t>
  </si>
  <si>
    <t xml:space="preserve">  14:47:03</t>
  </si>
  <si>
    <t xml:space="preserve">    368.5V</t>
  </si>
  <si>
    <t xml:space="preserve">    96.99A</t>
  </si>
  <si>
    <t xml:space="preserve">    88.86A</t>
  </si>
  <si>
    <t xml:space="preserve">    98.64A</t>
  </si>
  <si>
    <t xml:space="preserve">   52.23KW</t>
  </si>
  <si>
    <t xml:space="preserve">  60.15KVA</t>
  </si>
  <si>
    <t xml:space="preserve">  01.99KWH</t>
  </si>
  <si>
    <t xml:space="preserve"> 02.28KVAH</t>
  </si>
  <si>
    <t>01.11KVARH</t>
  </si>
  <si>
    <t xml:space="preserve">  14:47:05</t>
  </si>
  <si>
    <t xml:space="preserve">    96.93A</t>
  </si>
  <si>
    <t xml:space="preserve">    98.37A</t>
  </si>
  <si>
    <t xml:space="preserve">   52.05KW</t>
  </si>
  <si>
    <t xml:space="preserve">  59.94KVA</t>
  </si>
  <si>
    <t xml:space="preserve">  02.02KWH</t>
  </si>
  <si>
    <t xml:space="preserve"> 02.32KVAH</t>
  </si>
  <si>
    <t>01.13KVARH</t>
  </si>
  <si>
    <t xml:space="preserve">  14:47:07</t>
  </si>
  <si>
    <t xml:space="preserve">    88.47A</t>
  </si>
  <si>
    <t xml:space="preserve">  02.05KWH</t>
  </si>
  <si>
    <t xml:space="preserve"> 02.35KVAH</t>
  </si>
  <si>
    <t>01.15KVARH</t>
  </si>
  <si>
    <t xml:space="preserve">  14:47:09</t>
  </si>
  <si>
    <t xml:space="preserve">    96.39A</t>
  </si>
  <si>
    <t xml:space="preserve">    88.23A</t>
  </si>
  <si>
    <t xml:space="preserve">    97.80A</t>
  </si>
  <si>
    <t xml:space="preserve">   51.81KW</t>
  </si>
  <si>
    <t xml:space="preserve">  02.08KWH</t>
  </si>
  <si>
    <t xml:space="preserve"> 02.38KVAH</t>
  </si>
  <si>
    <t>01.16KVARH</t>
  </si>
  <si>
    <t xml:space="preserve">  14:47:11</t>
  </si>
  <si>
    <t xml:space="preserve">    87.99A</t>
  </si>
  <si>
    <t xml:space="preserve">  02.11KWH</t>
  </si>
  <si>
    <t xml:space="preserve"> 02.41KVAH</t>
  </si>
  <si>
    <t>01.18KVARH</t>
  </si>
  <si>
    <t xml:space="preserve">  14:47:13</t>
  </si>
  <si>
    <t xml:space="preserve">    96.12A</t>
  </si>
  <si>
    <t xml:space="preserve">   51.66KW</t>
  </si>
  <si>
    <t xml:space="preserve">  59.55KVA</t>
  </si>
  <si>
    <t xml:space="preserve">  02.14KWH</t>
  </si>
  <si>
    <t xml:space="preserve"> 02.45KVAH</t>
  </si>
  <si>
    <t>01.20KVARH</t>
  </si>
  <si>
    <t xml:space="preserve">  14:47:15</t>
  </si>
  <si>
    <t xml:space="preserve">    95.94A</t>
  </si>
  <si>
    <t xml:space="preserve">    87.84A</t>
  </si>
  <si>
    <t xml:space="preserve">  59.49KVA</t>
  </si>
  <si>
    <t xml:space="preserve">  02.16KWH</t>
  </si>
  <si>
    <t xml:space="preserve"> 02.48KVAH</t>
  </si>
  <si>
    <t>01.21KVARH</t>
  </si>
  <si>
    <t xml:space="preserve">  14:47:17</t>
  </si>
  <si>
    <t xml:space="preserve">    97.32A</t>
  </si>
  <si>
    <t xml:space="preserve">   51.54KW</t>
  </si>
  <si>
    <t xml:space="preserve">  02.19KWH</t>
  </si>
  <si>
    <t xml:space="preserve"> 02.51KVAH</t>
  </si>
  <si>
    <t>01.23KVARH</t>
  </si>
  <si>
    <t xml:space="preserve">  14:47:19</t>
  </si>
  <si>
    <t xml:space="preserve">    97.02A</t>
  </si>
  <si>
    <t xml:space="preserve">   51.36KW</t>
  </si>
  <si>
    <t xml:space="preserve">  59.31KVA</t>
  </si>
  <si>
    <t xml:space="preserve">  02.22KWH</t>
  </si>
  <si>
    <t xml:space="preserve"> 02.55KVAH</t>
  </si>
  <si>
    <t>01.25KVARH</t>
  </si>
  <si>
    <t xml:space="preserve">  14:47:21</t>
  </si>
  <si>
    <t xml:space="preserve">    87.60A</t>
  </si>
  <si>
    <t xml:space="preserve">    96.84A</t>
  </si>
  <si>
    <t xml:space="preserve">  02.25KWH</t>
  </si>
  <si>
    <t xml:space="preserve"> 02.58KVAH</t>
  </si>
  <si>
    <t>01.26KVARH</t>
  </si>
  <si>
    <t xml:space="preserve">  14:47:23</t>
  </si>
  <si>
    <t xml:space="preserve">    96.75A</t>
  </si>
  <si>
    <t xml:space="preserve">   51.12KW</t>
  </si>
  <si>
    <t xml:space="preserve">  02.28KWH</t>
  </si>
  <si>
    <t xml:space="preserve"> 02.61KVAH</t>
  </si>
  <si>
    <t>01.28KVARH</t>
  </si>
  <si>
    <t xml:space="preserve">  14:47:25</t>
  </si>
  <si>
    <t xml:space="preserve">    94.86A</t>
  </si>
  <si>
    <t xml:space="preserve">   51.03KW</t>
  </si>
  <si>
    <t xml:space="preserve">  02.31KWH</t>
  </si>
  <si>
    <t xml:space="preserve"> 02.65KVAH</t>
  </si>
  <si>
    <t>01.30KVARH</t>
  </si>
  <si>
    <t xml:space="preserve">  14:47:27</t>
  </si>
  <si>
    <t xml:space="preserve">  02.33KWH</t>
  </si>
  <si>
    <t xml:space="preserve"> 02.68KVAH</t>
  </si>
  <si>
    <t>01.31KVARH</t>
  </si>
  <si>
    <t xml:space="preserve">  14:47:29</t>
  </si>
  <si>
    <t xml:space="preserve">    94.92A</t>
  </si>
  <si>
    <t xml:space="preserve">    86.91A</t>
  </si>
  <si>
    <t xml:space="preserve">  58.80KVA</t>
  </si>
  <si>
    <t xml:space="preserve">  02.36KWH</t>
  </si>
  <si>
    <t xml:space="preserve"> 02.71KVAH</t>
  </si>
  <si>
    <t>01.33KVARH</t>
  </si>
  <si>
    <t xml:space="preserve">  14:47:31</t>
  </si>
  <si>
    <t xml:space="preserve">    94.32A</t>
  </si>
  <si>
    <t xml:space="preserve">  02.39KWH</t>
  </si>
  <si>
    <t xml:space="preserve"> 02.74KVAH</t>
  </si>
  <si>
    <t>01.34KVARH</t>
  </si>
  <si>
    <t xml:space="preserve">  14:47:33</t>
  </si>
  <si>
    <t xml:space="preserve">    94.50A</t>
  </si>
  <si>
    <t xml:space="preserve">    86.55A</t>
  </si>
  <si>
    <t xml:space="preserve">   50.64KW</t>
  </si>
  <si>
    <t xml:space="preserve">  58.53KVA</t>
  </si>
  <si>
    <t xml:space="preserve">  02.42KWH</t>
  </si>
  <si>
    <t xml:space="preserve"> 02.78KVAH</t>
  </si>
  <si>
    <t>01.36KVARH</t>
  </si>
  <si>
    <t xml:space="preserve">  14:47:35</t>
  </si>
  <si>
    <t xml:space="preserve">    94.29A</t>
  </si>
  <si>
    <t xml:space="preserve">    86.52A</t>
  </si>
  <si>
    <t xml:space="preserve">  58.38KVA</t>
  </si>
  <si>
    <t xml:space="preserve">  02.45KWH</t>
  </si>
  <si>
    <t xml:space="preserve"> 02.81KVAH</t>
  </si>
  <si>
    <t>01.38KVARH</t>
  </si>
  <si>
    <t xml:space="preserve">  14:47:37</t>
  </si>
  <si>
    <t xml:space="preserve">    94.17A</t>
  </si>
  <si>
    <t xml:space="preserve">    86.22A</t>
  </si>
  <si>
    <t xml:space="preserve">    95.79A</t>
  </si>
  <si>
    <t xml:space="preserve">  02.48KWH</t>
  </si>
  <si>
    <t xml:space="preserve"> 02.84KVAH</t>
  </si>
  <si>
    <t>01.39KVARH</t>
  </si>
  <si>
    <t xml:space="preserve">  14:47:39</t>
  </si>
  <si>
    <t xml:space="preserve">    86.07A</t>
  </si>
  <si>
    <t xml:space="preserve">   50.43KW</t>
  </si>
  <si>
    <t xml:space="preserve">  02.50KWH</t>
  </si>
  <si>
    <t xml:space="preserve"> 02.87KVAH</t>
  </si>
  <si>
    <t>01.41KVARH</t>
  </si>
  <si>
    <t xml:space="preserve">  14:47:41</t>
  </si>
  <si>
    <t xml:space="preserve">    93.90A</t>
  </si>
  <si>
    <t xml:space="preserve">    85.98A</t>
  </si>
  <si>
    <t xml:space="preserve">   50.28KW</t>
  </si>
  <si>
    <t xml:space="preserve">  58.20KVA</t>
  </si>
  <si>
    <t xml:space="preserve">  02.53KWH</t>
  </si>
  <si>
    <t xml:space="preserve"> 02.91KVAH</t>
  </si>
  <si>
    <t>01.43KVARH</t>
  </si>
  <si>
    <t xml:space="preserve">  14:47:43</t>
  </si>
  <si>
    <t xml:space="preserve">    93.60A</t>
  </si>
  <si>
    <t xml:space="preserve">    85.92A</t>
  </si>
  <si>
    <t xml:space="preserve">   50.13KW</t>
  </si>
  <si>
    <t xml:space="preserve">  02.56KWH</t>
  </si>
  <si>
    <t xml:space="preserve"> 02.94KVAH</t>
  </si>
  <si>
    <t>01.44KVARH</t>
  </si>
  <si>
    <t xml:space="preserve">  14:47:45</t>
  </si>
  <si>
    <t xml:space="preserve">    93.87A</t>
  </si>
  <si>
    <t xml:space="preserve">    85.74A</t>
  </si>
  <si>
    <t xml:space="preserve">  58.14KVA</t>
  </si>
  <si>
    <t xml:space="preserve">  02.59KWH</t>
  </si>
  <si>
    <t xml:space="preserve"> 02.97KVAH</t>
  </si>
  <si>
    <t>01.46KVARH</t>
  </si>
  <si>
    <t xml:space="preserve">  14:47:47</t>
  </si>
  <si>
    <t xml:space="preserve">    361.5V</t>
  </si>
  <si>
    <t xml:space="preserve">    144.6A</t>
  </si>
  <si>
    <t xml:space="preserve">    135.0A</t>
  </si>
  <si>
    <t xml:space="preserve">    148.9A</t>
  </si>
  <si>
    <t xml:space="preserve">   80.58KW</t>
  </si>
  <si>
    <t xml:space="preserve">  89.70KVA</t>
  </si>
  <si>
    <t xml:space="preserve">  02.63KWH</t>
  </si>
  <si>
    <t xml:space="preserve"> 03.02KVAH</t>
  </si>
  <si>
    <t>01.48KVARH</t>
  </si>
  <si>
    <t xml:space="preserve">  14:47:49</t>
  </si>
  <si>
    <t xml:space="preserve">    360.1V</t>
  </si>
  <si>
    <t xml:space="preserve">    147.4A</t>
  </si>
  <si>
    <t xml:space="preserve">    137.4A</t>
  </si>
  <si>
    <t xml:space="preserve">    151.0A</t>
  </si>
  <si>
    <t xml:space="preserve">   81.66KW</t>
  </si>
  <si>
    <t xml:space="preserve">  90.96KVA</t>
  </si>
  <si>
    <t>-40.08KVAR</t>
  </si>
  <si>
    <t xml:space="preserve">  02.68KWH</t>
  </si>
  <si>
    <t xml:space="preserve"> 03.07KVAH</t>
  </si>
  <si>
    <t>01.50KVARH</t>
  </si>
  <si>
    <t xml:space="preserve">  14:47:51</t>
  </si>
  <si>
    <t xml:space="preserve">    149.1A</t>
  </si>
  <si>
    <t xml:space="preserve">    138.9A</t>
  </si>
  <si>
    <t xml:space="preserve">    152.5A</t>
  </si>
  <si>
    <t xml:space="preserve">   82.71KW</t>
  </si>
  <si>
    <t xml:space="preserve">  92.13KVA</t>
  </si>
  <si>
    <t>-40.59KVAR</t>
  </si>
  <si>
    <t xml:space="preserve">  02.72KWH</t>
  </si>
  <si>
    <t xml:space="preserve"> 03.12KVAH</t>
  </si>
  <si>
    <t>01.53KVARH</t>
  </si>
  <si>
    <t xml:space="preserve">  14:47:53</t>
  </si>
  <si>
    <t xml:space="preserve">    139.7A</t>
  </si>
  <si>
    <t xml:space="preserve">    153.1A</t>
  </si>
  <si>
    <t xml:space="preserve">   83.13KW</t>
  </si>
  <si>
    <t xml:space="preserve">  92.58KVA</t>
  </si>
  <si>
    <t>-40.77KVAR</t>
  </si>
  <si>
    <t xml:space="preserve">  02.77KWH</t>
  </si>
  <si>
    <t xml:space="preserve"> 03.17KVAH</t>
  </si>
  <si>
    <t>01.55KVARH</t>
  </si>
  <si>
    <t xml:space="preserve">  14:47:55</t>
  </si>
  <si>
    <t xml:space="preserve">    90.63A</t>
  </si>
  <si>
    <t xml:space="preserve">    99.87A</t>
  </si>
  <si>
    <t xml:space="preserve">   53.25KW</t>
  </si>
  <si>
    <t xml:space="preserve">  61.14KVA</t>
  </si>
  <si>
    <t>-30.06KVAR</t>
  </si>
  <si>
    <t xml:space="preserve">  02.80KWH</t>
  </si>
  <si>
    <t xml:space="preserve"> 03.21KVAH</t>
  </si>
  <si>
    <t>01.56KVARH</t>
  </si>
  <si>
    <t xml:space="preserve">  14:47:57</t>
  </si>
  <si>
    <t xml:space="preserve">    89.79A</t>
  </si>
  <si>
    <t xml:space="preserve">    99.39A</t>
  </si>
  <si>
    <t xml:space="preserve">   52.77KW</t>
  </si>
  <si>
    <t xml:space="preserve">  60.66KVA</t>
  </si>
  <si>
    <t>-29.94KVAR</t>
  </si>
  <si>
    <t xml:space="preserve">  02.83KWH</t>
  </si>
  <si>
    <t xml:space="preserve"> 03.24KVAH</t>
  </si>
  <si>
    <t>01.58KVARH</t>
  </si>
  <si>
    <t xml:space="preserve">  14:47:59</t>
  </si>
  <si>
    <t xml:space="preserve">    97.95A</t>
  </si>
  <si>
    <t xml:space="preserve">    99.24A</t>
  </si>
  <si>
    <t xml:space="preserve">   52.68KW</t>
  </si>
  <si>
    <t xml:space="preserve">  60.57KVA</t>
  </si>
  <si>
    <t xml:space="preserve">  02.86KWH</t>
  </si>
  <si>
    <t xml:space="preserve"> 03.27KVAH</t>
  </si>
  <si>
    <t>01.60KVARH</t>
  </si>
  <si>
    <t xml:space="preserve">  14:48:01</t>
  </si>
  <si>
    <t xml:space="preserve">    89.55A</t>
  </si>
  <si>
    <t xml:space="preserve">  60.42KVA</t>
  </si>
  <si>
    <t xml:space="preserve">  02.89KWH</t>
  </si>
  <si>
    <t xml:space="preserve"> 03.31KVAH</t>
  </si>
  <si>
    <t>01.61KVARH</t>
  </si>
  <si>
    <t xml:space="preserve">  14:48:03</t>
  </si>
  <si>
    <t xml:space="preserve">   52.29KW</t>
  </si>
  <si>
    <t>-29.82KVAR</t>
  </si>
  <si>
    <t xml:space="preserve">  02.92KWH</t>
  </si>
  <si>
    <t xml:space="preserve"> 03.34KVAH</t>
  </si>
  <si>
    <t>01.63KVARH</t>
  </si>
  <si>
    <t xml:space="preserve">  14:48:05</t>
  </si>
  <si>
    <t xml:space="preserve">    89.13A</t>
  </si>
  <si>
    <t xml:space="preserve">    98.43A</t>
  </si>
  <si>
    <t xml:space="preserve">  60.12KVA</t>
  </si>
  <si>
    <t xml:space="preserve">  02.94KWH</t>
  </si>
  <si>
    <t xml:space="preserve"> 03.37KVAH</t>
  </si>
  <si>
    <t>01.65KVARH</t>
  </si>
  <si>
    <t xml:space="preserve">  14:48:07</t>
  </si>
  <si>
    <t xml:space="preserve">    88.80A</t>
  </si>
  <si>
    <t xml:space="preserve">  02.97KWH</t>
  </si>
  <si>
    <t xml:space="preserve"> 03.41KVAH</t>
  </si>
  <si>
    <t>01.66KVARH</t>
  </si>
  <si>
    <t xml:space="preserve">  14:48:09</t>
  </si>
  <si>
    <t xml:space="preserve">    369.1V</t>
  </si>
  <si>
    <t xml:space="preserve">    96.63A</t>
  </si>
  <si>
    <t xml:space="preserve">    98.40A</t>
  </si>
  <si>
    <t xml:space="preserve">  03.00KWH</t>
  </si>
  <si>
    <t xml:space="preserve"> 03.44KVAH</t>
  </si>
  <si>
    <t>01.68KVARH</t>
  </si>
  <si>
    <t xml:space="preserve">  14:48:11</t>
  </si>
  <si>
    <t xml:space="preserve">    96.36A</t>
  </si>
  <si>
    <t xml:space="preserve">    97.77A</t>
  </si>
  <si>
    <t xml:space="preserve">  03.03KWH</t>
  </si>
  <si>
    <t xml:space="preserve"> 03.47KVAH</t>
  </si>
  <si>
    <t>01.70KVARH</t>
  </si>
  <si>
    <t xml:space="preserve">  14:48:13</t>
  </si>
  <si>
    <t xml:space="preserve">   51.78KW</t>
  </si>
  <si>
    <t xml:space="preserve">  59.70KVA</t>
  </si>
  <si>
    <t xml:space="preserve">  03.06KWH</t>
  </si>
  <si>
    <t xml:space="preserve"> 03.51KVAH</t>
  </si>
  <si>
    <t>01.71KVARH</t>
  </si>
  <si>
    <t xml:space="preserve">  14:48:15</t>
  </si>
  <si>
    <t xml:space="preserve">    88.20A</t>
  </si>
  <si>
    <t xml:space="preserve">    97.53A</t>
  </si>
  <si>
    <t xml:space="preserve">  59.64KVA</t>
  </si>
  <si>
    <t xml:space="preserve">  03.09KWH</t>
  </si>
  <si>
    <t xml:space="preserve"> 03.54KVAH</t>
  </si>
  <si>
    <t>01.73KVARH</t>
  </si>
  <si>
    <t xml:space="preserve">  14:48:17</t>
  </si>
  <si>
    <t xml:space="preserve">  03.12KWH</t>
  </si>
  <si>
    <t xml:space="preserve"> 03.57KVAH</t>
  </si>
  <si>
    <t>01.75KVARH</t>
  </si>
  <si>
    <t xml:space="preserve">  14:48:19</t>
  </si>
  <si>
    <t xml:space="preserve">    366.6V</t>
  </si>
  <si>
    <t xml:space="preserve">    96.06A</t>
  </si>
  <si>
    <t xml:space="preserve">    87.87A</t>
  </si>
  <si>
    <t xml:space="preserve">   51.51KW</t>
  </si>
  <si>
    <t xml:space="preserve">  03.15KWH</t>
  </si>
  <si>
    <t xml:space="preserve"> 03.61KVAH</t>
  </si>
  <si>
    <t>01.76KVARH</t>
  </si>
  <si>
    <t xml:space="preserve">  14:48:21</t>
  </si>
  <si>
    <t xml:space="preserve">   51.42KW</t>
  </si>
  <si>
    <t xml:space="preserve">  03.17KWH</t>
  </si>
  <si>
    <t xml:space="preserve"> 03.64KVAH</t>
  </si>
  <si>
    <t>01.78KVARH</t>
  </si>
  <si>
    <t xml:space="preserve">  14:48:23</t>
  </si>
  <si>
    <t xml:space="preserve">  59.25KVA</t>
  </si>
  <si>
    <t xml:space="preserve">  03.20KWH</t>
  </si>
  <si>
    <t xml:space="preserve"> 03.67KVAH</t>
  </si>
  <si>
    <t>01.80KVARH</t>
  </si>
  <si>
    <t xml:space="preserve">  14:48:25</t>
  </si>
  <si>
    <t xml:space="preserve">   51.21KW</t>
  </si>
  <si>
    <t xml:space="preserve">  03.23KWH</t>
  </si>
  <si>
    <t xml:space="preserve"> 03.71KVAH</t>
  </si>
  <si>
    <t>01.81KVARH</t>
  </si>
  <si>
    <t xml:space="preserve">  14:48:27</t>
  </si>
  <si>
    <t xml:space="preserve">    369.3V</t>
  </si>
  <si>
    <t xml:space="preserve">    95.13A</t>
  </si>
  <si>
    <t xml:space="preserve">    87.09A</t>
  </si>
  <si>
    <t xml:space="preserve">  03.26KWH</t>
  </si>
  <si>
    <t xml:space="preserve"> 03.74KVAH</t>
  </si>
  <si>
    <t>01.83KVARH</t>
  </si>
  <si>
    <t xml:space="preserve">  14:48:29</t>
  </si>
  <si>
    <t xml:space="preserve">    95.43A</t>
  </si>
  <si>
    <t xml:space="preserve">    87.21A</t>
  </si>
  <si>
    <t xml:space="preserve">  03.29KWH</t>
  </si>
  <si>
    <t xml:space="preserve"> 03.77KVAH</t>
  </si>
  <si>
    <t>01.85KVARH</t>
  </si>
  <si>
    <t xml:space="preserve">  14:48:31</t>
  </si>
  <si>
    <t xml:space="preserve">    87.03A</t>
  </si>
  <si>
    <t xml:space="preserve">  58.86KVA</t>
  </si>
  <si>
    <t xml:space="preserve">  03.32KWH</t>
  </si>
  <si>
    <t xml:space="preserve"> 03.80KVAH</t>
  </si>
  <si>
    <t>01.86KVARH</t>
  </si>
  <si>
    <t xml:space="preserve">  14:48:33</t>
  </si>
  <si>
    <t xml:space="preserve">    369.0V</t>
  </si>
  <si>
    <t xml:space="preserve">    86.82A</t>
  </si>
  <si>
    <t xml:space="preserve">  03.35KWH</t>
  </si>
  <si>
    <t xml:space="preserve"> 03.84KVAH</t>
  </si>
  <si>
    <t>01.88KVARH</t>
  </si>
  <si>
    <t xml:space="preserve">  14:48:35</t>
  </si>
  <si>
    <t xml:space="preserve">    94.65A</t>
  </si>
  <si>
    <t xml:space="preserve">  58.68KVA</t>
  </si>
  <si>
    <t xml:space="preserve">  03.37KWH</t>
  </si>
  <si>
    <t xml:space="preserve"> 03.87KVAH</t>
  </si>
  <si>
    <t>01.89KVARH</t>
  </si>
  <si>
    <t xml:space="preserve">  14:48:37</t>
  </si>
  <si>
    <t xml:space="preserve">    86.40A</t>
  </si>
  <si>
    <t xml:space="preserve">   50.67KW</t>
  </si>
  <si>
    <t xml:space="preserve">  03.40KWH</t>
  </si>
  <si>
    <t xml:space="preserve"> 03.90KVAH</t>
  </si>
  <si>
    <t>01.91KVARH</t>
  </si>
  <si>
    <t xml:space="preserve">  14:48:39</t>
  </si>
  <si>
    <t xml:space="preserve">    366.7V</t>
  </si>
  <si>
    <t xml:space="preserve">   50.49KW</t>
  </si>
  <si>
    <t xml:space="preserve">  58.44KVA</t>
  </si>
  <si>
    <t xml:space="preserve">  03.43KWH</t>
  </si>
  <si>
    <t xml:space="preserve"> 03.93KVAH</t>
  </si>
  <si>
    <t>01.93KVARH</t>
  </si>
  <si>
    <t xml:space="preserve">  14:48:41</t>
  </si>
  <si>
    <t xml:space="preserve">    85.95A</t>
  </si>
  <si>
    <t xml:space="preserve">    95.67A</t>
  </si>
  <si>
    <t xml:space="preserve">  03.46KWH</t>
  </si>
  <si>
    <t xml:space="preserve"> 03.97KVAH</t>
  </si>
  <si>
    <t>01.94KVARH</t>
  </si>
  <si>
    <t xml:space="preserve">  14:48:43</t>
  </si>
  <si>
    <t xml:space="preserve">  03.49KWH</t>
  </si>
  <si>
    <t xml:space="preserve"> 04.00KVAH</t>
  </si>
  <si>
    <t>01.96KVARH</t>
  </si>
  <si>
    <t xml:space="preserve">  14:48:45</t>
  </si>
  <si>
    <t xml:space="preserve">    93.84A</t>
  </si>
  <si>
    <t xml:space="preserve">    85.83A</t>
  </si>
  <si>
    <t xml:space="preserve">   50.25KW</t>
  </si>
  <si>
    <t xml:space="preserve">  58.11KVA</t>
  </si>
  <si>
    <t xml:space="preserve">  03.51KWH</t>
  </si>
  <si>
    <t xml:space="preserve"> 04.03KVAH</t>
  </si>
  <si>
    <t>01.98KVARH</t>
  </si>
  <si>
    <t xml:space="preserve">  14:48:47</t>
  </si>
  <si>
    <t xml:space="preserve">    93.81A</t>
  </si>
  <si>
    <t xml:space="preserve">   50.22KW</t>
  </si>
  <si>
    <t xml:space="preserve">  03.54KWH</t>
  </si>
  <si>
    <t xml:space="preserve"> 04.06KVAH</t>
  </si>
  <si>
    <t>01.99KVARH</t>
  </si>
  <si>
    <t xml:space="preserve">  14:48:49</t>
  </si>
  <si>
    <t xml:space="preserve">    85.59A</t>
  </si>
  <si>
    <t xml:space="preserve">  57.99KVA</t>
  </si>
  <si>
    <t xml:space="preserve">  03.57KWH</t>
  </si>
  <si>
    <t xml:space="preserve"> 04.10KVAH</t>
  </si>
  <si>
    <t>02.01KVARH</t>
  </si>
  <si>
    <t xml:space="preserve">  14:48:51</t>
  </si>
  <si>
    <t xml:space="preserve">    363.0V</t>
  </si>
  <si>
    <t xml:space="preserve">    93.99A</t>
  </si>
  <si>
    <t xml:space="preserve">    103.2A</t>
  </si>
  <si>
    <t xml:space="preserve">    147.5A</t>
  </si>
  <si>
    <t xml:space="preserve">   63.72KW</t>
  </si>
  <si>
    <t xml:space="preserve">  72.21KVA</t>
  </si>
  <si>
    <t>-34.02KVAR</t>
  </si>
  <si>
    <t xml:space="preserve">  03.60KWH</t>
  </si>
  <si>
    <t xml:space="preserve"> 04.14KVAH</t>
  </si>
  <si>
    <t>02.03KVARH</t>
  </si>
  <si>
    <t xml:space="preserve">  14:48:53</t>
  </si>
  <si>
    <t xml:space="preserve">    147.7A</t>
  </si>
  <si>
    <t xml:space="preserve">   81.90KW</t>
  </si>
  <si>
    <t xml:space="preserve">  91.20KVA</t>
  </si>
  <si>
    <t>-40.14KVAR</t>
  </si>
  <si>
    <t xml:space="preserve">  03.65KWH</t>
  </si>
  <si>
    <t xml:space="preserve"> 04.19KVAH</t>
  </si>
  <si>
    <t>02.05KVARH</t>
  </si>
  <si>
    <t xml:space="preserve">  14:48:55</t>
  </si>
  <si>
    <t xml:space="preserve">    361.1V</t>
  </si>
  <si>
    <t xml:space="preserve">    364.0V</t>
  </si>
  <si>
    <t xml:space="preserve">    138.5A</t>
  </si>
  <si>
    <t xml:space="preserve">   82.50KW</t>
  </si>
  <si>
    <t xml:space="preserve">  91.89KVA</t>
  </si>
  <si>
    <t>-40.50KVAR</t>
  </si>
  <si>
    <t xml:space="preserve">  03.70KWH</t>
  </si>
  <si>
    <t xml:space="preserve"> 04.24KVAH</t>
  </si>
  <si>
    <t>02.07KVARH</t>
  </si>
  <si>
    <t xml:space="preserve">  14:48:57</t>
  </si>
  <si>
    <t xml:space="preserve">    150.8A</t>
  </si>
  <si>
    <t xml:space="preserve">    139.6A</t>
  </si>
  <si>
    <t xml:space="preserve">    152.1A</t>
  </si>
  <si>
    <t xml:space="preserve">  92.49KVA</t>
  </si>
  <si>
    <t xml:space="preserve">  03.74KWH</t>
  </si>
  <si>
    <t xml:space="preserve"> 04.29KVAH</t>
  </si>
  <si>
    <t>02.10KVARH</t>
  </si>
  <si>
    <t xml:space="preserve">  14:48:59</t>
  </si>
  <si>
    <t xml:space="preserve">    98.79A</t>
  </si>
  <si>
    <t xml:space="preserve">    89.88A</t>
  </si>
  <si>
    <t xml:space="preserve">    99.69A</t>
  </si>
  <si>
    <t xml:space="preserve">  60.87KVA</t>
  </si>
  <si>
    <t xml:space="preserve">  03.77KWH</t>
  </si>
  <si>
    <t xml:space="preserve"> 04.32KVAH</t>
  </si>
  <si>
    <t>02.11KVARH</t>
  </si>
  <si>
    <t xml:space="preserve">  14:49:01</t>
  </si>
  <si>
    <t xml:space="preserve">  03.80KWH</t>
  </si>
  <si>
    <t xml:space="preserve"> 04.36KVAH</t>
  </si>
  <si>
    <t>02.13KVARH</t>
  </si>
  <si>
    <t xml:space="preserve">  14:49:03</t>
  </si>
  <si>
    <t xml:space="preserve">    99.03A</t>
  </si>
  <si>
    <t xml:space="preserve">   52.59KW</t>
  </si>
  <si>
    <t xml:space="preserve">  03.83KWH</t>
  </si>
  <si>
    <t xml:space="preserve"> 04.39KVAH</t>
  </si>
  <si>
    <t>02.14KVARH</t>
  </si>
  <si>
    <t xml:space="preserve">  14:49:05</t>
  </si>
  <si>
    <t xml:space="preserve">    97.41A</t>
  </si>
  <si>
    <t xml:space="preserve">   52.50KW</t>
  </si>
  <si>
    <t xml:space="preserve">  60.45KVA</t>
  </si>
  <si>
    <t>-29.97KVAR</t>
  </si>
  <si>
    <t xml:space="preserve">  03.86KWH</t>
  </si>
  <si>
    <t xml:space="preserve"> 04.42KVAH</t>
  </si>
  <si>
    <t>02.16KVARH</t>
  </si>
  <si>
    <t xml:space="preserve">  14:49:07</t>
  </si>
  <si>
    <t xml:space="preserve">    89.07A</t>
  </si>
  <si>
    <t xml:space="preserve">  60.24KVA</t>
  </si>
  <si>
    <t xml:space="preserve">  03.89KWH</t>
  </si>
  <si>
    <t xml:space="preserve"> 04.46KVAH</t>
  </si>
  <si>
    <t>02.18KVARH</t>
  </si>
  <si>
    <t xml:space="preserve">  14:49:09</t>
  </si>
  <si>
    <t xml:space="preserve">  60.03KVA</t>
  </si>
  <si>
    <t xml:space="preserve">  03.92KWH</t>
  </si>
  <si>
    <t xml:space="preserve"> 04.49KVAH</t>
  </si>
  <si>
    <t>02.19KVARH</t>
  </si>
  <si>
    <t xml:space="preserve">  14:49:11</t>
  </si>
  <si>
    <t xml:space="preserve">   52.11KW</t>
  </si>
  <si>
    <t xml:space="preserve">  03.95KWH</t>
  </si>
  <si>
    <t xml:space="preserve"> 04.52KVAH</t>
  </si>
  <si>
    <t>02.21KVARH</t>
  </si>
  <si>
    <t xml:space="preserve">  14:49:13</t>
  </si>
  <si>
    <t xml:space="preserve">    96.90A</t>
  </si>
  <si>
    <t xml:space="preserve">    88.59A</t>
  </si>
  <si>
    <t xml:space="preserve">    98.19A</t>
  </si>
  <si>
    <t xml:space="preserve">  03.98KWH</t>
  </si>
  <si>
    <t xml:space="preserve"> 04.56KVAH</t>
  </si>
  <si>
    <t>02.23KVARH</t>
  </si>
  <si>
    <t xml:space="preserve">  14:49:15</t>
  </si>
  <si>
    <t xml:space="preserve">    96.42A</t>
  </si>
  <si>
    <t xml:space="preserve">    88.26A</t>
  </si>
  <si>
    <t xml:space="preserve">   51.75KW</t>
  </si>
  <si>
    <t xml:space="preserve">  04.00KWH</t>
  </si>
  <si>
    <t xml:space="preserve"> 04.59KVAH</t>
  </si>
  <si>
    <t>02.24KVARH</t>
  </si>
  <si>
    <t xml:space="preserve">  14:49:17</t>
  </si>
  <si>
    <t xml:space="preserve">    88.17A</t>
  </si>
  <si>
    <t xml:space="preserve">  04.03KWH</t>
  </si>
  <si>
    <t xml:space="preserve"> 04.62KVAH</t>
  </si>
  <si>
    <t>02.26KVARH</t>
  </si>
  <si>
    <t xml:space="preserve">  14:49:19</t>
  </si>
  <si>
    <t xml:space="preserve">    97.38A</t>
  </si>
  <si>
    <t xml:space="preserve">  04.06KWH</t>
  </si>
  <si>
    <t xml:space="preserve"> 04.66KVAH</t>
  </si>
  <si>
    <t>02.28KVARH</t>
  </si>
  <si>
    <t xml:space="preserve">  14:49:21</t>
  </si>
  <si>
    <t xml:space="preserve">  04.09KWH</t>
  </si>
  <si>
    <t xml:space="preserve"> 04.69KVAH</t>
  </si>
  <si>
    <t>02.29KVARH</t>
  </si>
  <si>
    <t xml:space="preserve">  14:49:23</t>
  </si>
  <si>
    <t xml:space="preserve">  04.12KWH</t>
  </si>
  <si>
    <t xml:space="preserve"> 04.72KVAH</t>
  </si>
  <si>
    <t>02.31KVARH</t>
  </si>
  <si>
    <t xml:space="preserve">  14:49:25</t>
  </si>
  <si>
    <t xml:space="preserve">  04.15KWH</t>
  </si>
  <si>
    <t xml:space="preserve"> 04.76KVAH</t>
  </si>
  <si>
    <t>02.33KVARH</t>
  </si>
  <si>
    <t xml:space="preserve">  14:49:27</t>
  </si>
  <si>
    <t xml:space="preserve">    96.00A</t>
  </si>
  <si>
    <t xml:space="preserve">    87.45A</t>
  </si>
  <si>
    <t xml:space="preserve">  04.18KWH</t>
  </si>
  <si>
    <t xml:space="preserve"> 04.79KVAH</t>
  </si>
  <si>
    <t>02.34KVARH</t>
  </si>
  <si>
    <t xml:space="preserve">  14:49:29</t>
  </si>
  <si>
    <t xml:space="preserve">    86.28A</t>
  </si>
  <si>
    <t xml:space="preserve">  58.59KVA</t>
  </si>
  <si>
    <t xml:space="preserve">  04.20KWH</t>
  </si>
  <si>
    <t xml:space="preserve"> 04.82KVAH</t>
  </si>
  <si>
    <t>02.36KVARH</t>
  </si>
  <si>
    <t xml:space="preserve">  14:49:31</t>
  </si>
  <si>
    <t xml:space="preserve">    94.08A</t>
  </si>
  <si>
    <t xml:space="preserve">  58.29KVA</t>
  </si>
  <si>
    <t xml:space="preserve">  04.23KWH</t>
  </si>
  <si>
    <t xml:space="preserve"> 04.85KVAH</t>
  </si>
  <si>
    <t>02.38KVARH</t>
  </si>
  <si>
    <t xml:space="preserve">  14:49:33</t>
  </si>
  <si>
    <t xml:space="preserve">  58.26KVA</t>
  </si>
  <si>
    <t xml:space="preserve">  04.26KWH</t>
  </si>
  <si>
    <t xml:space="preserve"> 04.89KVAH</t>
  </si>
  <si>
    <t>02.39KVARH</t>
  </si>
  <si>
    <t xml:space="preserve">  14:49:35</t>
  </si>
  <si>
    <t xml:space="preserve">    369.4V</t>
  </si>
  <si>
    <t xml:space="preserve">    94.26A</t>
  </si>
  <si>
    <t xml:space="preserve">  04.29KWH</t>
  </si>
  <si>
    <t xml:space="preserve"> 04.92KVAH</t>
  </si>
  <si>
    <t>02.41KVARH</t>
  </si>
  <si>
    <t xml:space="preserve">  14:49:37</t>
  </si>
  <si>
    <t xml:space="preserve">  04.32KWH</t>
  </si>
  <si>
    <t xml:space="preserve"> 04.95KVAH</t>
  </si>
  <si>
    <t>02.42KVARH</t>
  </si>
  <si>
    <t xml:space="preserve">  14:49:39</t>
  </si>
  <si>
    <t xml:space="preserve">    86.04A</t>
  </si>
  <si>
    <t xml:space="preserve">  04.34KWH</t>
  </si>
  <si>
    <t xml:space="preserve"> 04.98KVAH</t>
  </si>
  <si>
    <t>02.44KVARH</t>
  </si>
  <si>
    <t xml:space="preserve">  14:49:41</t>
  </si>
  <si>
    <t xml:space="preserve">  04.37KWH</t>
  </si>
  <si>
    <t xml:space="preserve"> 05.02KVAH</t>
  </si>
  <si>
    <t>02.46KVARH</t>
  </si>
  <si>
    <t xml:space="preserve">  14:49:43</t>
  </si>
  <si>
    <t xml:space="preserve">  58.08KVA</t>
  </si>
  <si>
    <t xml:space="preserve">  04.40KWH</t>
  </si>
  <si>
    <t xml:space="preserve"> 05.05KVAH</t>
  </si>
  <si>
    <t>02.47KVARH</t>
  </si>
  <si>
    <t xml:space="preserve">  14:49:45</t>
  </si>
  <si>
    <t xml:space="preserve">    93.69A</t>
  </si>
  <si>
    <t xml:space="preserve">    85.47A</t>
  </si>
  <si>
    <t xml:space="preserve">    118.7A</t>
  </si>
  <si>
    <t xml:space="preserve">   54.57KW</t>
  </si>
  <si>
    <t xml:space="preserve">  62.88KVA</t>
  </si>
  <si>
    <t>-31.29KVAR</t>
  </si>
  <si>
    <t xml:space="preserve">  04.43KWH</t>
  </si>
  <si>
    <t xml:space="preserve"> 05.08KVAH</t>
  </si>
  <si>
    <t>02.49KVARH</t>
  </si>
  <si>
    <t xml:space="preserve">  14:49:47</t>
  </si>
  <si>
    <t xml:space="preserve">    362.0V</t>
  </si>
  <si>
    <t xml:space="preserve">    145.0A</t>
  </si>
  <si>
    <t xml:space="preserve">    135.5A</t>
  </si>
  <si>
    <t xml:space="preserve">   80.67KW</t>
  </si>
  <si>
    <t xml:space="preserve">  89.85KVA</t>
  </si>
  <si>
    <t xml:space="preserve">  04.47KWH</t>
  </si>
  <si>
    <t xml:space="preserve"> 05.13KVAH</t>
  </si>
  <si>
    <t>02.51KVARH</t>
  </si>
  <si>
    <t xml:space="preserve">  14:49:49</t>
  </si>
  <si>
    <t xml:space="preserve">    361.7V</t>
  </si>
  <si>
    <t xml:space="preserve">    148.2A</t>
  </si>
  <si>
    <t xml:space="preserve">    138.0A</t>
  </si>
  <si>
    <t xml:space="preserve">   82.26KW</t>
  </si>
  <si>
    <t xml:space="preserve">  91.59KVA</t>
  </si>
  <si>
    <t>-40.29KVAR</t>
  </si>
  <si>
    <t xml:space="preserve">  04.52KWH</t>
  </si>
  <si>
    <t xml:space="preserve"> 05.18KVAH</t>
  </si>
  <si>
    <t>02.54KVARH</t>
  </si>
  <si>
    <t xml:space="preserve">  14:49:51</t>
  </si>
  <si>
    <t xml:space="preserve">    363.5V</t>
  </si>
  <si>
    <t xml:space="preserve">    150.4A</t>
  </si>
  <si>
    <t xml:space="preserve">    152.9A</t>
  </si>
  <si>
    <t xml:space="preserve">   83.19KW</t>
  </si>
  <si>
    <t xml:space="preserve">  92.61KVA</t>
  </si>
  <si>
    <t xml:space="preserve">  04.57KWH</t>
  </si>
  <si>
    <t xml:space="preserve"> 05.24KVAH</t>
  </si>
  <si>
    <t>02.56KVARH</t>
  </si>
  <si>
    <t xml:space="preserve">  14:49:53</t>
  </si>
  <si>
    <t xml:space="preserve">    361.8V</t>
  </si>
  <si>
    <t xml:space="preserve">    363.3V</t>
  </si>
  <si>
    <t xml:space="preserve">    149.3A</t>
  </si>
  <si>
    <t xml:space="preserve">    125.1A</t>
  </si>
  <si>
    <t xml:space="preserve">    103.8A</t>
  </si>
  <si>
    <t xml:space="preserve">   70.44KW</t>
  </si>
  <si>
    <t xml:space="preserve">  79.50KVA</t>
  </si>
  <si>
    <t>-36.87KVAR</t>
  </si>
  <si>
    <t xml:space="preserve">  04.61KWH</t>
  </si>
  <si>
    <t xml:space="preserve"> 05.28KVAH</t>
  </si>
  <si>
    <t>02.58KVARH</t>
  </si>
  <si>
    <t xml:space="preserve">  14:49:55</t>
  </si>
  <si>
    <t xml:space="preserve">    98.07A</t>
  </si>
  <si>
    <t xml:space="preserve">    90.21A</t>
  </si>
  <si>
    <t xml:space="preserve">    99.27A</t>
  </si>
  <si>
    <t xml:space="preserve">   52.89KW</t>
  </si>
  <si>
    <t xml:space="preserve">  60.78KVA</t>
  </si>
  <si>
    <t xml:space="preserve">  04.64KWH</t>
  </si>
  <si>
    <t xml:space="preserve"> 05.31KVAH</t>
  </si>
  <si>
    <t>02.60KVARH</t>
  </si>
  <si>
    <t xml:space="preserve">  14:49:57</t>
  </si>
  <si>
    <t xml:space="preserve">    98.01A</t>
  </si>
  <si>
    <t xml:space="preserve">    89.85A</t>
  </si>
  <si>
    <t>-30.00KVAR</t>
  </si>
  <si>
    <t xml:space="preserve">  04.66KWH</t>
  </si>
  <si>
    <t xml:space="preserve"> 05.35KVAH</t>
  </si>
  <si>
    <t>02.61KVARH</t>
  </si>
  <si>
    <t xml:space="preserve">  14:49:59</t>
  </si>
  <si>
    <t xml:space="preserve">    99.00A</t>
  </si>
  <si>
    <t xml:space="preserve">  60.63KVA</t>
  </si>
  <si>
    <t>-30.03KVAR</t>
  </si>
  <si>
    <t xml:space="preserve">  04.69KWH</t>
  </si>
  <si>
    <t xml:space="preserve"> 05.38KVAH</t>
  </si>
  <si>
    <t>02.63KVARH</t>
  </si>
  <si>
    <t xml:space="preserve">  14:50:01</t>
  </si>
  <si>
    <t xml:space="preserve">    89.34A</t>
  </si>
  <si>
    <t xml:space="preserve">  04.72KWH</t>
  </si>
  <si>
    <t xml:space="preserve"> 05.41KVAH</t>
  </si>
  <si>
    <t>02.65KVARH</t>
  </si>
  <si>
    <t xml:space="preserve">  14:50:03</t>
  </si>
  <si>
    <t xml:space="preserve">  04.75KWH</t>
  </si>
  <si>
    <t xml:space="preserve"> 05.45KVAH</t>
  </si>
  <si>
    <t>02.66KVARH</t>
  </si>
  <si>
    <t xml:space="preserve">  14:50:05</t>
  </si>
  <si>
    <t xml:space="preserve">    89.28A</t>
  </si>
  <si>
    <t xml:space="preserve">   52.35KW</t>
  </si>
  <si>
    <t xml:space="preserve">  04.78KWH</t>
  </si>
  <si>
    <t xml:space="preserve"> 05.48KVAH</t>
  </si>
  <si>
    <t>02.68KVARH</t>
  </si>
  <si>
    <t xml:space="preserve">  14:50:07</t>
  </si>
  <si>
    <t xml:space="preserve">    98.49A</t>
  </si>
  <si>
    <t xml:space="preserve">   52.38KW</t>
  </si>
  <si>
    <t xml:space="preserve">  60.30KVA</t>
  </si>
  <si>
    <t xml:space="preserve">  04.81KWH</t>
  </si>
  <si>
    <t xml:space="preserve"> 05.51KVAH</t>
  </si>
  <si>
    <t>02.69KVARH</t>
  </si>
  <si>
    <t xml:space="preserve">  14:50:09</t>
  </si>
  <si>
    <t xml:space="preserve">    89.04A</t>
  </si>
  <si>
    <t xml:space="preserve">  04.84KWH</t>
  </si>
  <si>
    <t xml:space="preserve"> 05.55KVAH</t>
  </si>
  <si>
    <t>02.71KVARH</t>
  </si>
  <si>
    <t xml:space="preserve">  14:50:11</t>
  </si>
  <si>
    <t xml:space="preserve">  04.87KWH</t>
  </si>
  <si>
    <t xml:space="preserve"> 05.58KVAH</t>
  </si>
  <si>
    <t>02.73KVARH</t>
  </si>
  <si>
    <t xml:space="preserve">  14:50:13</t>
  </si>
  <si>
    <t xml:space="preserve">    88.68A</t>
  </si>
  <si>
    <t xml:space="preserve">  04.90KWH</t>
  </si>
  <si>
    <t xml:space="preserve"> 05.61KVAH</t>
  </si>
  <si>
    <t>02.74KVARH</t>
  </si>
  <si>
    <t xml:space="preserve">  14:50:15</t>
  </si>
  <si>
    <t xml:space="preserve">    88.50A</t>
  </si>
  <si>
    <t xml:space="preserve">  04.93KWH</t>
  </si>
  <si>
    <t xml:space="preserve"> 05.65KVAH</t>
  </si>
  <si>
    <t>02.76KVARH</t>
  </si>
  <si>
    <t xml:space="preserve">  14:50:17</t>
  </si>
  <si>
    <t xml:space="preserve">    96.66A</t>
  </si>
  <si>
    <t xml:space="preserve">    97.86A</t>
  </si>
  <si>
    <t xml:space="preserve">  04.95KWH</t>
  </si>
  <si>
    <t xml:space="preserve"> 05.68KVAH</t>
  </si>
  <si>
    <t>02.78KVARH</t>
  </si>
  <si>
    <t xml:space="preserve">  14:50:19</t>
  </si>
  <si>
    <t xml:space="preserve">  04.98KWH</t>
  </si>
  <si>
    <t xml:space="preserve"> 05.71KVAH</t>
  </si>
  <si>
    <t>02.79KVARH</t>
  </si>
  <si>
    <t xml:space="preserve">  14:50:21</t>
  </si>
  <si>
    <t xml:space="preserve">    87.96A</t>
  </si>
  <si>
    <t xml:space="preserve">  05.01KWH</t>
  </si>
  <si>
    <t xml:space="preserve"> 05.75KVAH</t>
  </si>
  <si>
    <t>02.81KVARH</t>
  </si>
  <si>
    <t xml:space="preserve">  14:50:23</t>
  </si>
  <si>
    <t xml:space="preserve">    96.24A</t>
  </si>
  <si>
    <t xml:space="preserve">   51.72KW</t>
  </si>
  <si>
    <t xml:space="preserve">  05.04KWH</t>
  </si>
  <si>
    <t xml:space="preserve"> 05.78KVAH</t>
  </si>
  <si>
    <t>02.83KVARH</t>
  </si>
  <si>
    <t xml:space="preserve">  14:50:25</t>
  </si>
  <si>
    <t xml:space="preserve">  05.07KWH</t>
  </si>
  <si>
    <t xml:space="preserve"> 05.81KVAH</t>
  </si>
  <si>
    <t>02.84KVARH</t>
  </si>
  <si>
    <t xml:space="preserve">  14:50:27</t>
  </si>
  <si>
    <t xml:space="preserve">    87.72A</t>
  </si>
  <si>
    <t xml:space="preserve">    97.44A</t>
  </si>
  <si>
    <t xml:space="preserve">  05.10KWH</t>
  </si>
  <si>
    <t xml:space="preserve"> 05.85KVAH</t>
  </si>
  <si>
    <t>02.86KVARH</t>
  </si>
  <si>
    <t xml:space="preserve">  14:50:29</t>
  </si>
  <si>
    <t xml:space="preserve">    87.75A</t>
  </si>
  <si>
    <t xml:space="preserve">  59.37KVA</t>
  </si>
  <si>
    <t xml:space="preserve">  05.13KWH</t>
  </si>
  <si>
    <t xml:space="preserve"> 05.88KVAH</t>
  </si>
  <si>
    <t>02.88KVARH</t>
  </si>
  <si>
    <t xml:space="preserve">  14:50:31</t>
  </si>
  <si>
    <t xml:space="preserve">  05.16KWH</t>
  </si>
  <si>
    <t xml:space="preserve"> 05.91KVAH</t>
  </si>
  <si>
    <t>02.89KVARH</t>
  </si>
  <si>
    <t xml:space="preserve">  14:50:33</t>
  </si>
  <si>
    <t xml:space="preserve">    95.34A</t>
  </si>
  <si>
    <t xml:space="preserve">   51.27KW</t>
  </si>
  <si>
    <t xml:space="preserve">  59.19KVA</t>
  </si>
  <si>
    <t xml:space="preserve">  05.18KWH</t>
  </si>
  <si>
    <t xml:space="preserve"> 05.95KVAH</t>
  </si>
  <si>
    <t>02.91KVARH</t>
  </si>
  <si>
    <t xml:space="preserve">  14:50:35</t>
  </si>
  <si>
    <t xml:space="preserve">    87.54A</t>
  </si>
  <si>
    <t xml:space="preserve">   51.33KW</t>
  </si>
  <si>
    <t xml:space="preserve">  05.21KWH</t>
  </si>
  <si>
    <t xml:space="preserve"> 05.98KVAH</t>
  </si>
  <si>
    <t>02.93KVARH</t>
  </si>
  <si>
    <t xml:space="preserve">  14:50:37</t>
  </si>
  <si>
    <t xml:space="preserve">  59.13KVA</t>
  </si>
  <si>
    <t xml:space="preserve">  05.24KWH</t>
  </si>
  <si>
    <t xml:space="preserve"> 06.01KVAH</t>
  </si>
  <si>
    <t>02.94KVARH</t>
  </si>
  <si>
    <t xml:space="preserve">  14:50:39</t>
  </si>
  <si>
    <t xml:space="preserve">    95.46A</t>
  </si>
  <si>
    <t xml:space="preserve">    87.30A</t>
  </si>
  <si>
    <t xml:space="preserve">  05.27KWH</t>
  </si>
  <si>
    <t xml:space="preserve"> 06.04KVAH</t>
  </si>
  <si>
    <t>02.96KVARH</t>
  </si>
  <si>
    <t xml:space="preserve">  14:50:41</t>
  </si>
  <si>
    <t xml:space="preserve">    87.27A</t>
  </si>
  <si>
    <t xml:space="preserve">   51.09KW</t>
  </si>
  <si>
    <t xml:space="preserve">  05.30KWH</t>
  </si>
  <si>
    <t xml:space="preserve"> 06.08KVAH</t>
  </si>
  <si>
    <t>02.98KVARH</t>
  </si>
  <si>
    <t xml:space="preserve">  14:50:43</t>
  </si>
  <si>
    <t xml:space="preserve">   50.97KW</t>
  </si>
  <si>
    <t xml:space="preserve">  05.33KWH</t>
  </si>
  <si>
    <t xml:space="preserve"> 06.11KVAH</t>
  </si>
  <si>
    <t>02.99KVARH</t>
  </si>
  <si>
    <t xml:space="preserve">  14:50:45</t>
  </si>
  <si>
    <t xml:space="preserve">  05.35KWH</t>
  </si>
  <si>
    <t xml:space="preserve"> 06.14KVAH</t>
  </si>
  <si>
    <t>03.01KVARH</t>
  </si>
  <si>
    <t xml:space="preserve">  14:50:47</t>
  </si>
  <si>
    <t xml:space="preserve">  05.38KWH</t>
  </si>
  <si>
    <t xml:space="preserve"> 06.17KVAH</t>
  </si>
  <si>
    <t>03.02KVARH</t>
  </si>
  <si>
    <t xml:space="preserve">  14:50:49</t>
  </si>
  <si>
    <t xml:space="preserve">    94.80A</t>
  </si>
  <si>
    <t xml:space="preserve">  05.41KWH</t>
  </si>
  <si>
    <t xml:space="preserve"> 06.21KVAH</t>
  </si>
  <si>
    <t>03.04KVARH</t>
  </si>
  <si>
    <t xml:space="preserve">  14:50:51</t>
  </si>
  <si>
    <t xml:space="preserve">    94.62A</t>
  </si>
  <si>
    <t xml:space="preserve">  05.44KWH</t>
  </si>
  <si>
    <t xml:space="preserve"> 06.24KVAH</t>
  </si>
  <si>
    <t>03.06KVARH</t>
  </si>
  <si>
    <t xml:space="preserve">  14:50:53</t>
  </si>
  <si>
    <t xml:space="preserve">    96.03A</t>
  </si>
  <si>
    <t xml:space="preserve">   50.82KW</t>
  </si>
  <si>
    <t xml:space="preserve">  05.47KWH</t>
  </si>
  <si>
    <t xml:space="preserve"> 06.27KVAH</t>
  </si>
  <si>
    <t>03.07KVARH</t>
  </si>
  <si>
    <t xml:space="preserve">  14:50:55</t>
  </si>
  <si>
    <t xml:space="preserve">    95.91A</t>
  </si>
  <si>
    <t xml:space="preserve">  05.50KWH</t>
  </si>
  <si>
    <t xml:space="preserve"> 06.31KVAH</t>
  </si>
  <si>
    <t>03.09KVARH</t>
  </si>
  <si>
    <t xml:space="preserve">  14:50:57</t>
  </si>
  <si>
    <t xml:space="preserve">  05.52KWH</t>
  </si>
  <si>
    <t xml:space="preserve"> 06.34KVAH</t>
  </si>
  <si>
    <t>03.11KVARH</t>
  </si>
  <si>
    <t xml:space="preserve">  14:50:59</t>
  </si>
  <si>
    <t xml:space="preserve">    94.56A</t>
  </si>
  <si>
    <t xml:space="preserve">    86.88A</t>
  </si>
  <si>
    <t xml:space="preserve">   50.73KW</t>
  </si>
  <si>
    <t xml:space="preserve">  05.55KWH</t>
  </si>
  <si>
    <t xml:space="preserve"> 06.37KVAH</t>
  </si>
  <si>
    <t>03.12KVARH</t>
  </si>
  <si>
    <t xml:space="preserve">  14:51:01</t>
  </si>
  <si>
    <t xml:space="preserve">    86.61A</t>
  </si>
  <si>
    <t xml:space="preserve">  58.56KVA</t>
  </si>
  <si>
    <t xml:space="preserve">  05.58KWH</t>
  </si>
  <si>
    <t xml:space="preserve"> 06.40KVAH</t>
  </si>
  <si>
    <t>03.14KVARH</t>
  </si>
  <si>
    <t xml:space="preserve">  14:51:03</t>
  </si>
  <si>
    <t xml:space="preserve">    95.76A</t>
  </si>
  <si>
    <t xml:space="preserve">  05.61KWH</t>
  </si>
  <si>
    <t xml:space="preserve"> 06.44KVAH</t>
  </si>
  <si>
    <t>03.16KVARH</t>
  </si>
  <si>
    <t xml:space="preserve">  14:51:05</t>
  </si>
  <si>
    <t xml:space="preserve">   50.55KW</t>
  </si>
  <si>
    <t xml:space="preserve">  05.64KWH</t>
  </si>
  <si>
    <t xml:space="preserve"> 06.47KVAH</t>
  </si>
  <si>
    <t>03.17KVARH</t>
  </si>
  <si>
    <t xml:space="preserve">  14:51:07</t>
  </si>
  <si>
    <t xml:space="preserve">    94.05A</t>
  </si>
  <si>
    <t xml:space="preserve">    86.58A</t>
  </si>
  <si>
    <t xml:space="preserve">  05.66KWH</t>
  </si>
  <si>
    <t xml:space="preserve"> 06.50KVAH</t>
  </si>
  <si>
    <t>03.19KVARH</t>
  </si>
  <si>
    <t xml:space="preserve">  14:51:09</t>
  </si>
  <si>
    <t xml:space="preserve">    86.85A</t>
  </si>
  <si>
    <t xml:space="preserve">    95.55A</t>
  </si>
  <si>
    <t xml:space="preserve">  05.69KWH</t>
  </si>
  <si>
    <t xml:space="preserve"> 06.53KVAH</t>
  </si>
  <si>
    <t>03.20KVARH</t>
  </si>
  <si>
    <t xml:space="preserve">  14:51:11</t>
  </si>
  <si>
    <t xml:space="preserve">  05.72KWH</t>
  </si>
  <si>
    <t xml:space="preserve"> 06.57KVAH</t>
  </si>
  <si>
    <t>03.22KVARH</t>
  </si>
  <si>
    <t xml:space="preserve">  14:51:13</t>
  </si>
  <si>
    <t xml:space="preserve">  05.75KWH</t>
  </si>
  <si>
    <t xml:space="preserve"> 06.60KVAH</t>
  </si>
  <si>
    <t>03.24KVARH</t>
  </si>
  <si>
    <t xml:space="preserve">  14:51:15</t>
  </si>
  <si>
    <t xml:space="preserve">    93.96A</t>
  </si>
  <si>
    <t xml:space="preserve">    86.37A</t>
  </si>
  <si>
    <t xml:space="preserve">  05.78KWH</t>
  </si>
  <si>
    <t xml:space="preserve"> 06.63KVAH</t>
  </si>
  <si>
    <t>03.25KVARH</t>
  </si>
  <si>
    <t xml:space="preserve">  14:51:17</t>
  </si>
  <si>
    <t xml:space="preserve">    86.34A</t>
  </si>
  <si>
    <t xml:space="preserve">  05.80KWH</t>
  </si>
  <si>
    <t xml:space="preserve"> 06.66KVAH</t>
  </si>
  <si>
    <t>03.27KVARH</t>
  </si>
  <si>
    <t xml:space="preserve">  14:51:19</t>
  </si>
  <si>
    <t xml:space="preserve">  05.83KWH</t>
  </si>
  <si>
    <t xml:space="preserve"> 06.69KVAH</t>
  </si>
  <si>
    <t>03.29KVARH</t>
  </si>
  <si>
    <t xml:space="preserve">  14:51:21</t>
  </si>
  <si>
    <t xml:space="preserve">    93.48A</t>
  </si>
  <si>
    <t xml:space="preserve">    95.16A</t>
  </si>
  <si>
    <t xml:space="preserve">  05.86KWH</t>
  </si>
  <si>
    <t xml:space="preserve"> 06.73KVAH</t>
  </si>
  <si>
    <t>03.30KVARH</t>
  </si>
  <si>
    <t xml:space="preserve">  14:51:23</t>
  </si>
  <si>
    <t xml:space="preserve">    93.57A</t>
  </si>
  <si>
    <t xml:space="preserve">  05.89KWH</t>
  </si>
  <si>
    <t xml:space="preserve"> 06.76KVAH</t>
  </si>
  <si>
    <t>03.32KVARH</t>
  </si>
  <si>
    <t xml:space="preserve">  14:51:25</t>
  </si>
  <si>
    <t xml:space="preserve">    93.36A</t>
  </si>
  <si>
    <t xml:space="preserve">   50.10KW</t>
  </si>
  <si>
    <t xml:space="preserve">  05.92KWH</t>
  </si>
  <si>
    <t xml:space="preserve"> 06.79KVAH</t>
  </si>
  <si>
    <t>03.33KVARH</t>
  </si>
  <si>
    <t xml:space="preserve">  14:51:27</t>
  </si>
  <si>
    <t xml:space="preserve">  05.94KWH</t>
  </si>
  <si>
    <t xml:space="preserve"> 06.82KVAH</t>
  </si>
  <si>
    <t>03.35KVARH</t>
  </si>
  <si>
    <t xml:space="preserve">  14:51:29</t>
  </si>
  <si>
    <t xml:space="preserve">    146.5A</t>
  </si>
  <si>
    <t xml:space="preserve">  90.69KVA</t>
  </si>
  <si>
    <t>-39.90KVAR</t>
  </si>
  <si>
    <t xml:space="preserve">  05.99KWH</t>
  </si>
  <si>
    <t xml:space="preserve"> 06.87KVAH</t>
  </si>
  <si>
    <t>03.37KVARH</t>
  </si>
  <si>
    <t xml:space="preserve">  14:51:31</t>
  </si>
  <si>
    <t xml:space="preserve">    147.9A</t>
  </si>
  <si>
    <t xml:space="preserve">    138.3A</t>
  </si>
  <si>
    <t xml:space="preserve">    151.3A</t>
  </si>
  <si>
    <t>-40.23KVAR</t>
  </si>
  <si>
    <t xml:space="preserve">  06.03KWH</t>
  </si>
  <si>
    <t xml:space="preserve"> 06.93KVAH</t>
  </si>
  <si>
    <t>03.40KVARH</t>
  </si>
  <si>
    <t xml:space="preserve">  14:51:33</t>
  </si>
  <si>
    <t xml:space="preserve">    150.0A</t>
  </si>
  <si>
    <t xml:space="preserve">    140.1A</t>
  </si>
  <si>
    <t xml:space="preserve">    153.3A</t>
  </si>
  <si>
    <t xml:space="preserve">   83.28KW</t>
  </si>
  <si>
    <t xml:space="preserve">  92.67KVA</t>
  </si>
  <si>
    <t>-40.71KVAR</t>
  </si>
  <si>
    <t xml:space="preserve">  06.08KWH</t>
  </si>
  <si>
    <t xml:space="preserve"> 06.98KVAH</t>
  </si>
  <si>
    <t>03.42KVARH</t>
  </si>
  <si>
    <t xml:space="preserve">  14:51:35</t>
  </si>
  <si>
    <t xml:space="preserve">    362.3V</t>
  </si>
  <si>
    <t xml:space="preserve">    362.8V</t>
  </si>
  <si>
    <t xml:space="preserve">    150.1A</t>
  </si>
  <si>
    <t xml:space="preserve">    135.4A</t>
  </si>
  <si>
    <t xml:space="preserve">    117.6A</t>
  </si>
  <si>
    <t xml:space="preserve">   75.33KW</t>
  </si>
  <si>
    <t xml:space="preserve">  84.66KVA</t>
  </si>
  <si>
    <t>-38.64KVAR</t>
  </si>
  <si>
    <t xml:space="preserve">  06.12KWH</t>
  </si>
  <si>
    <t xml:space="preserve"> 07.02KVAH</t>
  </si>
  <si>
    <t>03.44KVARH</t>
  </si>
  <si>
    <t xml:space="preserve">  14:51:37</t>
  </si>
  <si>
    <t xml:space="preserve">    98.25A</t>
  </si>
  <si>
    <t xml:space="preserve">    90.66A</t>
  </si>
  <si>
    <t xml:space="preserve">    99.51A</t>
  </si>
  <si>
    <t xml:space="preserve">   53.10KW</t>
  </si>
  <si>
    <t xml:space="preserve">  60.93KVA</t>
  </si>
  <si>
    <t xml:space="preserve">  06.15KWH</t>
  </si>
  <si>
    <t xml:space="preserve"> 07.06KVAH</t>
  </si>
  <si>
    <t>03.46KVARH</t>
  </si>
  <si>
    <t xml:space="preserve">  14:51:39</t>
  </si>
  <si>
    <t xml:space="preserve">   52.86KW</t>
  </si>
  <si>
    <t xml:space="preserve">  60.75KVA</t>
  </si>
  <si>
    <t xml:space="preserve">  06.18KWH</t>
  </si>
  <si>
    <t xml:space="preserve"> 07.09KVAH</t>
  </si>
  <si>
    <t>03.47KVARH</t>
  </si>
  <si>
    <t xml:space="preserve">  14:51:41</t>
  </si>
  <si>
    <t xml:space="preserve">    97.47A</t>
  </si>
  <si>
    <t xml:space="preserve">  06.21KWH</t>
  </si>
  <si>
    <t xml:space="preserve"> 07.12KVAH</t>
  </si>
  <si>
    <t>03.49KVARH</t>
  </si>
  <si>
    <t xml:space="preserve">  14:51:43</t>
  </si>
  <si>
    <t xml:space="preserve">    99.18A</t>
  </si>
  <si>
    <t xml:space="preserve">   52.80KW</t>
  </si>
  <si>
    <t xml:space="preserve">  60.72KVA</t>
  </si>
  <si>
    <t xml:space="preserve">  06.24KWH</t>
  </si>
  <si>
    <t xml:space="preserve"> 07.16KVAH</t>
  </si>
  <si>
    <t>03.51KVARH</t>
  </si>
  <si>
    <t xml:space="preserve">  14:51:45</t>
  </si>
  <si>
    <t xml:space="preserve">    98.04A</t>
  </si>
  <si>
    <t xml:space="preserve">  06.27KWH</t>
  </si>
  <si>
    <t xml:space="preserve"> 07.19KVAH</t>
  </si>
  <si>
    <t>03.52KVARH</t>
  </si>
  <si>
    <t xml:space="preserve">  14:51:47</t>
  </si>
  <si>
    <t xml:space="preserve">    98.94A</t>
  </si>
  <si>
    <t xml:space="preserve">  60.48KVA</t>
  </si>
  <si>
    <t xml:space="preserve">  06.30KWH</t>
  </si>
  <si>
    <t xml:space="preserve"> 07.23KVAH</t>
  </si>
  <si>
    <t>03.54KVARH</t>
  </si>
  <si>
    <t xml:space="preserve">  14:51:49</t>
  </si>
  <si>
    <t xml:space="preserve">    89.82A</t>
  </si>
  <si>
    <t xml:space="preserve">    98.85A</t>
  </si>
  <si>
    <t xml:space="preserve">  06.33KWH</t>
  </si>
  <si>
    <t xml:space="preserve"> 07.26KVAH</t>
  </si>
  <si>
    <t>03.56KVARH</t>
  </si>
  <si>
    <t xml:space="preserve">  14:51:51</t>
  </si>
  <si>
    <t xml:space="preserve">  06.36KWH</t>
  </si>
  <si>
    <t xml:space="preserve"> 07.29KVAH</t>
  </si>
  <si>
    <t>03.57KVARH</t>
  </si>
  <si>
    <t xml:space="preserve">  14:51:53</t>
  </si>
  <si>
    <t xml:space="preserve">    89.49A</t>
  </si>
  <si>
    <t xml:space="preserve">    98.46A</t>
  </si>
  <si>
    <t xml:space="preserve">   52.44KW</t>
  </si>
  <si>
    <t xml:space="preserve">  06.39KWH</t>
  </si>
  <si>
    <t xml:space="preserve"> 07.33KVAH</t>
  </si>
  <si>
    <t>03.59KVARH</t>
  </si>
  <si>
    <t xml:space="preserve">  14:51:55</t>
  </si>
  <si>
    <t xml:space="preserve">  06.42KWH</t>
  </si>
  <si>
    <t xml:space="preserve"> 07.36KVAH</t>
  </si>
  <si>
    <t>03.61KVARH</t>
  </si>
  <si>
    <t xml:space="preserve">  14:51:57</t>
  </si>
  <si>
    <t xml:space="preserve">  06.44KWH</t>
  </si>
  <si>
    <t xml:space="preserve"> 07.39KVAH</t>
  </si>
  <si>
    <t>03.62KVARH</t>
  </si>
  <si>
    <t xml:space="preserve">  14:51:59</t>
  </si>
  <si>
    <t xml:space="preserve">    88.95A</t>
  </si>
  <si>
    <t xml:space="preserve">  06.47KWH</t>
  </si>
  <si>
    <t xml:space="preserve"> 07.43KVAH</t>
  </si>
  <si>
    <t>03.64KVARH</t>
  </si>
  <si>
    <t xml:space="preserve">  14:52:01</t>
  </si>
  <si>
    <t xml:space="preserve">    89.16A</t>
  </si>
  <si>
    <t xml:space="preserve">    98.52A</t>
  </si>
  <si>
    <t xml:space="preserve">   52.26KW</t>
  </si>
  <si>
    <t xml:space="preserve">  06.50KWH</t>
  </si>
  <si>
    <t xml:space="preserve"> 07.46KVAH</t>
  </si>
  <si>
    <t>03.65KVARH</t>
  </si>
  <si>
    <t xml:space="preserve">  14:52:03</t>
  </si>
  <si>
    <t xml:space="preserve">  06.53KWH</t>
  </si>
  <si>
    <t xml:space="preserve"> 07.49KVAH</t>
  </si>
  <si>
    <t>03.67KVARH</t>
  </si>
  <si>
    <t xml:space="preserve">  14:52:05</t>
  </si>
  <si>
    <t xml:space="preserve">    96.54A</t>
  </si>
  <si>
    <t xml:space="preserve">  06.56KWH</t>
  </si>
  <si>
    <t xml:space="preserve"> 07.53KVAH</t>
  </si>
  <si>
    <t>03.69KVARH</t>
  </si>
  <si>
    <t xml:space="preserve">  14:52:07</t>
  </si>
  <si>
    <t xml:space="preserve">  06.59KWH</t>
  </si>
  <si>
    <t xml:space="preserve"> 07.56KVAH</t>
  </si>
  <si>
    <t>03.70KVARH</t>
  </si>
  <si>
    <t xml:space="preserve">  14:52:09</t>
  </si>
  <si>
    <t xml:space="preserve">  06.62KWH</t>
  </si>
  <si>
    <t xml:space="preserve"> 07.59KVAH</t>
  </si>
  <si>
    <t>03.72KVARH</t>
  </si>
  <si>
    <t xml:space="preserve">  14:52:11</t>
  </si>
  <si>
    <t xml:space="preserve">    96.45A</t>
  </si>
  <si>
    <t xml:space="preserve">  59.91KVA</t>
  </si>
  <si>
    <t xml:space="preserve">  06.65KWH</t>
  </si>
  <si>
    <t xml:space="preserve"> 07.63KVAH</t>
  </si>
  <si>
    <t>03.74KVARH</t>
  </si>
  <si>
    <t xml:space="preserve">  14:52:13</t>
  </si>
  <si>
    <t xml:space="preserve">    88.41A</t>
  </si>
  <si>
    <t xml:space="preserve">   51.87KW</t>
  </si>
  <si>
    <t xml:space="preserve">  06.68KWH</t>
  </si>
  <si>
    <t xml:space="preserve"> 07.66KVAH</t>
  </si>
  <si>
    <t>03.75KVARH</t>
  </si>
  <si>
    <t xml:space="preserve">  14:52:15</t>
  </si>
  <si>
    <t xml:space="preserve">    88.44A</t>
  </si>
  <si>
    <t xml:space="preserve">  06.71KWH</t>
  </si>
  <si>
    <t xml:space="preserve"> 07.69KVAH</t>
  </si>
  <si>
    <t>03.77KVARH</t>
  </si>
  <si>
    <t xml:space="preserve">  14:52:17</t>
  </si>
  <si>
    <t xml:space="preserve">  59.76KVA</t>
  </si>
  <si>
    <t xml:space="preserve">  06.73KWH</t>
  </si>
  <si>
    <t xml:space="preserve"> 07.73KVAH</t>
  </si>
  <si>
    <t>03.79KVARH</t>
  </si>
  <si>
    <t xml:space="preserve">  14:52:19</t>
  </si>
  <si>
    <t xml:space="preserve">  06.76KWH</t>
  </si>
  <si>
    <t xml:space="preserve"> 07.76KVAH</t>
  </si>
  <si>
    <t>03.80KVARH</t>
  </si>
  <si>
    <t xml:space="preserve">  14:52:21</t>
  </si>
  <si>
    <t xml:space="preserve">  06.79KWH</t>
  </si>
  <si>
    <t xml:space="preserve"> 07.79KVAH</t>
  </si>
  <si>
    <t>03.82KVARH</t>
  </si>
  <si>
    <t xml:space="preserve">  14:52:23</t>
  </si>
  <si>
    <t xml:space="preserve">  06.82KWH</t>
  </si>
  <si>
    <t xml:space="preserve"> 07.83KVAH</t>
  </si>
  <si>
    <t>03.84KVARH</t>
  </si>
  <si>
    <t xml:space="preserve">  14:52:25</t>
  </si>
  <si>
    <t xml:space="preserve">  06.85KWH</t>
  </si>
  <si>
    <t xml:space="preserve"> 07.86KVAH</t>
  </si>
  <si>
    <t>03.85KVARH</t>
  </si>
  <si>
    <t xml:space="preserve">  14:52:27</t>
  </si>
  <si>
    <t xml:space="preserve">  06.88KWH</t>
  </si>
  <si>
    <t xml:space="preserve"> 07.89KVAH</t>
  </si>
  <si>
    <t>03.87KVARH</t>
  </si>
  <si>
    <t xml:space="preserve">  14:52:29</t>
  </si>
  <si>
    <t xml:space="preserve">   51.48KW</t>
  </si>
  <si>
    <t xml:space="preserve">  59.40KVA</t>
  </si>
  <si>
    <t xml:space="preserve">  06.91KWH</t>
  </si>
  <si>
    <t xml:space="preserve"> 07.93KVAH</t>
  </si>
  <si>
    <t>03.89KVARH</t>
  </si>
  <si>
    <t xml:space="preserve">  14:52:31</t>
  </si>
  <si>
    <t xml:space="preserve">    95.85A</t>
  </si>
  <si>
    <t xml:space="preserve">    97.08A</t>
  </si>
  <si>
    <t xml:space="preserve">  06.93KWH</t>
  </si>
  <si>
    <t xml:space="preserve"> 07.96KVAH</t>
  </si>
  <si>
    <t>03.90KVARH</t>
  </si>
  <si>
    <t xml:space="preserve">  14:52:33</t>
  </si>
  <si>
    <t xml:space="preserve">  06.96KWH</t>
  </si>
  <si>
    <t xml:space="preserve"> 07.99KVAH</t>
  </si>
  <si>
    <t>03.92KVARH</t>
  </si>
  <si>
    <t xml:space="preserve">  14:52:35</t>
  </si>
  <si>
    <t xml:space="preserve">  59.22KVA</t>
  </si>
  <si>
    <t xml:space="preserve">  06.99KWH</t>
  </si>
  <si>
    <t xml:space="preserve"> 08.02KVAH</t>
  </si>
  <si>
    <t>03.94KVARH</t>
  </si>
  <si>
    <t xml:space="preserve">  14:52:37</t>
  </si>
  <si>
    <t xml:space="preserve">    87.63A</t>
  </si>
  <si>
    <t xml:space="preserve">  07.02KWH</t>
  </si>
  <si>
    <t xml:space="preserve"> 08.06KVAH</t>
  </si>
  <si>
    <t>03.95KVARH</t>
  </si>
  <si>
    <t xml:space="preserve">  14:52:39</t>
  </si>
  <si>
    <t xml:space="preserve">  07.05KWH</t>
  </si>
  <si>
    <t xml:space="preserve"> 08.09KVAH</t>
  </si>
  <si>
    <t>03.97KVARH</t>
  </si>
  <si>
    <t xml:space="preserve">  14:52:41</t>
  </si>
  <si>
    <t xml:space="preserve">    87.48A</t>
  </si>
  <si>
    <t xml:space="preserve">   51.30KW</t>
  </si>
  <si>
    <t xml:space="preserve">  07.08KWH</t>
  </si>
  <si>
    <t xml:space="preserve"> 08.12KVAH</t>
  </si>
  <si>
    <t>03.98KVARH</t>
  </si>
  <si>
    <t xml:space="preserve">  14:52:43</t>
  </si>
  <si>
    <t xml:space="preserve">  07.11KWH</t>
  </si>
  <si>
    <t xml:space="preserve"> 08.16KVAH</t>
  </si>
  <si>
    <t>04.00KVARH</t>
  </si>
  <si>
    <t xml:space="preserve">  14:52:45</t>
  </si>
  <si>
    <t xml:space="preserve">  07.13KWH</t>
  </si>
  <si>
    <t xml:space="preserve"> 08.19KVAH</t>
  </si>
  <si>
    <t>04.02KVARH</t>
  </si>
  <si>
    <t xml:space="preserve">  14:52:47</t>
  </si>
  <si>
    <t xml:space="preserve">  07.16KWH</t>
  </si>
  <si>
    <t xml:space="preserve"> 08.22KVAH</t>
  </si>
  <si>
    <t>04.03KVARH</t>
  </si>
  <si>
    <t xml:space="preserve">  14:52:49</t>
  </si>
  <si>
    <t xml:space="preserve">   51.00KW</t>
  </si>
  <si>
    <t xml:space="preserve">  07.19KWH</t>
  </si>
  <si>
    <t xml:space="preserve"> 08.25KVAH</t>
  </si>
  <si>
    <t>04.05KVARH</t>
  </si>
  <si>
    <t xml:space="preserve">  14:52:51</t>
  </si>
  <si>
    <t xml:space="preserve">  07.22KWH</t>
  </si>
  <si>
    <t xml:space="preserve"> 08.29KVAH</t>
  </si>
  <si>
    <t>04.07KVARH</t>
  </si>
  <si>
    <t xml:space="preserve">  14:52:53</t>
  </si>
  <si>
    <t xml:space="preserve">  58.92KVA</t>
  </si>
  <si>
    <t xml:space="preserve">  07.25KWH</t>
  </si>
  <si>
    <t xml:space="preserve"> 08.32KVAH</t>
  </si>
  <si>
    <t>04.08KVARH</t>
  </si>
  <si>
    <t xml:space="preserve">  14:52:55</t>
  </si>
  <si>
    <t xml:space="preserve">  07.28KWH</t>
  </si>
  <si>
    <t xml:space="preserve"> 08.35KVAH</t>
  </si>
  <si>
    <t>04.10KVARH</t>
  </si>
  <si>
    <t xml:space="preserve">  14:52:57</t>
  </si>
  <si>
    <t xml:space="preserve">    364.1V</t>
  </si>
  <si>
    <t xml:space="preserve">  07.30KWH</t>
  </si>
  <si>
    <t xml:space="preserve"> 08.38KVAH</t>
  </si>
  <si>
    <t>04.12KVARH</t>
  </si>
  <si>
    <t xml:space="preserve">  14:52:59</t>
  </si>
  <si>
    <t xml:space="preserve">    94.53A</t>
  </si>
  <si>
    <t xml:space="preserve">  07.33KWH</t>
  </si>
  <si>
    <t xml:space="preserve"> 08.42KVAH</t>
  </si>
  <si>
    <t>04.13KVARH</t>
  </si>
  <si>
    <t xml:space="preserve">  14:53:01</t>
  </si>
  <si>
    <t xml:space="preserve">  07.36KWH</t>
  </si>
  <si>
    <t xml:space="preserve"> 08.45KVAH</t>
  </si>
  <si>
    <t>04.15KVARH</t>
  </si>
  <si>
    <t xml:space="preserve">  14:53:03</t>
  </si>
  <si>
    <t xml:space="preserve">  07.39KWH</t>
  </si>
  <si>
    <t xml:space="preserve"> 08.48KVAH</t>
  </si>
  <si>
    <t>04.16KVARH</t>
  </si>
  <si>
    <t xml:space="preserve">  14:53:05</t>
  </si>
  <si>
    <t xml:space="preserve">  07.42KWH</t>
  </si>
  <si>
    <t xml:space="preserve"> 08.52KVAH</t>
  </si>
  <si>
    <t>04.18KVARH</t>
  </si>
  <si>
    <t xml:space="preserve">  14:53:07</t>
  </si>
  <si>
    <t xml:space="preserve">  07.45KWH</t>
  </si>
  <si>
    <t xml:space="preserve"> 08.55KVAH</t>
  </si>
  <si>
    <t>04.20KVARH</t>
  </si>
  <si>
    <t xml:space="preserve">  14:53:09</t>
  </si>
  <si>
    <t xml:space="preserve">  07.47KWH</t>
  </si>
  <si>
    <t xml:space="preserve"> 08.58KVAH</t>
  </si>
  <si>
    <t>04.21KVARH</t>
  </si>
  <si>
    <t xml:space="preserve">  14:53:11</t>
  </si>
  <si>
    <t xml:space="preserve">  07.50KWH</t>
  </si>
  <si>
    <t xml:space="preserve"> 08.61KVAH</t>
  </si>
  <si>
    <t>04.23KVARH</t>
  </si>
  <si>
    <t xml:space="preserve">  14:53:13</t>
  </si>
  <si>
    <t xml:space="preserve">  07.53KWH</t>
  </si>
  <si>
    <t xml:space="preserve"> 08.64KVAH</t>
  </si>
  <si>
    <t>04.25KVARH</t>
  </si>
  <si>
    <t xml:space="preserve">  14:53:15</t>
  </si>
  <si>
    <t xml:space="preserve">  07.56KWH</t>
  </si>
  <si>
    <t xml:space="preserve"> 08.68KVAH</t>
  </si>
  <si>
    <t>04.26KVARH</t>
  </si>
  <si>
    <t xml:space="preserve">  14:53:17</t>
  </si>
  <si>
    <t xml:space="preserve">  07.59KWH</t>
  </si>
  <si>
    <t xml:space="preserve"> 08.71KVAH</t>
  </si>
  <si>
    <t>04.28KVARH</t>
  </si>
  <si>
    <t xml:space="preserve">  14:53:19</t>
  </si>
  <si>
    <t xml:space="preserve">   50.40KW</t>
  </si>
  <si>
    <t xml:space="preserve">  07.61KWH</t>
  </si>
  <si>
    <t xml:space="preserve"> 08.74KVAH</t>
  </si>
  <si>
    <t>04.30KVARH</t>
  </si>
  <si>
    <t xml:space="preserve">  14:53:21</t>
  </si>
  <si>
    <t xml:space="preserve">  07.64KWH</t>
  </si>
  <si>
    <t xml:space="preserve"> 08.77KVAH</t>
  </si>
  <si>
    <t>04.31KVARH</t>
  </si>
  <si>
    <t xml:space="preserve">  14:53:23</t>
  </si>
  <si>
    <t xml:space="preserve">  07.67KWH</t>
  </si>
  <si>
    <t xml:space="preserve"> 08.81KVAH</t>
  </si>
  <si>
    <t>04.33KVARH</t>
  </si>
  <si>
    <t xml:space="preserve">  14:53:25</t>
  </si>
  <si>
    <t xml:space="preserve">    86.31A</t>
  </si>
  <si>
    <t xml:space="preserve">  07.70KWH</t>
  </si>
  <si>
    <t xml:space="preserve"> 08.84KVAH</t>
  </si>
  <si>
    <t>04.34KVARH</t>
  </si>
  <si>
    <t xml:space="preserve">  14:53:27</t>
  </si>
  <si>
    <t xml:space="preserve">  07.73KWH</t>
  </si>
  <si>
    <t xml:space="preserve"> 08.87KVAH</t>
  </si>
  <si>
    <t>04.36KVARH</t>
  </si>
  <si>
    <t xml:space="preserve">  14:53:29</t>
  </si>
  <si>
    <t xml:space="preserve">    93.63A</t>
  </si>
  <si>
    <t xml:space="preserve">    86.10A</t>
  </si>
  <si>
    <t xml:space="preserve">  07.75KWH</t>
  </si>
  <si>
    <t xml:space="preserve"> 08.90KVAH</t>
  </si>
  <si>
    <t>04.38KVARH</t>
  </si>
  <si>
    <t xml:space="preserve">  14:53:31</t>
  </si>
  <si>
    <t xml:space="preserve">    93.39A</t>
  </si>
  <si>
    <t xml:space="preserve">  07.78KWH</t>
  </si>
  <si>
    <t xml:space="preserve"> 08.94KVAH</t>
  </si>
  <si>
    <t>04.39KVARH</t>
  </si>
  <si>
    <t xml:space="preserve">  14:53:33</t>
  </si>
  <si>
    <t xml:space="preserve">  07.81KWH</t>
  </si>
  <si>
    <t xml:space="preserve"> 08.97KVAH</t>
  </si>
  <si>
    <t>04.41KVARH</t>
  </si>
  <si>
    <t xml:space="preserve">  14:53:35</t>
  </si>
  <si>
    <t xml:space="preserve">    126.2A</t>
  </si>
  <si>
    <t xml:space="preserve">   68.28KW</t>
  </si>
  <si>
    <t xml:space="preserve">  76.80KVA</t>
  </si>
  <si>
    <t>-35.16KVAR</t>
  </si>
  <si>
    <t xml:space="preserve">  07.85KWH</t>
  </si>
  <si>
    <t xml:space="preserve"> 09.01KVAH</t>
  </si>
  <si>
    <t>04.43KVARH</t>
  </si>
  <si>
    <t xml:space="preserve">  14:53:37</t>
  </si>
  <si>
    <t xml:space="preserve">    147.3A</t>
  </si>
  <si>
    <t xml:space="preserve">    151.2A</t>
  </si>
  <si>
    <t xml:space="preserve">   82.02KW</t>
  </si>
  <si>
    <t xml:space="preserve">  91.29KVA</t>
  </si>
  <si>
    <t>-40.11KVAR</t>
  </si>
  <si>
    <t xml:space="preserve">  07.89KWH</t>
  </si>
  <si>
    <t xml:space="preserve"> 09.06KVAH</t>
  </si>
  <si>
    <t>04.45KVARH</t>
  </si>
  <si>
    <t xml:space="preserve">  14:53:39</t>
  </si>
  <si>
    <t xml:space="preserve">    139.2A</t>
  </si>
  <si>
    <t xml:space="preserve">    152.3A</t>
  </si>
  <si>
    <t xml:space="preserve">   82.65KW</t>
  </si>
  <si>
    <t xml:space="preserve">  91.98KVA</t>
  </si>
  <si>
    <t>-40.41KVAR</t>
  </si>
  <si>
    <t xml:space="preserve">  07.94KWH</t>
  </si>
  <si>
    <t xml:space="preserve"> 09.11KVAH</t>
  </si>
  <si>
    <t>04.47KVARH</t>
  </si>
  <si>
    <t xml:space="preserve">  14:53:41</t>
  </si>
  <si>
    <t xml:space="preserve">    363.9V</t>
  </si>
  <si>
    <t xml:space="preserve">   82.62KW</t>
  </si>
  <si>
    <t xml:space="preserve">  92.07KVA</t>
  </si>
  <si>
    <t>-40.68KVAR</t>
  </si>
  <si>
    <t xml:space="preserve">  07.98KWH</t>
  </si>
  <si>
    <t xml:space="preserve"> 09.16KVAH</t>
  </si>
  <si>
    <t>04.50KVARH</t>
  </si>
  <si>
    <t xml:space="preserve">  14:53:43</t>
  </si>
  <si>
    <t xml:space="preserve">    113.0A</t>
  </si>
  <si>
    <t xml:space="preserve">    91.41A</t>
  </si>
  <si>
    <t xml:space="preserve">    99.96A</t>
  </si>
  <si>
    <t xml:space="preserve">   56.13KW</t>
  </si>
  <si>
    <t xml:space="preserve">  64.32KVA</t>
  </si>
  <si>
    <t>-31.44KVAR</t>
  </si>
  <si>
    <t xml:space="preserve">  08.02KWH</t>
  </si>
  <si>
    <t xml:space="preserve"> 09.20KVAH</t>
  </si>
  <si>
    <t>04.51KVARH</t>
  </si>
  <si>
    <t xml:space="preserve">  14:53:45</t>
  </si>
  <si>
    <t xml:space="preserve">    90.48A</t>
  </si>
  <si>
    <t xml:space="preserve">    99.48A</t>
  </si>
  <si>
    <t xml:space="preserve">  08.04KWH</t>
  </si>
  <si>
    <t xml:space="preserve"> 09.23KVAH</t>
  </si>
  <si>
    <t>04.53KVARH</t>
  </si>
  <si>
    <t xml:space="preserve">  14:53:47</t>
  </si>
  <si>
    <t xml:space="preserve">    97.74A</t>
  </si>
  <si>
    <t xml:space="preserve">   52.92KW</t>
  </si>
  <si>
    <t xml:space="preserve">  08.07KWH</t>
  </si>
  <si>
    <t xml:space="preserve"> 09.27KVAH</t>
  </si>
  <si>
    <t>04.55KVARH</t>
  </si>
  <si>
    <t xml:space="preserve">  14:53:49</t>
  </si>
  <si>
    <t xml:space="preserve">    90.39A</t>
  </si>
  <si>
    <t xml:space="preserve">    99.54A</t>
  </si>
  <si>
    <t xml:space="preserve">  60.84KVA</t>
  </si>
  <si>
    <t xml:space="preserve">  08.10KWH</t>
  </si>
  <si>
    <t xml:space="preserve"> 09.30KVAH</t>
  </si>
  <si>
    <t>04.56KVARH</t>
  </si>
  <si>
    <t xml:space="preserve">  14:53:51</t>
  </si>
  <si>
    <t xml:space="preserve">    90.24A</t>
  </si>
  <si>
    <t xml:space="preserve">   52.65KW</t>
  </si>
  <si>
    <t xml:space="preserve">  08.13KWH</t>
  </si>
  <si>
    <t xml:space="preserve"> 09.33KVAH</t>
  </si>
  <si>
    <t>04.58KVARH</t>
  </si>
  <si>
    <t xml:space="preserve">  14:53:53</t>
  </si>
  <si>
    <t xml:space="preserve">   52.74KW</t>
  </si>
  <si>
    <t xml:space="preserve">  08.16KWH</t>
  </si>
  <si>
    <t xml:space="preserve"> 09.37KVAH</t>
  </si>
  <si>
    <t>04.60KVARH</t>
  </si>
  <si>
    <t xml:space="preserve">  14:53:55</t>
  </si>
  <si>
    <t xml:space="preserve">    89.97A</t>
  </si>
  <si>
    <t xml:space="preserve">  08.19KWH</t>
  </si>
  <si>
    <t xml:space="preserve"> 09.40KVAH</t>
  </si>
  <si>
    <t>04.61KVARH</t>
  </si>
  <si>
    <t xml:space="preserve">  14:53:57</t>
  </si>
  <si>
    <t xml:space="preserve">  08.22KWH</t>
  </si>
  <si>
    <t xml:space="preserve"> 09.44KVAH</t>
  </si>
  <si>
    <t>04.63KVARH</t>
  </si>
  <si>
    <t xml:space="preserve">  14:53:59</t>
  </si>
  <si>
    <t xml:space="preserve">    89.76A</t>
  </si>
  <si>
    <t xml:space="preserve">  60.36KVA</t>
  </si>
  <si>
    <t xml:space="preserve">  08.25KWH</t>
  </si>
  <si>
    <t xml:space="preserve"> 09.47KVAH</t>
  </si>
  <si>
    <t>04.65KVARH</t>
  </si>
  <si>
    <t xml:space="preserve">  14:54:01</t>
  </si>
  <si>
    <t xml:space="preserve">  08.28KWH</t>
  </si>
  <si>
    <t xml:space="preserve"> 09.50KVAH</t>
  </si>
  <si>
    <t>04.66KVARH</t>
  </si>
  <si>
    <t xml:space="preserve">  14:54:03</t>
  </si>
  <si>
    <t xml:space="preserve">    89.52A</t>
  </si>
  <si>
    <t xml:space="preserve">  08.31KWH</t>
  </si>
  <si>
    <t xml:space="preserve"> 09.54KVAH</t>
  </si>
  <si>
    <t>04.68KVARH</t>
  </si>
  <si>
    <t xml:space="preserve">  14:54:05</t>
  </si>
  <si>
    <t xml:space="preserve">  08.34KWH</t>
  </si>
  <si>
    <t xml:space="preserve"> 09.57KVAH</t>
  </si>
  <si>
    <t>04.70KVARH</t>
  </si>
  <si>
    <t xml:space="preserve">  14:54:07</t>
  </si>
  <si>
    <t xml:space="preserve">  08.37KWH</t>
  </si>
  <si>
    <t xml:space="preserve"> 09.60KVAH</t>
  </si>
  <si>
    <t>04.71KVARH</t>
  </si>
  <si>
    <t xml:space="preserve">  14:54:09</t>
  </si>
  <si>
    <t xml:space="preserve">  08.40KWH</t>
  </si>
  <si>
    <t xml:space="preserve"> 09.64KVAH</t>
  </si>
  <si>
    <t>04.73KVARH</t>
  </si>
  <si>
    <t xml:space="preserve">  14:54:11</t>
  </si>
  <si>
    <t xml:space="preserve">  08.42KWH</t>
  </si>
  <si>
    <t xml:space="preserve"> 09.67KVAH</t>
  </si>
  <si>
    <t>04.75KVARH</t>
  </si>
  <si>
    <t xml:space="preserve">  14:54:13</t>
  </si>
  <si>
    <t xml:space="preserve">    97.14A</t>
  </si>
  <si>
    <t xml:space="preserve">    89.19A</t>
  </si>
  <si>
    <t xml:space="preserve">  08.45KWH</t>
  </si>
  <si>
    <t xml:space="preserve"> 09.70KVAH</t>
  </si>
  <si>
    <t>04.76KVARH</t>
  </si>
  <si>
    <t xml:space="preserve">  14:54:15</t>
  </si>
  <si>
    <t xml:space="preserve">    89.40A</t>
  </si>
  <si>
    <t xml:space="preserve">  08.48KWH</t>
  </si>
  <si>
    <t xml:space="preserve"> 09.74KVAH</t>
  </si>
  <si>
    <t>04.78KVARH</t>
  </si>
  <si>
    <t xml:space="preserve">  14:54:17</t>
  </si>
  <si>
    <t xml:space="preserve">    89.22A</t>
  </si>
  <si>
    <t xml:space="preserve">  08.51KWH</t>
  </si>
  <si>
    <t xml:space="preserve"> 09.77KVAH</t>
  </si>
  <si>
    <t>04.80KVARH</t>
  </si>
  <si>
    <t xml:space="preserve">  14:54:19</t>
  </si>
  <si>
    <t xml:space="preserve">  08.54KWH</t>
  </si>
  <si>
    <t xml:space="preserve"> 09.80KVAH</t>
  </si>
  <si>
    <t>04.81KVARH</t>
  </si>
  <si>
    <t xml:space="preserve">  14:54:21</t>
  </si>
  <si>
    <t xml:space="preserve">  08.57KWH</t>
  </si>
  <si>
    <t xml:space="preserve"> 09.84KVAH</t>
  </si>
  <si>
    <t>04.83KVARH</t>
  </si>
  <si>
    <t xml:space="preserve">  14:54:23</t>
  </si>
  <si>
    <t xml:space="preserve">  08.60KWH</t>
  </si>
  <si>
    <t xml:space="preserve"> 09.87KVAH</t>
  </si>
  <si>
    <t>04.85KVARH</t>
  </si>
  <si>
    <t xml:space="preserve">  14:54:25</t>
  </si>
  <si>
    <t xml:space="preserve">  08.63KWH</t>
  </si>
  <si>
    <t xml:space="preserve"> 09.90KVAH</t>
  </si>
  <si>
    <t>04.86KVARH</t>
  </si>
  <si>
    <t xml:space="preserve">  14:54:27</t>
  </si>
  <si>
    <t xml:space="preserve">  08.66KWH</t>
  </si>
  <si>
    <t xml:space="preserve"> 09.94KVAH</t>
  </si>
  <si>
    <t>04.88KVARH</t>
  </si>
  <si>
    <t xml:space="preserve">  14:54:29</t>
  </si>
  <si>
    <t xml:space="preserve">  08.69KWH</t>
  </si>
  <si>
    <t xml:space="preserve"> 09.97KVAH</t>
  </si>
  <si>
    <t>04.89KVARH</t>
  </si>
  <si>
    <t xml:space="preserve">  14:54:31</t>
  </si>
  <si>
    <t xml:space="preserve">  08.71KWH</t>
  </si>
  <si>
    <t xml:space="preserve"> 10.00KVAH</t>
  </si>
  <si>
    <t>04.91KVARH</t>
  </si>
  <si>
    <t xml:space="preserve">  14:54:33</t>
  </si>
  <si>
    <t xml:space="preserve">  08.74KWH</t>
  </si>
  <si>
    <t xml:space="preserve"> 10.04KVAH</t>
  </si>
  <si>
    <t>04.93KVARH</t>
  </si>
  <si>
    <t xml:space="preserve">  14:54:35</t>
  </si>
  <si>
    <t xml:space="preserve">  08.77KWH</t>
  </si>
  <si>
    <t xml:space="preserve"> 10.07KVAH</t>
  </si>
  <si>
    <t>04.94KVARH</t>
  </si>
  <si>
    <t xml:space="preserve">  14:54:37</t>
  </si>
  <si>
    <t xml:space="preserve">  08.80KWH</t>
  </si>
  <si>
    <t xml:space="preserve"> 10.10KVAH</t>
  </si>
  <si>
    <t>04.96KVARH</t>
  </si>
  <si>
    <t xml:space="preserve">  14:54:39</t>
  </si>
  <si>
    <t xml:space="preserve">  08.83KWH</t>
  </si>
  <si>
    <t xml:space="preserve"> 10.14KVAH</t>
  </si>
  <si>
    <t>04.98KVARH</t>
  </si>
  <si>
    <t xml:space="preserve">  14:54:41</t>
  </si>
  <si>
    <t xml:space="preserve">  08.86KWH</t>
  </si>
  <si>
    <t xml:space="preserve"> 10.17KVAH</t>
  </si>
  <si>
    <t>04.99KVARH</t>
  </si>
  <si>
    <t xml:space="preserve">  14:54:43</t>
  </si>
  <si>
    <t xml:space="preserve">  08.89KWH</t>
  </si>
  <si>
    <t xml:space="preserve"> 10.20KVAH</t>
  </si>
  <si>
    <t>05.01KVARH</t>
  </si>
  <si>
    <t xml:space="preserve">  14:54:45</t>
  </si>
  <si>
    <t xml:space="preserve">    88.02A</t>
  </si>
  <si>
    <t xml:space="preserve">  08.92KWH</t>
  </si>
  <si>
    <t xml:space="preserve"> 10.24KVAH</t>
  </si>
  <si>
    <t>05.03KVARH</t>
  </si>
  <si>
    <t xml:space="preserve">  14:54:47</t>
  </si>
  <si>
    <t xml:space="preserve">  08.94KWH</t>
  </si>
  <si>
    <t xml:space="preserve"> 10.27KVAH</t>
  </si>
  <si>
    <t>05.04KVARH</t>
  </si>
  <si>
    <t xml:space="preserve">  14:54:49</t>
  </si>
  <si>
    <t xml:space="preserve">    95.58A</t>
  </si>
  <si>
    <t xml:space="preserve">  08.97KWH</t>
  </si>
  <si>
    <t xml:space="preserve"> 10.30KVAH</t>
  </si>
  <si>
    <t>05.06KVARH</t>
  </si>
  <si>
    <t xml:space="preserve">  14:54:51</t>
  </si>
  <si>
    <t xml:space="preserve">  09.00KWH</t>
  </si>
  <si>
    <t xml:space="preserve"> 10.33KVAH</t>
  </si>
  <si>
    <t>05.08KVARH</t>
  </si>
  <si>
    <t xml:space="preserve">  14:54:53</t>
  </si>
  <si>
    <t xml:space="preserve">    87.33A</t>
  </si>
  <si>
    <t xml:space="preserve">  09.03KWH</t>
  </si>
  <si>
    <t xml:space="preserve"> 10.37KVAH</t>
  </si>
  <si>
    <t>05.09KVARH</t>
  </si>
  <si>
    <t xml:space="preserve">  14:54:55</t>
  </si>
  <si>
    <t xml:space="preserve">  09.06KWH</t>
  </si>
  <si>
    <t xml:space="preserve"> 10.40KVAH</t>
  </si>
  <si>
    <t>05.11KVARH</t>
  </si>
  <si>
    <t xml:space="preserve">  14:54:57</t>
  </si>
  <si>
    <t xml:space="preserve">  09.09KWH</t>
  </si>
  <si>
    <t xml:space="preserve"> 10.43KVAH</t>
  </si>
  <si>
    <t>05.13KVARH</t>
  </si>
  <si>
    <t xml:space="preserve">  14:54:59</t>
  </si>
  <si>
    <t xml:space="preserve">  09.12KWH</t>
  </si>
  <si>
    <t xml:space="preserve"> 10.47KVAH</t>
  </si>
  <si>
    <t>05.14KVARH</t>
  </si>
  <si>
    <t xml:space="preserve">  14:55:01</t>
  </si>
  <si>
    <t xml:space="preserve">    87.06A</t>
  </si>
  <si>
    <t xml:space="preserve">  09.14KWH</t>
  </si>
  <si>
    <t xml:space="preserve"> 10.50KVAH</t>
  </si>
  <si>
    <t>05.16KVARH</t>
  </si>
  <si>
    <t xml:space="preserve">  14:55:03</t>
  </si>
  <si>
    <t xml:space="preserve">  09.17KWH</t>
  </si>
  <si>
    <t xml:space="preserve"> 10.53KVAH</t>
  </si>
  <si>
    <t>05.17KVARH</t>
  </si>
  <si>
    <t xml:space="preserve">  14:55:05</t>
  </si>
  <si>
    <t xml:space="preserve">  09.20KWH</t>
  </si>
  <si>
    <t xml:space="preserve"> 10.56KVAH</t>
  </si>
  <si>
    <t>05.19KVARH</t>
  </si>
  <si>
    <t xml:space="preserve">  14:55:07</t>
  </si>
  <si>
    <t xml:space="preserve">  09.23KWH</t>
  </si>
  <si>
    <t xml:space="preserve"> 10.60KVAH</t>
  </si>
  <si>
    <t>05.21KVARH</t>
  </si>
  <si>
    <t xml:space="preserve">  14:55:09</t>
  </si>
  <si>
    <t xml:space="preserve">  09.26KWH</t>
  </si>
  <si>
    <t xml:space="preserve"> 10.63KVAH</t>
  </si>
  <si>
    <t>05.22KVARH</t>
  </si>
  <si>
    <t xml:space="preserve">  14:55:11</t>
  </si>
  <si>
    <t xml:space="preserve">  09.28KWH</t>
  </si>
  <si>
    <t xml:space="preserve"> 10.66KVAH</t>
  </si>
  <si>
    <t>05.24KVARH</t>
  </si>
  <si>
    <t xml:space="preserve">  14:55:13</t>
  </si>
  <si>
    <t xml:space="preserve">  09.31KWH</t>
  </si>
  <si>
    <t xml:space="preserve"> 10.69KVAH</t>
  </si>
  <si>
    <t>05.26KVARH</t>
  </si>
  <si>
    <t xml:space="preserve">  14:55:15</t>
  </si>
  <si>
    <t xml:space="preserve">    94.41A</t>
  </si>
  <si>
    <t xml:space="preserve">  09.34KWH</t>
  </si>
  <si>
    <t xml:space="preserve"> 10.73KVAH</t>
  </si>
  <si>
    <t>05.27KVARH</t>
  </si>
  <si>
    <t xml:space="preserve">  14:55:17</t>
  </si>
  <si>
    <t xml:space="preserve">  09.37KWH</t>
  </si>
  <si>
    <t xml:space="preserve"> 10.76KVAH</t>
  </si>
  <si>
    <t>05.29KVARH</t>
  </si>
  <si>
    <t xml:space="preserve">  14:55:19</t>
  </si>
  <si>
    <t xml:space="preserve">  09.40KWH</t>
  </si>
  <si>
    <t xml:space="preserve"> 10.79KVAH</t>
  </si>
  <si>
    <t>05.30KVARH</t>
  </si>
  <si>
    <t xml:space="preserve">  14:55:21</t>
  </si>
  <si>
    <t xml:space="preserve">  09.42KWH</t>
  </si>
  <si>
    <t xml:space="preserve"> 10.82KVAH</t>
  </si>
  <si>
    <t>05.32KVARH</t>
  </si>
  <si>
    <t xml:space="preserve">  14:55:23</t>
  </si>
  <si>
    <t xml:space="preserve">  09.45KWH</t>
  </si>
  <si>
    <t xml:space="preserve"> 10.86KVAH</t>
  </si>
  <si>
    <t>05.34KVARH</t>
  </si>
  <si>
    <t xml:space="preserve">  14:55:25</t>
  </si>
  <si>
    <t xml:space="preserve">    93.78A</t>
  </si>
  <si>
    <t xml:space="preserve">    85.80A</t>
  </si>
  <si>
    <t xml:space="preserve">  09.48KWH</t>
  </si>
  <si>
    <t xml:space="preserve"> 10.89KVAH</t>
  </si>
  <si>
    <t>05.35KVARH</t>
  </si>
  <si>
    <t xml:space="preserve">  14:55:27</t>
  </si>
  <si>
    <t xml:space="preserve">  09.51KWH</t>
  </si>
  <si>
    <t xml:space="preserve"> 10.92KVAH</t>
  </si>
  <si>
    <t>05.37KVARH</t>
  </si>
  <si>
    <t xml:space="preserve">  14:55:29</t>
  </si>
  <si>
    <t xml:space="preserve">    145.9A</t>
  </si>
  <si>
    <t xml:space="preserve">    136.1A</t>
  </si>
  <si>
    <t xml:space="preserve">    149.7A</t>
  </si>
  <si>
    <t xml:space="preserve">   81.12KW</t>
  </si>
  <si>
    <t xml:space="preserve">  90.30KVA</t>
  </si>
  <si>
    <t>-39.69KVAR</t>
  </si>
  <si>
    <t xml:space="preserve">  09.55KWH</t>
  </si>
  <si>
    <t xml:space="preserve"> 10.97KVAH</t>
  </si>
  <si>
    <t>05.39KVARH</t>
  </si>
  <si>
    <t xml:space="preserve">  14:55:31</t>
  </si>
  <si>
    <t xml:space="preserve">    137.5A</t>
  </si>
  <si>
    <t xml:space="preserve">    151.1A</t>
  </si>
  <si>
    <t xml:space="preserve">   81.96KW</t>
  </si>
  <si>
    <t xml:space="preserve">  91.26KVA</t>
  </si>
  <si>
    <t xml:space="preserve">  09.60KWH</t>
  </si>
  <si>
    <t xml:space="preserve"> 11.02KVAH</t>
  </si>
  <si>
    <t>05.41KVARH</t>
  </si>
  <si>
    <t xml:space="preserve">  14:55:33</t>
  </si>
  <si>
    <t xml:space="preserve">    139.3A</t>
  </si>
  <si>
    <t xml:space="preserve">    152.8A</t>
  </si>
  <si>
    <t xml:space="preserve">   82.86KW</t>
  </si>
  <si>
    <t xml:space="preserve">  92.25KVA</t>
  </si>
  <si>
    <t>-40.56KVAR</t>
  </si>
  <si>
    <t xml:space="preserve">  09.65KWH</t>
  </si>
  <si>
    <t xml:space="preserve"> 11.07KVAH</t>
  </si>
  <si>
    <t>05.44KVARH</t>
  </si>
  <si>
    <t xml:space="preserve">  14:55:35</t>
  </si>
  <si>
    <t xml:space="preserve">    123.9A</t>
  </si>
  <si>
    <t xml:space="preserve">    92.10A</t>
  </si>
  <si>
    <t xml:space="preserve">    100.2A</t>
  </si>
  <si>
    <t xml:space="preserve">   58.44KW</t>
  </si>
  <si>
    <t xml:space="preserve">  66.78KVA</t>
  </si>
  <si>
    <t>-32.37KVAR</t>
  </si>
  <si>
    <t xml:space="preserve">  09.68KWH</t>
  </si>
  <si>
    <t xml:space="preserve"> 11.11KVAH</t>
  </si>
  <si>
    <t>05.45KVARH</t>
  </si>
  <si>
    <t xml:space="preserve">  14:55:37</t>
  </si>
  <si>
    <t xml:space="preserve">    90.30A</t>
  </si>
  <si>
    <t xml:space="preserve">    99.99A</t>
  </si>
  <si>
    <t xml:space="preserve">  61.02KVA</t>
  </si>
  <si>
    <t>-30.09KVAR</t>
  </si>
  <si>
    <t xml:space="preserve">  09.71KWH</t>
  </si>
  <si>
    <t xml:space="preserve"> 11.14KVAH</t>
  </si>
  <si>
    <t>05.47KVARH</t>
  </si>
  <si>
    <t xml:space="preserve">  14:55:39</t>
  </si>
  <si>
    <t xml:space="preserve">    90.27A</t>
  </si>
  <si>
    <t xml:space="preserve">  09.74KWH</t>
  </si>
  <si>
    <t xml:space="preserve"> 11.18KVAH</t>
  </si>
  <si>
    <t>05.49KVARH</t>
  </si>
  <si>
    <t xml:space="preserve">  14:55:41</t>
  </si>
  <si>
    <t xml:space="preserve">  09.77KWH</t>
  </si>
  <si>
    <t xml:space="preserve"> 11.21KVAH</t>
  </si>
  <si>
    <t>05.50KVARH</t>
  </si>
  <si>
    <t xml:space="preserve">  14:55:43</t>
  </si>
  <si>
    <t xml:space="preserve">    89.58A</t>
  </si>
  <si>
    <t xml:space="preserve">  09.80KWH</t>
  </si>
  <si>
    <t xml:space="preserve"> 11.24KVAH</t>
  </si>
  <si>
    <t>05.52KVARH</t>
  </si>
  <si>
    <t xml:space="preserve">  14:55:45</t>
  </si>
  <si>
    <t xml:space="preserve">  09.82KWH</t>
  </si>
  <si>
    <t xml:space="preserve"> 11.28KVAH</t>
  </si>
  <si>
    <t>05.54KVARH</t>
  </si>
  <si>
    <t xml:space="preserve">  14:55:47</t>
  </si>
  <si>
    <t xml:space="preserve">    99.15A</t>
  </si>
  <si>
    <t xml:space="preserve">  09.85KWH</t>
  </si>
  <si>
    <t xml:space="preserve"> 11.31KVAH</t>
  </si>
  <si>
    <t>05.55KVARH</t>
  </si>
  <si>
    <t xml:space="preserve">  14:55:49</t>
  </si>
  <si>
    <t xml:space="preserve">    98.97A</t>
  </si>
  <si>
    <t xml:space="preserve">  09.88KWH</t>
  </si>
  <si>
    <t xml:space="preserve"> 11.35KVAH</t>
  </si>
  <si>
    <t>05.57KVARH</t>
  </si>
  <si>
    <t xml:space="preserve">  14:55:51</t>
  </si>
  <si>
    <t xml:space="preserve">  09.91KWH</t>
  </si>
  <si>
    <t xml:space="preserve"> 11.38KVAH</t>
  </si>
  <si>
    <t>05.59KVARH</t>
  </si>
  <si>
    <t xml:space="preserve">  14:55:53</t>
  </si>
  <si>
    <t xml:space="preserve">    89.25A</t>
  </si>
  <si>
    <t xml:space="preserve">    98.22A</t>
  </si>
  <si>
    <t xml:space="preserve">  09.94KWH</t>
  </si>
  <si>
    <t xml:space="preserve"> 11.41KVAH</t>
  </si>
  <si>
    <t>05.60KVARH</t>
  </si>
  <si>
    <t xml:space="preserve">  14:55:55</t>
  </si>
  <si>
    <t xml:space="preserve">  09.97KWH</t>
  </si>
  <si>
    <t xml:space="preserve"> 11.45KVAH</t>
  </si>
  <si>
    <t>05.62KVARH</t>
  </si>
  <si>
    <t xml:space="preserve">  14:55:57</t>
  </si>
  <si>
    <t xml:space="preserve">    98.34A</t>
  </si>
  <si>
    <t xml:space="preserve">  10.00KWH</t>
  </si>
  <si>
    <t xml:space="preserve"> 11.48KVAH</t>
  </si>
  <si>
    <t>05.64KVARH</t>
  </si>
  <si>
    <t xml:space="preserve">  14:55:59</t>
  </si>
  <si>
    <t xml:space="preserve">   51.96KW</t>
  </si>
  <si>
    <t xml:space="preserve">  59.82KVA</t>
  </si>
  <si>
    <t xml:space="preserve">  10.03KWH</t>
  </si>
  <si>
    <t xml:space="preserve"> 11.51KVAH</t>
  </si>
  <si>
    <t>05.65KVARH</t>
  </si>
  <si>
    <t xml:space="preserve">  14:56:01</t>
  </si>
  <si>
    <t xml:space="preserve">  10.06KWH</t>
  </si>
  <si>
    <t xml:space="preserve"> 11.55KVAH</t>
  </si>
  <si>
    <t>05.67KVARH</t>
  </si>
  <si>
    <t xml:space="preserve">  14:56:03</t>
  </si>
  <si>
    <t xml:space="preserve">  10.09KWH</t>
  </si>
  <si>
    <t xml:space="preserve"> 11.58KVAH</t>
  </si>
  <si>
    <t>05.69KVARH</t>
  </si>
  <si>
    <t xml:space="preserve">  14:56:05</t>
  </si>
  <si>
    <t xml:space="preserve">    88.32A</t>
  </si>
  <si>
    <t xml:space="preserve">  10.11KWH</t>
  </si>
  <si>
    <t xml:space="preserve"> 11.61KVAH</t>
  </si>
  <si>
    <t>05.70KVARH</t>
  </si>
  <si>
    <t xml:space="preserve">  14:56:07</t>
  </si>
  <si>
    <t xml:space="preserve">  10.14KWH</t>
  </si>
  <si>
    <t xml:space="preserve"> 11.64KVAH</t>
  </si>
  <si>
    <t>05.72KVARH</t>
  </si>
  <si>
    <t xml:space="preserve">  14:56:09</t>
  </si>
  <si>
    <t xml:space="preserve">  10.17KWH</t>
  </si>
  <si>
    <t xml:space="preserve"> 11.68KVAH</t>
  </si>
  <si>
    <t>05.74KVARH</t>
  </si>
  <si>
    <t xml:space="preserve">  14:56:11</t>
  </si>
  <si>
    <t xml:space="preserve">  10.20KWH</t>
  </si>
  <si>
    <t xml:space="preserve"> 11.71KVAH</t>
  </si>
  <si>
    <t>05.75KVARH</t>
  </si>
  <si>
    <t xml:space="preserve">  14:56:13</t>
  </si>
  <si>
    <t xml:space="preserve">  10.23KWH</t>
  </si>
  <si>
    <t xml:space="preserve"> 11.74KVAH</t>
  </si>
  <si>
    <t>05.77KVARH</t>
  </si>
  <si>
    <t xml:space="preserve">  14:56:15</t>
  </si>
  <si>
    <t xml:space="preserve">  10.26KWH</t>
  </si>
  <si>
    <t xml:space="preserve"> 11.78KVAH</t>
  </si>
  <si>
    <t>05.79KVARH</t>
  </si>
  <si>
    <t xml:space="preserve">  14:56:17</t>
  </si>
  <si>
    <t xml:space="preserve">  10.29KWH</t>
  </si>
  <si>
    <t xml:space="preserve"> 11.81KVAH</t>
  </si>
  <si>
    <t>05.80KVARH</t>
  </si>
  <si>
    <t xml:space="preserve">  14:56:19</t>
  </si>
  <si>
    <t xml:space="preserve">  58.98KVA</t>
  </si>
  <si>
    <t xml:space="preserve">  10.31KWH</t>
  </si>
  <si>
    <t xml:space="preserve"> 11.84KVAH</t>
  </si>
  <si>
    <t>05.82KVARH</t>
  </si>
  <si>
    <t xml:space="preserve">  14:56:21</t>
  </si>
  <si>
    <t xml:space="preserve">  10.34KWH</t>
  </si>
  <si>
    <t xml:space="preserve"> 11.87KVAH</t>
  </si>
  <si>
    <t>05.83KVARH</t>
  </si>
  <si>
    <t xml:space="preserve">  14:56:23</t>
  </si>
  <si>
    <t xml:space="preserve">  10.37KWH</t>
  </si>
  <si>
    <t xml:space="preserve"> 11.91KVAH</t>
  </si>
  <si>
    <t>05.85KVARH</t>
  </si>
  <si>
    <t xml:space="preserve">  14:56:25</t>
  </si>
  <si>
    <t xml:space="preserve">  10.40KWH</t>
  </si>
  <si>
    <t xml:space="preserve"> 11.94KVAH</t>
  </si>
  <si>
    <t>05.87KVARH</t>
  </si>
  <si>
    <t xml:space="preserve">  14:56:27</t>
  </si>
  <si>
    <t xml:space="preserve">  10.43KWH</t>
  </si>
  <si>
    <t xml:space="preserve"> 11.97KVAH</t>
  </si>
  <si>
    <t>05.88KVARH</t>
  </si>
  <si>
    <t xml:space="preserve">  14:56:29</t>
  </si>
  <si>
    <t xml:space="preserve">    86.64A</t>
  </si>
  <si>
    <t xml:space="preserve">  10.45KWH</t>
  </si>
  <si>
    <t xml:space="preserve"> 12.01KVAH</t>
  </si>
  <si>
    <t>05.90KVARH</t>
  </si>
  <si>
    <t xml:space="preserve">  14:56:31</t>
  </si>
  <si>
    <t xml:space="preserve">  10.48KWH</t>
  </si>
  <si>
    <t xml:space="preserve"> 12.04KVAH</t>
  </si>
  <si>
    <t>05.92KVARH</t>
  </si>
  <si>
    <t xml:space="preserve">  14:56:33</t>
  </si>
  <si>
    <t xml:space="preserve">  10.51KWH</t>
  </si>
  <si>
    <t xml:space="preserve"> 12.07KVAH</t>
  </si>
  <si>
    <t>05.93KVARH</t>
  </si>
  <si>
    <t xml:space="preserve">  14:56:35</t>
  </si>
  <si>
    <t xml:space="preserve">  10.54KWH</t>
  </si>
  <si>
    <t xml:space="preserve"> 12.10KVAH</t>
  </si>
  <si>
    <t>05.95KVARH</t>
  </si>
  <si>
    <t xml:space="preserve">  14:56:37</t>
  </si>
  <si>
    <t xml:space="preserve">    94.98A</t>
  </si>
  <si>
    <t xml:space="preserve">  10.57KWH</t>
  </si>
  <si>
    <t xml:space="preserve"> 12.13KVAH</t>
  </si>
  <si>
    <t>05.97KVARH</t>
  </si>
  <si>
    <t xml:space="preserve">  14:56:39</t>
  </si>
  <si>
    <t xml:space="preserve">  10.59KWH</t>
  </si>
  <si>
    <t xml:space="preserve"> 12.17KVAH</t>
  </si>
  <si>
    <t>05.98KVARH</t>
  </si>
  <si>
    <t xml:space="preserve">  14:56:41</t>
  </si>
  <si>
    <t xml:space="preserve">    85.65A</t>
  </si>
  <si>
    <t xml:space="preserve">  10.62KWH</t>
  </si>
  <si>
    <t xml:space="preserve"> 12.20KVAH</t>
  </si>
  <si>
    <t>06.00KVARH</t>
  </si>
  <si>
    <t xml:space="preserve">  14:56:43</t>
  </si>
  <si>
    <t xml:space="preserve">    134.9A</t>
  </si>
  <si>
    <t xml:space="preserve">   80.52KW</t>
  </si>
  <si>
    <t>-39.54KVAR</t>
  </si>
  <si>
    <t xml:space="preserve">  10.67KWH</t>
  </si>
  <si>
    <t xml:space="preserve"> 12.25KVAH</t>
  </si>
  <si>
    <t>06.02KVARH</t>
  </si>
  <si>
    <t xml:space="preserve">  14:56:45</t>
  </si>
  <si>
    <t xml:space="preserve">    361.9V</t>
  </si>
  <si>
    <t xml:space="preserve">    136.8A</t>
  </si>
  <si>
    <t xml:space="preserve">   81.60KW</t>
  </si>
  <si>
    <t xml:space="preserve">  90.87KVA</t>
  </si>
  <si>
    <t>-39.99KVAR</t>
  </si>
  <si>
    <t xml:space="preserve">  10.71KWH</t>
  </si>
  <si>
    <t xml:space="preserve"> 12.30KVAH</t>
  </si>
  <si>
    <t>06.04KVARH</t>
  </si>
  <si>
    <t xml:space="preserve">  14:56:47</t>
  </si>
  <si>
    <t xml:space="preserve">    138.8A</t>
  </si>
  <si>
    <t xml:space="preserve">    152.0A</t>
  </si>
  <si>
    <t xml:space="preserve">   82.68KW</t>
  </si>
  <si>
    <t>-40.53KVAR</t>
  </si>
  <si>
    <t xml:space="preserve">  10.76KWH</t>
  </si>
  <si>
    <t xml:space="preserve"> 12.35KVAH</t>
  </si>
  <si>
    <t>06.06KVARH</t>
  </si>
  <si>
    <t xml:space="preserve">  14:56:49</t>
  </si>
  <si>
    <t xml:space="preserve">    362.1V</t>
  </si>
  <si>
    <t xml:space="preserve">    152.7A</t>
  </si>
  <si>
    <t xml:space="preserve">  92.55KVA</t>
  </si>
  <si>
    <t xml:space="preserve">  10.80KWH</t>
  </si>
  <si>
    <t xml:space="preserve"> 12.40KVAH</t>
  </si>
  <si>
    <t>06.09KVARH</t>
  </si>
  <si>
    <t xml:space="preserve">  14:56:51</t>
  </si>
  <si>
    <t xml:space="preserve">    90.78A</t>
  </si>
  <si>
    <t xml:space="preserve">    99.57A</t>
  </si>
  <si>
    <t xml:space="preserve">   53.22KW</t>
  </si>
  <si>
    <t>-30.15KVAR</t>
  </si>
  <si>
    <t xml:space="preserve">  10.83KWH</t>
  </si>
  <si>
    <t xml:space="preserve"> 12.44KVAH</t>
  </si>
  <si>
    <t>06.10KVARH</t>
  </si>
  <si>
    <t xml:space="preserve">  14:56:53</t>
  </si>
  <si>
    <t xml:space="preserve">    90.03A</t>
  </si>
  <si>
    <t xml:space="preserve">  10.86KWH</t>
  </si>
  <si>
    <t xml:space="preserve"> 12.47KVAH</t>
  </si>
  <si>
    <t>06.12KVARH</t>
  </si>
  <si>
    <t xml:space="preserve">  14:56:55</t>
  </si>
  <si>
    <t xml:space="preserve">  10.89KWH</t>
  </si>
  <si>
    <t xml:space="preserve"> 12.50KVAH</t>
  </si>
  <si>
    <t>06.14KVARH</t>
  </si>
  <si>
    <t xml:space="preserve">  14:56:57</t>
  </si>
  <si>
    <t xml:space="preserve">   52.62KW</t>
  </si>
  <si>
    <t xml:space="preserve">  60.54KVA</t>
  </si>
  <si>
    <t xml:space="preserve">  10.92KWH</t>
  </si>
  <si>
    <t xml:space="preserve"> 12.54KVAH</t>
  </si>
  <si>
    <t>06.15KVARH</t>
  </si>
  <si>
    <t xml:space="preserve">  14:56:59</t>
  </si>
  <si>
    <t xml:space="preserve">    366.8V</t>
  </si>
  <si>
    <t xml:space="preserve">  10.95KWH</t>
  </si>
  <si>
    <t xml:space="preserve"> 12.57KVAH</t>
  </si>
  <si>
    <t>06.17KVARH</t>
  </si>
  <si>
    <t xml:space="preserve">  14:57:01</t>
  </si>
  <si>
    <t xml:space="preserve">  10.98KWH</t>
  </si>
  <si>
    <t xml:space="preserve"> 12.60KVAH</t>
  </si>
  <si>
    <t>06.19KVARH</t>
  </si>
  <si>
    <t xml:space="preserve">  14:57:03</t>
  </si>
  <si>
    <t xml:space="preserve">  11.01KWH</t>
  </si>
  <si>
    <t xml:space="preserve"> 12.64KVAH</t>
  </si>
  <si>
    <t>06.20KVARH</t>
  </si>
  <si>
    <t xml:space="preserve">  14:57:05</t>
  </si>
  <si>
    <t xml:space="preserve">  11.04KWH</t>
  </si>
  <si>
    <t xml:space="preserve"> 12.67KVAH</t>
  </si>
  <si>
    <t>06.22KVARH</t>
  </si>
  <si>
    <t xml:space="preserve">  14:57:07</t>
  </si>
  <si>
    <t xml:space="preserve">  11.07KWH</t>
  </si>
  <si>
    <t xml:space="preserve"> 12.70KVAH</t>
  </si>
  <si>
    <t>06.24KVARH</t>
  </si>
  <si>
    <t xml:space="preserve">  14:57:09</t>
  </si>
  <si>
    <t xml:space="preserve">  11.10KWH</t>
  </si>
  <si>
    <t xml:space="preserve"> 12.74KVAH</t>
  </si>
  <si>
    <t>06.25KVARH</t>
  </si>
  <si>
    <t xml:space="preserve">  14:57:11</t>
  </si>
  <si>
    <t xml:space="preserve">  11.13KWH</t>
  </si>
  <si>
    <t xml:space="preserve"> 12.77KVAH</t>
  </si>
  <si>
    <t>06.27KVARH</t>
  </si>
  <si>
    <t xml:space="preserve">  14:57:13</t>
  </si>
  <si>
    <t xml:space="preserve">  11.15KWH</t>
  </si>
  <si>
    <t xml:space="preserve"> 12.81KVAH</t>
  </si>
  <si>
    <t>06.29KVARH</t>
  </si>
  <si>
    <t xml:space="preserve">  14:57:15</t>
  </si>
  <si>
    <t xml:space="preserve">  11.18KWH</t>
  </si>
  <si>
    <t xml:space="preserve"> 12.84KVAH</t>
  </si>
  <si>
    <t>06.30KVARH</t>
  </si>
  <si>
    <t xml:space="preserve">  14:57:17</t>
  </si>
  <si>
    <t xml:space="preserve">  11.21KWH</t>
  </si>
  <si>
    <t xml:space="preserve"> 12.87KVAH</t>
  </si>
  <si>
    <t>06.32KVARH</t>
  </si>
  <si>
    <t xml:space="preserve">  14:57:19</t>
  </si>
  <si>
    <t xml:space="preserve">  11.24KWH</t>
  </si>
  <si>
    <t xml:space="preserve"> 12.90KVAH</t>
  </si>
  <si>
    <t>06.34KVARH</t>
  </si>
  <si>
    <t xml:space="preserve">  14:57:21</t>
  </si>
  <si>
    <t xml:space="preserve">  11.27KWH</t>
  </si>
  <si>
    <t xml:space="preserve"> 12.94KVAH</t>
  </si>
  <si>
    <t>06.35KVARH</t>
  </si>
  <si>
    <t xml:space="preserve">  14:57:23</t>
  </si>
  <si>
    <t xml:space="preserve">  11.30KWH</t>
  </si>
  <si>
    <t xml:space="preserve"> 12.97KVAH</t>
  </si>
  <si>
    <t>06.37KVARH</t>
  </si>
  <si>
    <t xml:space="preserve">  14:57:25</t>
  </si>
  <si>
    <t xml:space="preserve">  11.33KWH</t>
  </si>
  <si>
    <t xml:space="preserve"> 13.00KVAH</t>
  </si>
  <si>
    <t>06.39KVARH</t>
  </si>
  <si>
    <t xml:space="preserve">  14:57:27</t>
  </si>
  <si>
    <t xml:space="preserve">    367.0V</t>
  </si>
  <si>
    <t xml:space="preserve">  11.36KWH</t>
  </si>
  <si>
    <t xml:space="preserve"> 13.04KVAH</t>
  </si>
  <si>
    <t>06.40KVARH</t>
  </si>
  <si>
    <t xml:space="preserve">  14:57:29</t>
  </si>
  <si>
    <t xml:space="preserve">  11.38KWH</t>
  </si>
  <si>
    <t xml:space="preserve"> 13.07KVAH</t>
  </si>
  <si>
    <t>06.42KVARH</t>
  </si>
  <si>
    <t xml:space="preserve">  14:57:31</t>
  </si>
  <si>
    <t xml:space="preserve">    369.5V</t>
  </si>
  <si>
    <t xml:space="preserve">  11.41KWH</t>
  </si>
  <si>
    <t xml:space="preserve"> 13.10KVAH</t>
  </si>
  <si>
    <t>06.44KVARH</t>
  </si>
  <si>
    <t xml:space="preserve">  14:57:33</t>
  </si>
  <si>
    <t xml:space="preserve">    367.1V</t>
  </si>
  <si>
    <t xml:space="preserve">  11.44KWH</t>
  </si>
  <si>
    <t xml:space="preserve"> 13.14KVAH</t>
  </si>
  <si>
    <t>06.45KVARH</t>
  </si>
  <si>
    <t xml:space="preserve">  14:57:35</t>
  </si>
  <si>
    <t xml:space="preserve">  11.47KWH</t>
  </si>
  <si>
    <t xml:space="preserve"> 13.17KVAH</t>
  </si>
  <si>
    <t>06.47KVARH</t>
  </si>
  <si>
    <t xml:space="preserve">  14:57:37</t>
  </si>
  <si>
    <t xml:space="preserve">  11.50KWH</t>
  </si>
  <si>
    <t xml:space="preserve"> 13.20KVAH</t>
  </si>
  <si>
    <t>06.49KVARH</t>
  </si>
  <si>
    <t xml:space="preserve">  14:57:39</t>
  </si>
  <si>
    <t xml:space="preserve">  11.53KWH</t>
  </si>
  <si>
    <t xml:space="preserve"> 13.23KVAH</t>
  </si>
  <si>
    <t>06.50KVARH</t>
  </si>
  <si>
    <t xml:space="preserve">  14:57:41</t>
  </si>
  <si>
    <t xml:space="preserve">  11.55KWH</t>
  </si>
  <si>
    <t xml:space="preserve"> 13.27KVAH</t>
  </si>
  <si>
    <t>06.52KVARH</t>
  </si>
  <si>
    <t xml:space="preserve">  14:57:43</t>
  </si>
  <si>
    <t xml:space="preserve">  11.58KWH</t>
  </si>
  <si>
    <t xml:space="preserve"> 13.30KVAH</t>
  </si>
  <si>
    <t>06.53KVARH</t>
  </si>
  <si>
    <t xml:space="preserve">  14:57:45</t>
  </si>
  <si>
    <t xml:space="preserve">    94.44A</t>
  </si>
  <si>
    <t xml:space="preserve">  11.61KWH</t>
  </si>
  <si>
    <t xml:space="preserve"> 13.33KVAH</t>
  </si>
  <si>
    <t>06.55KVARH</t>
  </si>
  <si>
    <t xml:space="preserve">  14:57:47</t>
  </si>
  <si>
    <t xml:space="preserve">    94.38A</t>
  </si>
  <si>
    <t xml:space="preserve">  11.64KWH</t>
  </si>
  <si>
    <t xml:space="preserve"> 13.36KVAH</t>
  </si>
  <si>
    <t>06.57KVARH</t>
  </si>
  <si>
    <t xml:space="preserve">  14:57:49</t>
  </si>
  <si>
    <t xml:space="preserve">    369.7V</t>
  </si>
  <si>
    <t xml:space="preserve">  11.67KWH</t>
  </si>
  <si>
    <t xml:space="preserve"> 13.40KVAH</t>
  </si>
  <si>
    <t>06.58KVARH</t>
  </si>
  <si>
    <t xml:space="preserve">  14:57:51</t>
  </si>
  <si>
    <t xml:space="preserve">  11.70KWH</t>
  </si>
  <si>
    <t xml:space="preserve"> 13.43KVAH</t>
  </si>
  <si>
    <t>06.60KVARH</t>
  </si>
  <si>
    <t xml:space="preserve">  14:57:53</t>
  </si>
  <si>
    <t xml:space="preserve">  11.72KWH</t>
  </si>
  <si>
    <t xml:space="preserve"> 13.46KVAH</t>
  </si>
  <si>
    <t>06.62KVARH</t>
  </si>
  <si>
    <t xml:space="preserve">  14:57:55</t>
  </si>
  <si>
    <t xml:space="preserve">  11.75KWH</t>
  </si>
  <si>
    <t xml:space="preserve"> 13.49KVAH</t>
  </si>
  <si>
    <t>06.63KVARH</t>
  </si>
  <si>
    <t xml:space="preserve">  14:57:57</t>
  </si>
  <si>
    <t xml:space="preserve">  11.78KWH</t>
  </si>
  <si>
    <t xml:space="preserve"> 13.53KVAH</t>
  </si>
  <si>
    <t>06.65KVARH</t>
  </si>
  <si>
    <t xml:space="preserve">  14:57:59</t>
  </si>
  <si>
    <t xml:space="preserve">  11.81KWH</t>
  </si>
  <si>
    <t xml:space="preserve"> 13.56KVAH</t>
  </si>
  <si>
    <t>06.67KVARH</t>
  </si>
  <si>
    <t xml:space="preserve">  14:58:01</t>
  </si>
  <si>
    <t xml:space="preserve">  11.84KWH</t>
  </si>
  <si>
    <t xml:space="preserve"> 13.59KVAH</t>
  </si>
  <si>
    <t>06.68KVARH</t>
  </si>
  <si>
    <t xml:space="preserve">  14:58:03</t>
  </si>
  <si>
    <t xml:space="preserve">  11.86KWH</t>
  </si>
  <si>
    <t xml:space="preserve"> 13.62KVAH</t>
  </si>
  <si>
    <t>06.70KVARH</t>
  </si>
  <si>
    <t xml:space="preserve">  14:58:05</t>
  </si>
  <si>
    <t xml:space="preserve">    85.53A</t>
  </si>
  <si>
    <t xml:space="preserve">  11.89KWH</t>
  </si>
  <si>
    <t xml:space="preserve"> 13.66KVAH</t>
  </si>
  <si>
    <t>06.71KVARH</t>
  </si>
  <si>
    <t xml:space="preserve">  14:58:07</t>
  </si>
  <si>
    <t xml:space="preserve">  11.92KWH</t>
  </si>
  <si>
    <t xml:space="preserve"> 13.69KVAH</t>
  </si>
  <si>
    <t>06.73KVARH</t>
  </si>
  <si>
    <t xml:space="preserve">  14:58:09</t>
  </si>
  <si>
    <t xml:space="preserve">    362.7V</t>
  </si>
  <si>
    <t xml:space="preserve">    145.4A</t>
  </si>
  <si>
    <t xml:space="preserve">    135.9A</t>
  </si>
  <si>
    <t xml:space="preserve">   81.09KW</t>
  </si>
  <si>
    <t xml:space="preserve">  90.33KVA</t>
  </si>
  <si>
    <t>-39.81KVAR</t>
  </si>
  <si>
    <t xml:space="preserve">  11.96KWH</t>
  </si>
  <si>
    <t xml:space="preserve"> 13.74KVAH</t>
  </si>
  <si>
    <t>06.75KVARH</t>
  </si>
  <si>
    <t xml:space="preserve">  14:58:11</t>
  </si>
  <si>
    <t xml:space="preserve">    362.2V</t>
  </si>
  <si>
    <t xml:space="preserve">    147.2A</t>
  </si>
  <si>
    <t xml:space="preserve">    150.7A</t>
  </si>
  <si>
    <t xml:space="preserve">  91.23KVA</t>
  </si>
  <si>
    <t xml:space="preserve">  12.01KWH</t>
  </si>
  <si>
    <t xml:space="preserve"> 13.79KVAH</t>
  </si>
  <si>
    <t>06.78KVARH</t>
  </si>
  <si>
    <t xml:space="preserve">  14:58:13</t>
  </si>
  <si>
    <t xml:space="preserve">    362.4V</t>
  </si>
  <si>
    <t xml:space="preserve">    149.0A</t>
  </si>
  <si>
    <t xml:space="preserve">   82.92KW</t>
  </si>
  <si>
    <t xml:space="preserve">  92.34KVA</t>
  </si>
  <si>
    <t xml:space="preserve">  12.06KWH</t>
  </si>
  <si>
    <t xml:space="preserve"> 13.84KVAH</t>
  </si>
  <si>
    <t>06.80KVARH</t>
  </si>
  <si>
    <t xml:space="preserve">  14:58:15</t>
  </si>
  <si>
    <t xml:space="preserve">    119.1A</t>
  </si>
  <si>
    <t xml:space="preserve">    91.20A</t>
  </si>
  <si>
    <t xml:space="preserve">    100.0A</t>
  </si>
  <si>
    <t xml:space="preserve">   57.42KW</t>
  </si>
  <si>
    <t xml:space="preserve">  65.73KVA</t>
  </si>
  <si>
    <t>-32.04KVAR</t>
  </si>
  <si>
    <t xml:space="preserve">  12.09KWH</t>
  </si>
  <si>
    <t xml:space="preserve"> 13.88KVAH</t>
  </si>
  <si>
    <t>06.82KVARH</t>
  </si>
  <si>
    <t xml:space="preserve">  14:58:17</t>
  </si>
  <si>
    <t xml:space="preserve">    98.28A</t>
  </si>
  <si>
    <t xml:space="preserve">    99.33A</t>
  </si>
  <si>
    <t xml:space="preserve">  12.12KWH</t>
  </si>
  <si>
    <t xml:space="preserve"> 13.91KVAH</t>
  </si>
  <si>
    <t>06.83KVARH</t>
  </si>
  <si>
    <t xml:space="preserve">  14:58:19</t>
  </si>
  <si>
    <t>-30.18KVAR</t>
  </si>
  <si>
    <t xml:space="preserve">  12.15KWH</t>
  </si>
  <si>
    <t xml:space="preserve"> 13.95KVAH</t>
  </si>
  <si>
    <t>06.85KVARH</t>
  </si>
  <si>
    <t xml:space="preserve">  14:58:21</t>
  </si>
  <si>
    <t xml:space="preserve">  12.18KWH</t>
  </si>
  <si>
    <t xml:space="preserve"> 13.98KVAH</t>
  </si>
  <si>
    <t>06.87KVARH</t>
  </si>
  <si>
    <t xml:space="preserve">  14:58:23</t>
  </si>
  <si>
    <t xml:space="preserve">  12.21KWH</t>
  </si>
  <si>
    <t xml:space="preserve"> 14.01KVAH</t>
  </si>
  <si>
    <t>06.88KVARH</t>
  </si>
  <si>
    <t xml:space="preserve">  14:58:25</t>
  </si>
  <si>
    <t xml:space="preserve">  60.51KVA</t>
  </si>
  <si>
    <t xml:space="preserve">  12.23KWH</t>
  </si>
  <si>
    <t xml:space="preserve"> 14.05KVAH</t>
  </si>
  <si>
    <t>06.90KVARH</t>
  </si>
  <si>
    <t xml:space="preserve">  14:58:27</t>
  </si>
  <si>
    <t xml:space="preserve">    89.70A</t>
  </si>
  <si>
    <t xml:space="preserve">  12.26KWH</t>
  </si>
  <si>
    <t xml:space="preserve"> 14.08KVAH</t>
  </si>
  <si>
    <t>06.92KVARH</t>
  </si>
  <si>
    <t xml:space="preserve">  14:58:29</t>
  </si>
  <si>
    <t xml:space="preserve">  12.29KWH</t>
  </si>
  <si>
    <t xml:space="preserve"> 14.11KVAH</t>
  </si>
  <si>
    <t>06.93KVARH</t>
  </si>
  <si>
    <t xml:space="preserve">  14:58:31</t>
  </si>
  <si>
    <t xml:space="preserve">  12.32KWH</t>
  </si>
  <si>
    <t xml:space="preserve"> 14.15KVAH</t>
  </si>
  <si>
    <t>06.95KVARH</t>
  </si>
  <si>
    <t xml:space="preserve">  14:58:33</t>
  </si>
  <si>
    <t xml:space="preserve">  12.35KWH</t>
  </si>
  <si>
    <t xml:space="preserve"> 14.18KVAH</t>
  </si>
  <si>
    <t>06.97KVARH</t>
  </si>
  <si>
    <t xml:space="preserve">  14:58:35</t>
  </si>
  <si>
    <t xml:space="preserve">  12.38KWH</t>
  </si>
  <si>
    <t xml:space="preserve"> 14.21KVAH</t>
  </si>
  <si>
    <t>06.98KVARH</t>
  </si>
  <si>
    <t xml:space="preserve">  14:58:37</t>
  </si>
  <si>
    <t xml:space="preserve">  12.41KWH</t>
  </si>
  <si>
    <t xml:space="preserve"> 14.25KVAH</t>
  </si>
  <si>
    <t>07.00KVARH</t>
  </si>
  <si>
    <t xml:space="preserve">  14:58:39</t>
  </si>
  <si>
    <t xml:space="preserve">  12.44KWH</t>
  </si>
  <si>
    <t xml:space="preserve"> 14.28KVAH</t>
  </si>
  <si>
    <t>07.02KVARH</t>
  </si>
  <si>
    <t xml:space="preserve">  14:58:41</t>
  </si>
  <si>
    <t xml:space="preserve">  12.47KWH</t>
  </si>
  <si>
    <t xml:space="preserve"> 14.31KVAH</t>
  </si>
  <si>
    <t>07.03KVARH</t>
  </si>
  <si>
    <t xml:space="preserve">  14:58:43</t>
  </si>
  <si>
    <t xml:space="preserve">  12.50KWH</t>
  </si>
  <si>
    <t xml:space="preserve"> 14.35KVAH</t>
  </si>
  <si>
    <t>07.05KVARH</t>
  </si>
  <si>
    <t xml:space="preserve">  14:58:45</t>
  </si>
  <si>
    <t xml:space="preserve">  12.52KWH</t>
  </si>
  <si>
    <t xml:space="preserve"> 14.38KVAH</t>
  </si>
  <si>
    <t>07.07KVARH</t>
  </si>
  <si>
    <t xml:space="preserve">  14:58:47</t>
  </si>
  <si>
    <t xml:space="preserve">  12.55KWH</t>
  </si>
  <si>
    <t xml:space="preserve"> 14.41KVAH</t>
  </si>
  <si>
    <t>07.08KVARH</t>
  </si>
  <si>
    <t xml:space="preserve">  14:58:49</t>
  </si>
  <si>
    <t xml:space="preserve">    369.6V</t>
  </si>
  <si>
    <t xml:space="preserve">  12.58KWH</t>
  </si>
  <si>
    <t xml:space="preserve"> 14.45KVAH</t>
  </si>
  <si>
    <t>07.10KVARH</t>
  </si>
  <si>
    <t xml:space="preserve">  14:58:51</t>
  </si>
  <si>
    <t xml:space="preserve">  12.61KWH</t>
  </si>
  <si>
    <t xml:space="preserve"> 14.48KVAH</t>
  </si>
  <si>
    <t>07.11KVARH</t>
  </si>
  <si>
    <t xml:space="preserve">  14:58:53</t>
  </si>
  <si>
    <t xml:space="preserve">  12.64KWH</t>
  </si>
  <si>
    <t xml:space="preserve"> 14.51KVAH</t>
  </si>
  <si>
    <t>07.13KVARH</t>
  </si>
  <si>
    <t xml:space="preserve">  14:58:55</t>
  </si>
  <si>
    <t xml:space="preserve">  12.67KWH</t>
  </si>
  <si>
    <t xml:space="preserve"> 14.54KVAH</t>
  </si>
  <si>
    <t>07.15KVARH</t>
  </si>
  <si>
    <t xml:space="preserve">  14:58:57</t>
  </si>
  <si>
    <t xml:space="preserve">  12.70KWH</t>
  </si>
  <si>
    <t xml:space="preserve"> 14.58KVAH</t>
  </si>
  <si>
    <t>07.16KVARH</t>
  </si>
  <si>
    <t xml:space="preserve">  14:58:59</t>
  </si>
  <si>
    <t xml:space="preserve">  12.72KWH</t>
  </si>
  <si>
    <t xml:space="preserve"> 14.61KVAH</t>
  </si>
  <si>
    <t>07.18KVARH</t>
  </si>
  <si>
    <t xml:space="preserve">  14:59:01</t>
  </si>
  <si>
    <t xml:space="preserve">  12.75KWH</t>
  </si>
  <si>
    <t xml:space="preserve"> 14.64KVAH</t>
  </si>
  <si>
    <t>07.20KVARH</t>
  </si>
  <si>
    <t xml:space="preserve">  14:59:03</t>
  </si>
  <si>
    <t xml:space="preserve">  12.78KWH</t>
  </si>
  <si>
    <t xml:space="preserve"> 14.68KVAH</t>
  </si>
  <si>
    <t>07.21KVARH</t>
  </si>
  <si>
    <t xml:space="preserve">  14:59:05</t>
  </si>
  <si>
    <t xml:space="preserve">    87.36A</t>
  </si>
  <si>
    <t xml:space="preserve">  12.81KWH</t>
  </si>
  <si>
    <t xml:space="preserve"> 14.71KVAH</t>
  </si>
  <si>
    <t>07.23KVARH</t>
  </si>
  <si>
    <t xml:space="preserve">  14:59:07</t>
  </si>
  <si>
    <t xml:space="preserve">    369.9V</t>
  </si>
  <si>
    <t xml:space="preserve">  12.84KWH</t>
  </si>
  <si>
    <t xml:space="preserve"> 14.74KVAH</t>
  </si>
  <si>
    <t>07.25KVARH</t>
  </si>
  <si>
    <t xml:space="preserve">  14:59:09</t>
  </si>
  <si>
    <t xml:space="preserve">    86.94A</t>
  </si>
  <si>
    <t xml:space="preserve">  12.87KWH</t>
  </si>
  <si>
    <t xml:space="preserve"> 14.77KVAH</t>
  </si>
  <si>
    <t>07.26KVARH</t>
  </si>
  <si>
    <t xml:space="preserve">  14:59:11</t>
  </si>
  <si>
    <t xml:space="preserve">  12.89KWH</t>
  </si>
  <si>
    <t xml:space="preserve"> 14.81KVAH</t>
  </si>
  <si>
    <t>07.28KVARH</t>
  </si>
  <si>
    <t xml:space="preserve">  14:59:13</t>
  </si>
  <si>
    <t xml:space="preserve">  12.92KWH</t>
  </si>
  <si>
    <t xml:space="preserve"> 14.84KVAH</t>
  </si>
  <si>
    <t>07.30KVARH</t>
  </si>
  <si>
    <t xml:space="preserve">  14:59:15</t>
  </si>
  <si>
    <t xml:space="preserve">  12.95KWH</t>
  </si>
  <si>
    <t xml:space="preserve"> 14.87KVAH</t>
  </si>
  <si>
    <t>07.31KVARH</t>
  </si>
  <si>
    <t xml:space="preserve">  14:59:17</t>
  </si>
  <si>
    <t xml:space="preserve">  12.98KWH</t>
  </si>
  <si>
    <t xml:space="preserve"> 14.91KVAH</t>
  </si>
  <si>
    <t>07.33KVARH</t>
  </si>
  <si>
    <t xml:space="preserve">  14:59:19</t>
  </si>
  <si>
    <t xml:space="preserve">  13.01KWH</t>
  </si>
  <si>
    <t xml:space="preserve"> 14.94KVAH</t>
  </si>
  <si>
    <t>07.35KVARH</t>
  </si>
  <si>
    <t xml:space="preserve">  14:59:21</t>
  </si>
  <si>
    <t xml:space="preserve">  13.03KWH</t>
  </si>
  <si>
    <t xml:space="preserve"> 14.97KVAH</t>
  </si>
  <si>
    <t>07.36KVARH</t>
  </si>
  <si>
    <t xml:space="preserve">  14:59:23</t>
  </si>
  <si>
    <t xml:space="preserve">   55.05KW</t>
  </si>
  <si>
    <t xml:space="preserve">  63.45KVA</t>
  </si>
  <si>
    <t>-31.59KVAR</t>
  </si>
  <si>
    <t xml:space="preserve">  13.07KWH</t>
  </si>
  <si>
    <t xml:space="preserve"> 15.01KVAH</t>
  </si>
  <si>
    <t>07.38KVARH</t>
  </si>
  <si>
    <t xml:space="preserve">  14:59:25</t>
  </si>
  <si>
    <t xml:space="preserve">    362.9V</t>
  </si>
  <si>
    <t xml:space="preserve">    362.5V</t>
  </si>
  <si>
    <t xml:space="preserve">    146.1A</t>
  </si>
  <si>
    <t xml:space="preserve">    136.6A</t>
  </si>
  <si>
    <t xml:space="preserve">   81.54KW</t>
  </si>
  <si>
    <t xml:space="preserve">  90.81KVA</t>
  </si>
  <si>
    <t>-40.02KVAR</t>
  </si>
  <si>
    <t xml:space="preserve">  13.11KWH</t>
  </si>
  <si>
    <t xml:space="preserve"> 15.06KVAH</t>
  </si>
  <si>
    <t>07.40KVARH</t>
  </si>
  <si>
    <t xml:space="preserve">  14:59:27</t>
  </si>
  <si>
    <t xml:space="preserve">    363.2V</t>
  </si>
  <si>
    <t xml:space="preserve">    151.8A</t>
  </si>
  <si>
    <t xml:space="preserve">  92.10KVA</t>
  </si>
  <si>
    <t xml:space="preserve">  13.16KWH</t>
  </si>
  <si>
    <t xml:space="preserve"> 15.11KVAH</t>
  </si>
  <si>
    <t>07.42KVARH</t>
  </si>
  <si>
    <t xml:space="preserve">  14:59:29</t>
  </si>
  <si>
    <t xml:space="preserve">  13.20KWH</t>
  </si>
  <si>
    <t xml:space="preserve"> 15.16KVAH</t>
  </si>
  <si>
    <t>07.45KVARH</t>
  </si>
  <si>
    <t xml:space="preserve">  14:59:31</t>
  </si>
  <si>
    <t xml:space="preserve">  61.05KVA</t>
  </si>
  <si>
    <t xml:space="preserve">  13.23KWH</t>
  </si>
  <si>
    <t xml:space="preserve"> 15.19KVAH</t>
  </si>
  <si>
    <t>07.46KVARH</t>
  </si>
  <si>
    <t xml:space="preserve">  14:59:33</t>
  </si>
  <si>
    <t xml:space="preserve">  13.26KWH</t>
  </si>
  <si>
    <t xml:space="preserve"> 15.23KVAH</t>
  </si>
  <si>
    <t>07.48KVARH</t>
  </si>
  <si>
    <t xml:space="preserve">  14:59:35</t>
  </si>
  <si>
    <t xml:space="preserve">  13.29KWH</t>
  </si>
  <si>
    <t xml:space="preserve"> 15.26KVAH</t>
  </si>
  <si>
    <t>07.50KVARH</t>
  </si>
  <si>
    <t xml:space="preserve">  14:59:37</t>
  </si>
  <si>
    <t xml:space="preserve">  13.32KWH</t>
  </si>
  <si>
    <t xml:space="preserve"> 15.29KVAH</t>
  </si>
  <si>
    <t>07.51KVARH</t>
  </si>
  <si>
    <t xml:space="preserve">  14:59:39</t>
  </si>
  <si>
    <t xml:space="preserve">  13.35KWH</t>
  </si>
  <si>
    <t xml:space="preserve"> 15.33KVAH</t>
  </si>
  <si>
    <t>07.53KVARH</t>
  </si>
  <si>
    <t xml:space="preserve">  14:59:41</t>
  </si>
  <si>
    <t xml:space="preserve">  13.38KWH</t>
  </si>
  <si>
    <t xml:space="preserve"> 15.36KVAH</t>
  </si>
  <si>
    <t>07.55KVARH</t>
  </si>
  <si>
    <t xml:space="preserve">  14:59:43</t>
  </si>
  <si>
    <t xml:space="preserve">  13.41KWH</t>
  </si>
  <si>
    <t xml:space="preserve"> 15.39KVAH</t>
  </si>
  <si>
    <t>07.56KVARH</t>
  </si>
  <si>
    <t xml:space="preserve">  14:59:45</t>
  </si>
  <si>
    <t xml:space="preserve">    98.73A</t>
  </si>
  <si>
    <t xml:space="preserve">  13.44KWH</t>
  </si>
  <si>
    <t xml:space="preserve"> 15.43KVAH</t>
  </si>
  <si>
    <t>07.58KVARH</t>
  </si>
  <si>
    <t xml:space="preserve">  14:59:47</t>
  </si>
  <si>
    <t xml:space="preserve">  13.47KWH</t>
  </si>
  <si>
    <t xml:space="preserve"> 15.46KVAH</t>
  </si>
  <si>
    <t>07.60KVARH</t>
  </si>
  <si>
    <t xml:space="preserve">  14:59:49</t>
  </si>
  <si>
    <t xml:space="preserve">    370.3V</t>
  </si>
  <si>
    <t xml:space="preserve">  13.49KWH</t>
  </si>
  <si>
    <t xml:space="preserve"> 15.49KVAH</t>
  </si>
  <si>
    <t>07.61KVARH</t>
  </si>
  <si>
    <t xml:space="preserve">  14:59:51</t>
  </si>
  <si>
    <t xml:space="preserve">    370.6V</t>
  </si>
  <si>
    <t xml:space="preserve">  13.52KWH</t>
  </si>
  <si>
    <t xml:space="preserve"> 15.53KVAH</t>
  </si>
  <si>
    <t>07.63KVARH</t>
  </si>
  <si>
    <t xml:space="preserve">  14:59:53</t>
  </si>
  <si>
    <t xml:space="preserve">    370.0V</t>
  </si>
  <si>
    <t xml:space="preserve">  60.21KVA</t>
  </si>
  <si>
    <t xml:space="preserve">  13.55KWH</t>
  </si>
  <si>
    <t xml:space="preserve"> 15.56KVAH</t>
  </si>
  <si>
    <t>07.65KVARH</t>
  </si>
  <si>
    <t xml:space="preserve">   54.21KW</t>
  </si>
  <si>
    <t xml:space="preserve">  62.25KVA</t>
  </si>
  <si>
    <t xml:space="preserve">  14:59:55</t>
  </si>
  <si>
    <t xml:space="preserve">    370.2V</t>
  </si>
  <si>
    <t xml:space="preserve">  13.58KWH</t>
  </si>
  <si>
    <t xml:space="preserve"> 15.60KVAH</t>
  </si>
  <si>
    <t>07.66KVARH</t>
  </si>
  <si>
    <t xml:space="preserve">  14:59:57</t>
  </si>
  <si>
    <t xml:space="preserve">    369.8V</t>
  </si>
  <si>
    <t xml:space="preserve">  13.61KWH</t>
  </si>
  <si>
    <t xml:space="preserve"> 15.63KVAH</t>
  </si>
  <si>
    <t>07.68KVARH</t>
  </si>
  <si>
    <t xml:space="preserve">  14:59:59</t>
  </si>
  <si>
    <t xml:space="preserve">  13.64KWH</t>
  </si>
  <si>
    <t xml:space="preserve"> 15.66KVAH</t>
  </si>
  <si>
    <t>07.70KVARH</t>
  </si>
  <si>
    <t xml:space="preserve">  15:00:01</t>
  </si>
  <si>
    <t xml:space="preserve">  13.67KWH</t>
  </si>
  <si>
    <t xml:space="preserve"> 15.70KVAH</t>
  </si>
  <si>
    <t>07.71KVARH</t>
  </si>
  <si>
    <t xml:space="preserve">  15:00:03</t>
  </si>
  <si>
    <t xml:space="preserve">  13.70KWH</t>
  </si>
  <si>
    <t xml:space="preserve"> 15.73KVAH</t>
  </si>
  <si>
    <t>07.73KVARH</t>
  </si>
  <si>
    <t xml:space="preserve">  15:00:05</t>
  </si>
  <si>
    <t xml:space="preserve">    97.89A</t>
  </si>
  <si>
    <t xml:space="preserve">  13.73KWH</t>
  </si>
  <si>
    <t xml:space="preserve"> 15.76KVAH</t>
  </si>
  <si>
    <t>07.75KVARH</t>
  </si>
  <si>
    <t xml:space="preserve">  15:00:07</t>
  </si>
  <si>
    <t xml:space="preserve">  13.75KWH</t>
  </si>
  <si>
    <t xml:space="preserve"> 15.79KVAH</t>
  </si>
  <si>
    <t>07.76KVARH</t>
  </si>
  <si>
    <t xml:space="preserve">  15:00:09</t>
  </si>
  <si>
    <t xml:space="preserve">  13.78KWH</t>
  </si>
  <si>
    <t xml:space="preserve"> 15.83KVAH</t>
  </si>
  <si>
    <t>07.78KVARH</t>
  </si>
  <si>
    <t xml:space="preserve">  15:00:11</t>
  </si>
  <si>
    <t xml:space="preserve">  13.81KWH</t>
  </si>
  <si>
    <t xml:space="preserve"> 15.86KVAH</t>
  </si>
  <si>
    <t>07.80KVARH</t>
  </si>
  <si>
    <t xml:space="preserve">  15:00:13</t>
  </si>
  <si>
    <t xml:space="preserve">    97.35A</t>
  </si>
  <si>
    <t xml:space="preserve">  13.84KWH</t>
  </si>
  <si>
    <t xml:space="preserve"> 15.89KVAH</t>
  </si>
  <si>
    <t>07.81KVARH</t>
  </si>
  <si>
    <t xml:space="preserve">  15:00:15</t>
  </si>
  <si>
    <t xml:space="preserve">    370.5V</t>
  </si>
  <si>
    <t xml:space="preserve">  13.87KWH</t>
  </si>
  <si>
    <t xml:space="preserve"> 15.93KVAH</t>
  </si>
  <si>
    <t>07.83KVARH</t>
  </si>
  <si>
    <t xml:space="preserve">  15:00:17</t>
  </si>
  <si>
    <t xml:space="preserve">  13.90KWH</t>
  </si>
  <si>
    <t xml:space="preserve"> 15.96KVAH</t>
  </si>
  <si>
    <t>07.85KVARH</t>
  </si>
  <si>
    <t xml:space="preserve">  15:00:19</t>
  </si>
  <si>
    <t xml:space="preserve">  13.93KWH</t>
  </si>
  <si>
    <t xml:space="preserve"> 15.99KVAH</t>
  </si>
  <si>
    <t>07.86KVARH</t>
  </si>
  <si>
    <t xml:space="preserve">  15:00:21</t>
  </si>
  <si>
    <t xml:space="preserve">  13.96KWH</t>
  </si>
  <si>
    <t xml:space="preserve"> 16.03KVAH</t>
  </si>
  <si>
    <t>07.88KVARH</t>
  </si>
  <si>
    <t xml:space="preserve">  15:00:23</t>
  </si>
  <si>
    <t xml:space="preserve">  13.98KWH</t>
  </si>
  <si>
    <t xml:space="preserve"> 16.06KVAH</t>
  </si>
  <si>
    <t>07.90KVARH</t>
  </si>
  <si>
    <t xml:space="preserve">  15:00:25</t>
  </si>
  <si>
    <t xml:space="preserve">  14.01KWH</t>
  </si>
  <si>
    <t xml:space="preserve"> 16.09KVAH</t>
  </si>
  <si>
    <t>07.91KVARH</t>
  </si>
  <si>
    <t xml:space="preserve">  15:00:27</t>
  </si>
  <si>
    <t xml:space="preserve">  14.04KWH</t>
  </si>
  <si>
    <t xml:space="preserve"> 16.13KVAH</t>
  </si>
  <si>
    <t>07.93KVARH</t>
  </si>
  <si>
    <t xml:space="preserve">  15:00:29</t>
  </si>
  <si>
    <t xml:space="preserve">  14.07KWH</t>
  </si>
  <si>
    <t xml:space="preserve"> 16.16KVAH</t>
  </si>
  <si>
    <t>07.95KVARH</t>
  </si>
  <si>
    <t xml:space="preserve">  15:00:31</t>
  </si>
  <si>
    <t xml:space="preserve">  14.10KWH</t>
  </si>
  <si>
    <t xml:space="preserve"> 16.19KVAH</t>
  </si>
  <si>
    <t>07.96KVARH</t>
  </si>
  <si>
    <t xml:space="preserve">  15:00:33</t>
  </si>
  <si>
    <t xml:space="preserve">  14.13KWH</t>
  </si>
  <si>
    <t xml:space="preserve"> 16.22KVAH</t>
  </si>
  <si>
    <t>07.98KVARH</t>
  </si>
  <si>
    <t xml:space="preserve">  15:00:35</t>
  </si>
  <si>
    <t xml:space="preserve">  14.16KWH</t>
  </si>
  <si>
    <t xml:space="preserve"> 16.26KVAH</t>
  </si>
  <si>
    <t>08.00KVARH</t>
  </si>
  <si>
    <t xml:space="preserve">  15:00:37</t>
  </si>
  <si>
    <t xml:space="preserve">  14.18KWH</t>
  </si>
  <si>
    <t xml:space="preserve"> 16.29KVAH</t>
  </si>
  <si>
    <t>08.01KVARH</t>
  </si>
  <si>
    <t xml:space="preserve">  15:00:39</t>
  </si>
  <si>
    <t xml:space="preserve">    370.9V</t>
  </si>
  <si>
    <t xml:space="preserve">  14.21KWH</t>
  </si>
  <si>
    <t xml:space="preserve"> 16.32KVAH</t>
  </si>
  <si>
    <t>08.03KVARH</t>
  </si>
  <si>
    <t xml:space="preserve">  15:00:41</t>
  </si>
  <si>
    <t xml:space="preserve">  14.24KWH</t>
  </si>
  <si>
    <t xml:space="preserve"> 16.36KVAH</t>
  </si>
  <si>
    <t>08.05KVARH</t>
  </si>
  <si>
    <t xml:space="preserve">  15:00:43</t>
  </si>
  <si>
    <t xml:space="preserve">  14.27KWH</t>
  </si>
  <si>
    <t xml:space="preserve"> 16.39KVAH</t>
  </si>
  <si>
    <t>08.06KVARH</t>
  </si>
  <si>
    <t xml:space="preserve">  15:00:45</t>
  </si>
  <si>
    <t xml:space="preserve">  14.30KWH</t>
  </si>
  <si>
    <t xml:space="preserve"> 16.42KVAH</t>
  </si>
  <si>
    <t>08.08KVARH</t>
  </si>
  <si>
    <t xml:space="preserve">  15:00:47</t>
  </si>
  <si>
    <t xml:space="preserve">  14.33KWH</t>
  </si>
  <si>
    <t xml:space="preserve"> 16.45KVAH</t>
  </si>
  <si>
    <t>08.09KVARH</t>
  </si>
  <si>
    <t xml:space="preserve">  15:00:49</t>
  </si>
  <si>
    <t xml:space="preserve">  14.35KWH</t>
  </si>
  <si>
    <t xml:space="preserve"> 16.49KVAH</t>
  </si>
  <si>
    <t>08.11KVARH</t>
  </si>
  <si>
    <t xml:space="preserve">  15:00:51</t>
  </si>
  <si>
    <t xml:space="preserve">    370.4V</t>
  </si>
  <si>
    <t xml:space="preserve">  14.38KWH</t>
  </si>
  <si>
    <t xml:space="preserve"> 16.52KVAH</t>
  </si>
  <si>
    <t>08.13KVARH</t>
  </si>
  <si>
    <t xml:space="preserve">  15:00:53</t>
  </si>
  <si>
    <t xml:space="preserve">    371.1V</t>
  </si>
  <si>
    <t xml:space="preserve">  14.41KWH</t>
  </si>
  <si>
    <t xml:space="preserve"> 16.55KVAH</t>
  </si>
  <si>
    <t>08.14KVARH</t>
  </si>
  <si>
    <t xml:space="preserve">  15:00:55</t>
  </si>
  <si>
    <t xml:space="preserve">  14.44KWH</t>
  </si>
  <si>
    <t xml:space="preserve"> 16.59KVAH</t>
  </si>
  <si>
    <t>08.16KVARH</t>
  </si>
  <si>
    <t xml:space="preserve">  15:00:57</t>
  </si>
  <si>
    <t xml:space="preserve">  14.47KWH</t>
  </si>
  <si>
    <t xml:space="preserve"> 16.62KVAH</t>
  </si>
  <si>
    <t>08.18KVARH</t>
  </si>
  <si>
    <t xml:space="preserve">  15:00:59</t>
  </si>
  <si>
    <t xml:space="preserve">  14.49KWH</t>
  </si>
  <si>
    <t xml:space="preserve"> 16.65KVAH</t>
  </si>
  <si>
    <t>08.19KVARH</t>
  </si>
  <si>
    <t xml:space="preserve">  15:01:01</t>
  </si>
  <si>
    <t xml:space="preserve">  14.52KWH</t>
  </si>
  <si>
    <t xml:space="preserve"> 16.68KVAH</t>
  </si>
  <si>
    <t>08.21KVARH</t>
  </si>
  <si>
    <t xml:space="preserve">  15:01:03</t>
  </si>
  <si>
    <t xml:space="preserve">  14.55KWH</t>
  </si>
  <si>
    <t xml:space="preserve"> 16.72KVAH</t>
  </si>
  <si>
    <t>08.23KVARH</t>
  </si>
  <si>
    <t xml:space="preserve">  15:01:05</t>
  </si>
  <si>
    <t xml:space="preserve">  14.58KWH</t>
  </si>
  <si>
    <t xml:space="preserve"> 16.75KVAH</t>
  </si>
  <si>
    <t>08.24KVARH</t>
  </si>
  <si>
    <t xml:space="preserve">  15:01:07</t>
  </si>
  <si>
    <t xml:space="preserve">    370.7V</t>
  </si>
  <si>
    <t xml:space="preserve">  14.61KWH</t>
  </si>
  <si>
    <t xml:space="preserve"> 16.78KVAH</t>
  </si>
  <si>
    <t>08.26KVARH</t>
  </si>
  <si>
    <t xml:space="preserve">  15:01:09</t>
  </si>
  <si>
    <t xml:space="preserve">    371.3V</t>
  </si>
  <si>
    <t xml:space="preserve">  14.64KWH</t>
  </si>
  <si>
    <t xml:space="preserve"> 16.81KVAH</t>
  </si>
  <si>
    <t>08.28KVARH</t>
  </si>
  <si>
    <t xml:space="preserve">  15:01:11</t>
  </si>
  <si>
    <t xml:space="preserve">  14.66KWH</t>
  </si>
  <si>
    <t xml:space="preserve"> 16.85KVAH</t>
  </si>
  <si>
    <t>08.29KVARH</t>
  </si>
  <si>
    <t xml:space="preserve">  15:01:13</t>
  </si>
  <si>
    <t xml:space="preserve">    370.1V</t>
  </si>
  <si>
    <t xml:space="preserve">  14.69KWH</t>
  </si>
  <si>
    <t xml:space="preserve"> 16.88KVAH</t>
  </si>
  <si>
    <t>08.31KVARH</t>
  </si>
  <si>
    <t xml:space="preserve">  15:01:15</t>
  </si>
  <si>
    <t xml:space="preserve">  14.72KWH</t>
  </si>
  <si>
    <t xml:space="preserve"> 16.91KVAH</t>
  </si>
  <si>
    <t>08.33KVARH</t>
  </si>
  <si>
    <t xml:space="preserve">  15:01:17</t>
  </si>
  <si>
    <t xml:space="preserve">  14.75KWH</t>
  </si>
  <si>
    <t xml:space="preserve"> 16.94KVAH</t>
  </si>
  <si>
    <t>08.34KVARH</t>
  </si>
  <si>
    <t xml:space="preserve">  15:01:19</t>
  </si>
  <si>
    <t xml:space="preserve">  14.78KWH</t>
  </si>
  <si>
    <t xml:space="preserve"> 16.98KVAH</t>
  </si>
  <si>
    <t>08.36KVARH</t>
  </si>
  <si>
    <t xml:space="preserve">  15:01:21</t>
  </si>
  <si>
    <t xml:space="preserve">    371.0V</t>
  </si>
  <si>
    <t xml:space="preserve">    85.71A</t>
  </si>
  <si>
    <t xml:space="preserve">  14.80KWH</t>
  </si>
  <si>
    <t xml:space="preserve"> 17.01KVAH</t>
  </si>
  <si>
    <t>08.38KVARH</t>
  </si>
  <si>
    <t xml:space="preserve">  15:01:23</t>
  </si>
  <si>
    <t xml:space="preserve">    93.30A</t>
  </si>
  <si>
    <t xml:space="preserve">  14.83KWH</t>
  </si>
  <si>
    <t xml:space="preserve"> 17.04KVAH</t>
  </si>
  <si>
    <t>08.39KVARH</t>
  </si>
  <si>
    <t xml:space="preserve">  15:01:25</t>
  </si>
  <si>
    <t xml:space="preserve">  14.86KWH</t>
  </si>
  <si>
    <t xml:space="preserve"> 17.07KVAH</t>
  </si>
  <si>
    <t>08.41KVARH</t>
  </si>
  <si>
    <t xml:space="preserve">  15:01:27</t>
  </si>
  <si>
    <t xml:space="preserve">    93.45A</t>
  </si>
  <si>
    <t xml:space="preserve">    85.50A</t>
  </si>
  <si>
    <t xml:space="preserve">  14.89KWH</t>
  </si>
  <si>
    <t xml:space="preserve"> 17.11KVAH</t>
  </si>
  <si>
    <t>08.42KVARH</t>
  </si>
  <si>
    <t xml:space="preserve">  15:01:29</t>
  </si>
  <si>
    <t xml:space="preserve">    93.12A</t>
  </si>
  <si>
    <t xml:space="preserve">  14.92KWH</t>
  </si>
  <si>
    <t xml:space="preserve"> 17.14KVAH</t>
  </si>
  <si>
    <t>08.44KVARH</t>
  </si>
  <si>
    <t xml:space="preserve">  15:01:31</t>
  </si>
  <si>
    <t xml:space="preserve">    371.8V</t>
  </si>
  <si>
    <t xml:space="preserve">  14.94KWH</t>
  </si>
  <si>
    <t xml:space="preserve"> 17.17KVAH</t>
  </si>
  <si>
    <t>08.46KVARH</t>
  </si>
  <si>
    <t xml:space="preserve">  15:01:33</t>
  </si>
  <si>
    <t xml:space="preserve">    85.14A</t>
  </si>
  <si>
    <t xml:space="preserve">    94.71A</t>
  </si>
  <si>
    <t xml:space="preserve">  14.97KWH</t>
  </si>
  <si>
    <t xml:space="preserve"> 17.20KVAH</t>
  </si>
  <si>
    <t>08.47KVARH</t>
  </si>
  <si>
    <t xml:space="preserve">  15:01:35</t>
  </si>
  <si>
    <t xml:space="preserve">    101.7A</t>
  </si>
  <si>
    <t xml:space="preserve">    134.3A</t>
  </si>
  <si>
    <t xml:space="preserve">    148.1A</t>
  </si>
  <si>
    <t xml:space="preserve">   71.58KW</t>
  </si>
  <si>
    <t xml:space="preserve">  80.22KVA</t>
  </si>
  <si>
    <t>-36.27KVAR</t>
  </si>
  <si>
    <t xml:space="preserve">  15.01KWH</t>
  </si>
  <si>
    <t xml:space="preserve"> 17.25KVAH</t>
  </si>
  <si>
    <t>08.49KVARH</t>
  </si>
  <si>
    <t xml:space="preserve">  15:01:37</t>
  </si>
  <si>
    <t xml:space="preserve">    146.4A</t>
  </si>
  <si>
    <t xml:space="preserve">    136.5A</t>
  </si>
  <si>
    <t xml:space="preserve">    149.4A</t>
  </si>
  <si>
    <t xml:space="preserve">   81.33KW</t>
  </si>
  <si>
    <t xml:space="preserve">  90.63KVA</t>
  </si>
  <si>
    <t xml:space="preserve">  15.06KWH</t>
  </si>
  <si>
    <t xml:space="preserve"> 17.30KVAH</t>
  </si>
  <si>
    <t>08.52KVARH</t>
  </si>
  <si>
    <t xml:space="preserve">  15:01:39</t>
  </si>
  <si>
    <t xml:space="preserve">    148.0A</t>
  </si>
  <si>
    <t xml:space="preserve">    137.9A</t>
  </si>
  <si>
    <t xml:space="preserve">   82.59KW</t>
  </si>
  <si>
    <t xml:space="preserve">  92.01KVA</t>
  </si>
  <si>
    <t>-40.62KVAR</t>
  </si>
  <si>
    <t xml:space="preserve">  15.10KWH</t>
  </si>
  <si>
    <t xml:space="preserve"> 17.35KVAH</t>
  </si>
  <si>
    <t>08.54KVARH</t>
  </si>
  <si>
    <t xml:space="preserve">  15:01:41</t>
  </si>
  <si>
    <t xml:space="preserve">    363.7V</t>
  </si>
  <si>
    <t xml:space="preserve">    138.7A</t>
  </si>
  <si>
    <t xml:space="preserve">    143.2A</t>
  </si>
  <si>
    <t xml:space="preserve">   81.36KW</t>
  </si>
  <si>
    <t xml:space="preserve">  90.84KVA</t>
  </si>
  <si>
    <t xml:space="preserve">  15.15KWH</t>
  </si>
  <si>
    <t xml:space="preserve"> 17.40KVAH</t>
  </si>
  <si>
    <t>08.56KVARH</t>
  </si>
  <si>
    <t xml:space="preserve">  15:01:43</t>
  </si>
  <si>
    <t xml:space="preserve">    102.6A</t>
  </si>
  <si>
    <t xml:space="preserve">   54.03KW</t>
  </si>
  <si>
    <t xml:space="preserve">  62.22KVA</t>
  </si>
  <si>
    <t>-30.87KVAR</t>
  </si>
  <si>
    <t xml:space="preserve">  15.18KWH</t>
  </si>
  <si>
    <t xml:space="preserve"> 17.43KVAH</t>
  </si>
  <si>
    <t>08.58KVARH</t>
  </si>
  <si>
    <t xml:space="preserve">  15:01:45</t>
  </si>
  <si>
    <t xml:space="preserve">   52.98KW</t>
  </si>
  <si>
    <t xml:space="preserve">  60.99KVA</t>
  </si>
  <si>
    <t>-30.24KVAR</t>
  </si>
  <si>
    <t xml:space="preserve">  15.21KWH</t>
  </si>
  <si>
    <t xml:space="preserve"> 17.47KVAH</t>
  </si>
  <si>
    <t>08.60KVARH</t>
  </si>
  <si>
    <t xml:space="preserve">  15:01:47</t>
  </si>
  <si>
    <t xml:space="preserve">    89.94A</t>
  </si>
  <si>
    <t xml:space="preserve">    99.60A</t>
  </si>
  <si>
    <t>-30.21KVAR</t>
  </si>
  <si>
    <t xml:space="preserve">  15.24KWH</t>
  </si>
  <si>
    <t xml:space="preserve"> 17.50KVAH</t>
  </si>
  <si>
    <t>08.61KVARH</t>
  </si>
  <si>
    <t xml:space="preserve">  15:01:49</t>
  </si>
  <si>
    <t xml:space="preserve">  15.27KWH</t>
  </si>
  <si>
    <t xml:space="preserve"> 17.54KVAH</t>
  </si>
  <si>
    <t>08.63KVARH</t>
  </si>
  <si>
    <t xml:space="preserve">  15:01:51</t>
  </si>
  <si>
    <t>-30.27KVAR</t>
  </si>
  <si>
    <t xml:space="preserve">  15.29KWH</t>
  </si>
  <si>
    <t xml:space="preserve"> 17.57KVAH</t>
  </si>
  <si>
    <t>08.65KVARH</t>
  </si>
  <si>
    <t xml:space="preserve">  15:01:53</t>
  </si>
  <si>
    <t xml:space="preserve">  15.32KWH</t>
  </si>
  <si>
    <t xml:space="preserve"> 17.60KVAH</t>
  </si>
  <si>
    <t>08.66KVARH</t>
  </si>
  <si>
    <t xml:space="preserve">  15:01:55</t>
  </si>
  <si>
    <t xml:space="preserve">    370.8V</t>
  </si>
  <si>
    <t xml:space="preserve">  15.35KWH</t>
  </si>
  <si>
    <t xml:space="preserve"> 17.64KVAH</t>
  </si>
  <si>
    <t>08.68KVARH</t>
  </si>
  <si>
    <t xml:space="preserve">  15:01:57</t>
  </si>
  <si>
    <t xml:space="preserve">  15.38KWH</t>
  </si>
  <si>
    <t xml:space="preserve"> 17.67KVAH</t>
  </si>
  <si>
    <t>08.70KVARH</t>
  </si>
  <si>
    <t xml:space="preserve">  15:01:59</t>
  </si>
  <si>
    <t>-30.36KVAR</t>
  </si>
  <si>
    <t xml:space="preserve">  15.41KWH</t>
  </si>
  <si>
    <t xml:space="preserve"> 17.70KVAH</t>
  </si>
  <si>
    <t>08.71KVARH</t>
  </si>
  <si>
    <t xml:space="preserve">  15:02:01</t>
  </si>
  <si>
    <t xml:space="preserve">  15.44KWH</t>
  </si>
  <si>
    <t xml:space="preserve"> 17.74KVAH</t>
  </si>
  <si>
    <t>08.73KVARH</t>
  </si>
  <si>
    <t xml:space="preserve">  15:02:03</t>
  </si>
  <si>
    <t xml:space="preserve">  15.47KWH</t>
  </si>
  <si>
    <t xml:space="preserve"> 17.77KVAH</t>
  </si>
  <si>
    <t>08.75KVARH</t>
  </si>
  <si>
    <t xml:space="preserve">  15:02:05</t>
  </si>
  <si>
    <t xml:space="preserve">    371.4V</t>
  </si>
  <si>
    <t xml:space="preserve">  15.50KWH</t>
  </si>
  <si>
    <t xml:space="preserve"> 17.81KVAH</t>
  </si>
  <si>
    <t>08.76KVARH</t>
  </si>
  <si>
    <t xml:space="preserve">  15:02:07</t>
  </si>
  <si>
    <t xml:space="preserve">  15.53KWH</t>
  </si>
  <si>
    <t xml:space="preserve"> 17.84KVAH</t>
  </si>
  <si>
    <t>08.78KVARH</t>
  </si>
  <si>
    <t xml:space="preserve">  15:02:09</t>
  </si>
  <si>
    <t xml:space="preserve">  15.56KWH</t>
  </si>
  <si>
    <t xml:space="preserve"> 17.87KVAH</t>
  </si>
  <si>
    <t>08.80KVARH</t>
  </si>
  <si>
    <t xml:space="preserve">  15:02:11</t>
  </si>
  <si>
    <t xml:space="preserve">  15.59KWH</t>
  </si>
  <si>
    <t xml:space="preserve"> 17.91KVAH</t>
  </si>
  <si>
    <t>08.81KVARH</t>
  </si>
  <si>
    <t xml:space="preserve">  15:02:13</t>
  </si>
  <si>
    <t xml:space="preserve">  15.62KWH</t>
  </si>
  <si>
    <t xml:space="preserve"> 17.94KVAH</t>
  </si>
  <si>
    <t>08.83KVARH</t>
  </si>
  <si>
    <t xml:space="preserve">  15:02:15</t>
  </si>
  <si>
    <t xml:space="preserve">    371.6V</t>
  </si>
  <si>
    <t xml:space="preserve">  15.64KWH</t>
  </si>
  <si>
    <t xml:space="preserve"> 17.97KVAH</t>
  </si>
  <si>
    <t>08.85KVARH</t>
  </si>
  <si>
    <t xml:space="preserve">  15:02:17</t>
  </si>
  <si>
    <t xml:space="preserve">  15.67KWH</t>
  </si>
  <si>
    <t xml:space="preserve"> 18.01KVAH</t>
  </si>
  <si>
    <t>08.86KVARH</t>
  </si>
  <si>
    <t xml:space="preserve">  15:02:19</t>
  </si>
  <si>
    <t xml:space="preserve">  15.70KWH</t>
  </si>
  <si>
    <t xml:space="preserve"> 18.04KVAH</t>
  </si>
  <si>
    <t>08.88KVARH</t>
  </si>
  <si>
    <t xml:space="preserve">  15:02:21</t>
  </si>
  <si>
    <t xml:space="preserve">  15.73KWH</t>
  </si>
  <si>
    <t xml:space="preserve"> 18.07KVAH</t>
  </si>
  <si>
    <t>08.90KVARH</t>
  </si>
  <si>
    <t xml:space="preserve">  15:02:23</t>
  </si>
  <si>
    <t xml:space="preserve">  15.76KWH</t>
  </si>
  <si>
    <t xml:space="preserve"> 18.11KVAH</t>
  </si>
  <si>
    <t>08.91KVARH</t>
  </si>
  <si>
    <t xml:space="preserve">  15:02:25</t>
  </si>
  <si>
    <t xml:space="preserve">  15.79KWH</t>
  </si>
  <si>
    <t xml:space="preserve"> 18.14KVAH</t>
  </si>
  <si>
    <t>08.93KVARH</t>
  </si>
  <si>
    <t xml:space="preserve">  15:02:27</t>
  </si>
  <si>
    <t xml:space="preserve">  15.82KWH</t>
  </si>
  <si>
    <t xml:space="preserve"> 18.17KVAH</t>
  </si>
  <si>
    <t>08.95KVARH</t>
  </si>
  <si>
    <t xml:space="preserve">  15:02:29</t>
  </si>
  <si>
    <t xml:space="preserve">  15.85KWH</t>
  </si>
  <si>
    <t xml:space="preserve"> 18.21KVAH</t>
  </si>
  <si>
    <t>08.96KVARH</t>
  </si>
  <si>
    <t xml:space="preserve">  15:02:31</t>
  </si>
  <si>
    <t xml:space="preserve">  15.88KWH</t>
  </si>
  <si>
    <t xml:space="preserve"> 18.24KVAH</t>
  </si>
  <si>
    <t>08.98KVARH</t>
  </si>
  <si>
    <t xml:space="preserve">  15:02:33</t>
  </si>
  <si>
    <t xml:space="preserve">  15.90KWH</t>
  </si>
  <si>
    <t xml:space="preserve"> 18.27KVAH</t>
  </si>
  <si>
    <t>09.00KVARH</t>
  </si>
  <si>
    <t xml:space="preserve">  15:02:35</t>
  </si>
  <si>
    <t xml:space="preserve">  15.93KWH</t>
  </si>
  <si>
    <t xml:space="preserve"> 18.31KVAH</t>
  </si>
  <si>
    <t>09.01KVARH</t>
  </si>
  <si>
    <t xml:space="preserve">  15:02:37</t>
  </si>
  <si>
    <t xml:space="preserve">  15.96KWH</t>
  </si>
  <si>
    <t xml:space="preserve"> 18.34KVAH</t>
  </si>
  <si>
    <t>09.03KVARH</t>
  </si>
  <si>
    <t xml:space="preserve">  15:02:39</t>
  </si>
  <si>
    <t xml:space="preserve">  15.99KWH</t>
  </si>
  <si>
    <t xml:space="preserve"> 18.37KVAH</t>
  </si>
  <si>
    <t>09.05KVARH</t>
  </si>
  <si>
    <t xml:space="preserve">  15:02:41</t>
  </si>
  <si>
    <t xml:space="preserve">  16.02KWH</t>
  </si>
  <si>
    <t xml:space="preserve"> 18.41KVAH</t>
  </si>
  <si>
    <t>09.06KVARH</t>
  </si>
  <si>
    <t xml:space="preserve">  15:02:43</t>
  </si>
  <si>
    <t xml:space="preserve">  16.05KWH</t>
  </si>
  <si>
    <t xml:space="preserve"> 18.44KVAH</t>
  </si>
  <si>
    <t>09.08KVARH</t>
  </si>
  <si>
    <t xml:space="preserve">  15:02:45</t>
  </si>
  <si>
    <t xml:space="preserve">    87.90A</t>
  </si>
  <si>
    <t xml:space="preserve">  16.08KWH</t>
  </si>
  <si>
    <t xml:space="preserve"> 18.47KVAH</t>
  </si>
  <si>
    <t>09.10KVARH</t>
  </si>
  <si>
    <t xml:space="preserve">  15:02:47</t>
  </si>
  <si>
    <t xml:space="preserve">  16.11KWH</t>
  </si>
  <si>
    <t xml:space="preserve"> 18.51KVAH</t>
  </si>
  <si>
    <t>09.11KVARH</t>
  </si>
  <si>
    <t xml:space="preserve">  15:02:49</t>
  </si>
  <si>
    <t xml:space="preserve">  16.13KWH</t>
  </si>
  <si>
    <t xml:space="preserve"> 18.54KVAH</t>
  </si>
  <si>
    <t>09.13KVARH</t>
  </si>
  <si>
    <t xml:space="preserve">  15:02:51</t>
  </si>
  <si>
    <t xml:space="preserve">  16.16KWH</t>
  </si>
  <si>
    <t xml:space="preserve"> 18.57KVAH</t>
  </si>
  <si>
    <t>09.15KVARH</t>
  </si>
  <si>
    <t xml:space="preserve">  15:02:53</t>
  </si>
  <si>
    <t xml:space="preserve">  16.19KWH</t>
  </si>
  <si>
    <t xml:space="preserve"> 18.61KVAH</t>
  </si>
  <si>
    <t>09.16KVARH</t>
  </si>
  <si>
    <t xml:space="preserve">  15:02:55</t>
  </si>
  <si>
    <t xml:space="preserve">  16.22KWH</t>
  </si>
  <si>
    <t xml:space="preserve"> 18.64KVAH</t>
  </si>
  <si>
    <t>09.18KVARH</t>
  </si>
  <si>
    <t xml:space="preserve">  15:02:57</t>
  </si>
  <si>
    <t xml:space="preserve">  16.25KWH</t>
  </si>
  <si>
    <t xml:space="preserve"> 18.67KVAH</t>
  </si>
  <si>
    <t>09.20KVARH</t>
  </si>
  <si>
    <t xml:space="preserve">  15:02:59</t>
  </si>
  <si>
    <t xml:space="preserve">  16.28KWH</t>
  </si>
  <si>
    <t xml:space="preserve"> 18.70KVAH</t>
  </si>
  <si>
    <t>09.21KVARH</t>
  </si>
  <si>
    <t xml:space="preserve">  15:03:01</t>
  </si>
  <si>
    <t xml:space="preserve">    371.2V</t>
  </si>
  <si>
    <t xml:space="preserve">  16.30KWH</t>
  </si>
  <si>
    <t xml:space="preserve"> 18.74KVAH</t>
  </si>
  <si>
    <t>09.23KVARH</t>
  </si>
  <si>
    <t xml:space="preserve">  15:03:03</t>
  </si>
  <si>
    <t xml:space="preserve">  16.33KWH</t>
  </si>
  <si>
    <t xml:space="preserve"> 18.77KVAH</t>
  </si>
  <si>
    <t>09.25KVARH</t>
  </si>
  <si>
    <t xml:space="preserve">  15:03:05</t>
  </si>
  <si>
    <t xml:space="preserve">  16.36KWH</t>
  </si>
  <si>
    <t xml:space="preserve"> 18.80KVAH</t>
  </si>
  <si>
    <t>09.26KVARH</t>
  </si>
  <si>
    <t xml:space="preserve">  15:03:07</t>
  </si>
  <si>
    <t xml:space="preserve">  16.39KWH</t>
  </si>
  <si>
    <t xml:space="preserve"> 18.84KVAH</t>
  </si>
  <si>
    <t>09.28KVARH</t>
  </si>
  <si>
    <t xml:space="preserve">  15:03:09</t>
  </si>
  <si>
    <t xml:space="preserve">  16.42KWH</t>
  </si>
  <si>
    <t xml:space="preserve"> 18.87KVAH</t>
  </si>
  <si>
    <t>09.30KVARH</t>
  </si>
  <si>
    <t xml:space="preserve">  15:03:11</t>
  </si>
  <si>
    <t xml:space="preserve">  16.45KWH</t>
  </si>
  <si>
    <t xml:space="preserve"> 18.90KVAH</t>
  </si>
  <si>
    <t>09.31KVARH</t>
  </si>
  <si>
    <t xml:space="preserve">  15:03:13</t>
  </si>
  <si>
    <t xml:space="preserve">  16.48KWH</t>
  </si>
  <si>
    <t xml:space="preserve"> 18.93KVAH</t>
  </si>
  <si>
    <t>09.33KVARH</t>
  </si>
  <si>
    <t xml:space="preserve">  15:03:15</t>
  </si>
  <si>
    <t xml:space="preserve">  16.50KWH</t>
  </si>
  <si>
    <t xml:space="preserve"> 18.97KVAH</t>
  </si>
  <si>
    <t>09.35KVARH</t>
  </si>
  <si>
    <t xml:space="preserve">  15:03:17</t>
  </si>
  <si>
    <t xml:space="preserve">  16.53KWH</t>
  </si>
  <si>
    <t xml:space="preserve"> 19.00KVAH</t>
  </si>
  <si>
    <t>09.36KVARH</t>
  </si>
  <si>
    <t xml:space="preserve">  15:03:19</t>
  </si>
  <si>
    <t xml:space="preserve">  16.56KWH</t>
  </si>
  <si>
    <t xml:space="preserve"> 19.03KVAH</t>
  </si>
  <si>
    <t>09.38KVARH</t>
  </si>
  <si>
    <t xml:space="preserve">  15:03:21</t>
  </si>
  <si>
    <t xml:space="preserve">  16.59KWH</t>
  </si>
  <si>
    <t xml:space="preserve"> 19.07KVAH</t>
  </si>
  <si>
    <t>09.40KVARH</t>
  </si>
  <si>
    <t xml:space="preserve">  15:03:23</t>
  </si>
  <si>
    <t xml:space="preserve">  16.62KWH</t>
  </si>
  <si>
    <t xml:space="preserve"> 19.10KVAH</t>
  </si>
  <si>
    <t>09.41KVARH</t>
  </si>
  <si>
    <t xml:space="preserve">  15:03:25</t>
  </si>
  <si>
    <t xml:space="preserve">  16.64KWH</t>
  </si>
  <si>
    <t xml:space="preserve"> 19.13KVAH</t>
  </si>
  <si>
    <t>09.43KVARH</t>
  </si>
  <si>
    <t xml:space="preserve">  15:03:27</t>
  </si>
  <si>
    <t xml:space="preserve">  16.67KWH</t>
  </si>
  <si>
    <t xml:space="preserve"> 19.16KVAH</t>
  </si>
  <si>
    <t>09.45KVARH</t>
  </si>
  <si>
    <t xml:space="preserve">  15:03:29</t>
  </si>
  <si>
    <t xml:space="preserve">  16.70KWH</t>
  </si>
  <si>
    <t xml:space="preserve"> 19.20KVAH</t>
  </si>
  <si>
    <t>09.46KVARH</t>
  </si>
  <si>
    <t xml:space="preserve">  15:03:31</t>
  </si>
  <si>
    <t xml:space="preserve">  16.73KWH</t>
  </si>
  <si>
    <t xml:space="preserve"> 19.23KVAH</t>
  </si>
  <si>
    <t>09.48KVARH</t>
  </si>
  <si>
    <t xml:space="preserve">  15:03:33</t>
  </si>
  <si>
    <t xml:space="preserve">  16.76KWH</t>
  </si>
  <si>
    <t xml:space="preserve"> 19.26KVAH</t>
  </si>
  <si>
    <t>09.50KVARH</t>
  </si>
  <si>
    <t xml:space="preserve">  15:03:35</t>
  </si>
  <si>
    <t xml:space="preserve">  16.79KWH</t>
  </si>
  <si>
    <t xml:space="preserve"> 19.29KVAH</t>
  </si>
  <si>
    <t>09.51KVARH</t>
  </si>
  <si>
    <t xml:space="preserve">  15:03:37</t>
  </si>
  <si>
    <t xml:space="preserve">  16.81KWH</t>
  </si>
  <si>
    <t xml:space="preserve"> 19.33KVAH</t>
  </si>
  <si>
    <t>09.53KVARH</t>
  </si>
  <si>
    <t xml:space="preserve">  15:03:39</t>
  </si>
  <si>
    <t xml:space="preserve">    373.7V</t>
  </si>
  <si>
    <t xml:space="preserve">  16.84KWH</t>
  </si>
  <si>
    <t xml:space="preserve"> 19.36KVAH</t>
  </si>
  <si>
    <t>09.55KVARH</t>
  </si>
  <si>
    <t xml:space="preserve">  15:03:41</t>
  </si>
  <si>
    <t xml:space="preserve">  16.87KWH</t>
  </si>
  <si>
    <t xml:space="preserve"> 19.39KVAH</t>
  </si>
  <si>
    <t>09.56KVARH</t>
  </si>
  <si>
    <t xml:space="preserve">  15:03:43</t>
  </si>
  <si>
    <t xml:space="preserve">    373.5V</t>
  </si>
  <si>
    <t xml:space="preserve">  16.90KWH</t>
  </si>
  <si>
    <t xml:space="preserve"> 19.42KVAH</t>
  </si>
  <si>
    <t>09.58KVARH</t>
  </si>
  <si>
    <t xml:space="preserve">  15:03:45</t>
  </si>
  <si>
    <t xml:space="preserve">    93.51A</t>
  </si>
  <si>
    <t xml:space="preserve">  16.93KWH</t>
  </si>
  <si>
    <t xml:space="preserve"> 19.46KVAH</t>
  </si>
  <si>
    <t>09.60KVARH</t>
  </si>
  <si>
    <t xml:space="preserve">  15:03:47</t>
  </si>
  <si>
    <t xml:space="preserve">    373.0V</t>
  </si>
  <si>
    <t xml:space="preserve">    93.27A</t>
  </si>
  <si>
    <t xml:space="preserve">  16.95KWH</t>
  </si>
  <si>
    <t xml:space="preserve"> 19.49KVAH</t>
  </si>
  <si>
    <t>09.61KVARH</t>
  </si>
  <si>
    <t xml:space="preserve">  15:03:49</t>
  </si>
  <si>
    <t xml:space="preserve">    373.4V</t>
  </si>
  <si>
    <t xml:space="preserve">  16.98KWH</t>
  </si>
  <si>
    <t xml:space="preserve"> 19.52KVAH</t>
  </si>
  <si>
    <t>09.63KVARH</t>
  </si>
  <si>
    <t xml:space="preserve">  15:03:51</t>
  </si>
  <si>
    <t xml:space="preserve">  17.01KWH</t>
  </si>
  <si>
    <t xml:space="preserve"> 19.55KVAH</t>
  </si>
  <si>
    <t>09.65KVARH</t>
  </si>
  <si>
    <t xml:space="preserve">  15:03:53</t>
  </si>
  <si>
    <t xml:space="preserve">    85.41A</t>
  </si>
  <si>
    <t xml:space="preserve">  17.04KWH</t>
  </si>
  <si>
    <t xml:space="preserve"> 19.59KVAH</t>
  </si>
  <si>
    <t>09.66KVARH</t>
  </si>
  <si>
    <t xml:space="preserve">  15:03:55</t>
  </si>
  <si>
    <t xml:space="preserve">    85.32A</t>
  </si>
  <si>
    <t xml:space="preserve">  17.07KWH</t>
  </si>
  <si>
    <t xml:space="preserve"> 19.62KVAH</t>
  </si>
  <si>
    <t>09.68KVARH</t>
  </si>
  <si>
    <t xml:space="preserve">  15:03:57</t>
  </si>
  <si>
    <t xml:space="preserve">    93.06A</t>
  </si>
  <si>
    <t xml:space="preserve">    85.29A</t>
  </si>
  <si>
    <t xml:space="preserve">  17.09KWH</t>
  </si>
  <si>
    <t xml:space="preserve"> 19.65KVAH</t>
  </si>
  <si>
    <t>09.70KVARH</t>
  </si>
  <si>
    <t xml:space="preserve">  15:03:59</t>
  </si>
  <si>
    <t xml:space="preserve">  17.12KWH</t>
  </si>
  <si>
    <t xml:space="preserve"> 19.69KVAH</t>
  </si>
  <si>
    <t>09.71KVARH</t>
  </si>
  <si>
    <t xml:space="preserve">  15:04:01</t>
  </si>
  <si>
    <t xml:space="preserve">    374.0V</t>
  </si>
  <si>
    <t xml:space="preserve">    85.56A</t>
  </si>
  <si>
    <t xml:space="preserve">  17.15KWH</t>
  </si>
  <si>
    <t xml:space="preserve"> 19.72KVAH</t>
  </si>
  <si>
    <t>09.73KVARH</t>
  </si>
  <si>
    <t xml:space="preserve">  15:04:03</t>
  </si>
  <si>
    <t xml:space="preserve">  17.18KWH</t>
  </si>
  <si>
    <t xml:space="preserve"> 19.75KVAH</t>
  </si>
  <si>
    <t>09.75KVARH</t>
  </si>
  <si>
    <t xml:space="preserve">  15:04:05</t>
  </si>
  <si>
    <t xml:space="preserve">    85.05A</t>
  </si>
  <si>
    <t xml:space="preserve">  17.21KWH</t>
  </si>
  <si>
    <t xml:space="preserve"> 19.78KVAH</t>
  </si>
  <si>
    <t>09.76KVARH</t>
  </si>
  <si>
    <t xml:space="preserve">  15:04:07</t>
  </si>
  <si>
    <t xml:space="preserve">    373.2V</t>
  </si>
  <si>
    <t xml:space="preserve">    92.82A</t>
  </si>
  <si>
    <t xml:space="preserve">    85.20A</t>
  </si>
  <si>
    <t xml:space="preserve">    94.47A</t>
  </si>
  <si>
    <t xml:space="preserve">  17.23KWH</t>
  </si>
  <si>
    <t xml:space="preserve"> 19.82KVAH</t>
  </si>
  <si>
    <t>09.78KVARH</t>
  </si>
  <si>
    <t xml:space="preserve">  15:04:09</t>
  </si>
  <si>
    <t xml:space="preserve">    93.00A</t>
  </si>
  <si>
    <t xml:space="preserve">    85.26A</t>
  </si>
  <si>
    <t xml:space="preserve">  17.26KWH</t>
  </si>
  <si>
    <t xml:space="preserve"> 19.85KVAH</t>
  </si>
  <si>
    <t>09.80KVARH</t>
  </si>
  <si>
    <t xml:space="preserve">  15:04:11</t>
  </si>
  <si>
    <t xml:space="preserve">    93.09A</t>
  </si>
  <si>
    <t xml:space="preserve">  17.29KWH</t>
  </si>
  <si>
    <t xml:space="preserve"> 19.88KVAH</t>
  </si>
  <si>
    <t>09.81KVARH</t>
  </si>
  <si>
    <t xml:space="preserve">  15:04:13</t>
  </si>
  <si>
    <t xml:space="preserve">    93.33A</t>
  </si>
  <si>
    <t xml:space="preserve">    85.23A</t>
  </si>
  <si>
    <t xml:space="preserve">  17.32KWH</t>
  </si>
  <si>
    <t xml:space="preserve"> 19.91KVAH</t>
  </si>
  <si>
    <t>09.83KVARH</t>
  </si>
  <si>
    <t xml:space="preserve">  15:04:15</t>
  </si>
  <si>
    <t xml:space="preserve">    373.9V</t>
  </si>
  <si>
    <t xml:space="preserve">    93.03A</t>
  </si>
  <si>
    <t xml:space="preserve">  17.35KWH</t>
  </si>
  <si>
    <t xml:space="preserve"> 19.95KVAH</t>
  </si>
  <si>
    <t>09.85KVARH</t>
  </si>
  <si>
    <t xml:space="preserve">  15:04:17</t>
  </si>
  <si>
    <t xml:space="preserve">    373.3V</t>
  </si>
  <si>
    <t xml:space="preserve">    92.94A</t>
  </si>
  <si>
    <t xml:space="preserve">    115.3A</t>
  </si>
  <si>
    <t xml:space="preserve">   54.18KW</t>
  </si>
  <si>
    <t xml:space="preserve">  62.82KVA</t>
  </si>
  <si>
    <t>-31.80KVAR</t>
  </si>
  <si>
    <t xml:space="preserve">  17.38KWH</t>
  </si>
  <si>
    <t xml:space="preserve"> 19.98KVAH</t>
  </si>
  <si>
    <t>09.86KVARH</t>
  </si>
  <si>
    <t xml:space="preserve">  15:04:19</t>
  </si>
  <si>
    <t xml:space="preserve">    145.2A</t>
  </si>
  <si>
    <t xml:space="preserve">  91.11KVA</t>
  </si>
  <si>
    <t xml:space="preserve">  17.42KWH</t>
  </si>
  <si>
    <t xml:space="preserve"> 20.03KVAH</t>
  </si>
  <si>
    <t>09.89KVARH</t>
  </si>
  <si>
    <t xml:space="preserve">  15:04:21</t>
  </si>
  <si>
    <t xml:space="preserve">   82.80KW</t>
  </si>
  <si>
    <t>-40.89KVAR</t>
  </si>
  <si>
    <t xml:space="preserve">  17.47KWH</t>
  </si>
  <si>
    <t xml:space="preserve"> 20.08KVAH</t>
  </si>
  <si>
    <t>09.91KVARH</t>
  </si>
  <si>
    <t xml:space="preserve">  15:04:23</t>
  </si>
  <si>
    <t xml:space="preserve">  92.76KVA</t>
  </si>
  <si>
    <t>-41.07KVAR</t>
  </si>
  <si>
    <t xml:space="preserve">  17.51KWH</t>
  </si>
  <si>
    <t xml:space="preserve"> 20.13KVAH</t>
  </si>
  <si>
    <t>09.93KVARH</t>
  </si>
  <si>
    <t xml:space="preserve">  15:04:25</t>
  </si>
  <si>
    <t xml:space="preserve">    372.3V</t>
  </si>
  <si>
    <t xml:space="preserve">  61.26KVA</t>
  </si>
  <si>
    <t>-30.60KVAR</t>
  </si>
  <si>
    <t xml:space="preserve">  17.54KWH</t>
  </si>
  <si>
    <t xml:space="preserve"> 20.17KVAH</t>
  </si>
  <si>
    <t>09.95KVARH</t>
  </si>
  <si>
    <t xml:space="preserve">  15:04:27</t>
  </si>
  <si>
    <t xml:space="preserve">    372.8V</t>
  </si>
  <si>
    <t xml:space="preserve">  61.11KVA</t>
  </si>
  <si>
    <t>-30.72KVAR</t>
  </si>
  <si>
    <t xml:space="preserve">  17.57KWH</t>
  </si>
  <si>
    <t xml:space="preserve"> 20.20KVAH</t>
  </si>
  <si>
    <t>09.97KVARH</t>
  </si>
  <si>
    <t xml:space="preserve">  15:04:29</t>
  </si>
  <si>
    <t xml:space="preserve">  17.60KWH</t>
  </si>
  <si>
    <t xml:space="preserve"> 20.24KVAH</t>
  </si>
  <si>
    <t>09.98KVARH</t>
  </si>
  <si>
    <t xml:space="preserve">  15:04:31</t>
  </si>
  <si>
    <t xml:space="preserve">    373.6V</t>
  </si>
  <si>
    <t>-30.69KVAR</t>
  </si>
  <si>
    <t xml:space="preserve">  17.63KWH</t>
  </si>
  <si>
    <t xml:space="preserve"> 20.27KVAH</t>
  </si>
  <si>
    <t>10.00KVARH</t>
  </si>
  <si>
    <t xml:space="preserve">  15:04:33</t>
  </si>
  <si>
    <t xml:space="preserve">  17.66KWH</t>
  </si>
  <si>
    <t xml:space="preserve"> 20.30KVAH</t>
  </si>
  <si>
    <t>10.02KVARH</t>
  </si>
  <si>
    <t xml:space="preserve">  15:04:35</t>
  </si>
  <si>
    <t xml:space="preserve">  17.69KWH</t>
  </si>
  <si>
    <t xml:space="preserve"> 20.34KVAH</t>
  </si>
  <si>
    <t>10.03KVARH</t>
  </si>
  <si>
    <t xml:space="preserve">  15:04:37</t>
  </si>
  <si>
    <t xml:space="preserve">    97.83A</t>
  </si>
  <si>
    <t xml:space="preserve">  17.72KWH</t>
  </si>
  <si>
    <t xml:space="preserve"> 20.37KVAH</t>
  </si>
  <si>
    <t>10.05KVARH</t>
  </si>
  <si>
    <t xml:space="preserve">  15:04:39</t>
  </si>
  <si>
    <t>-30.48KVAR</t>
  </si>
  <si>
    <t xml:space="preserve">  17.75KWH</t>
  </si>
  <si>
    <t xml:space="preserve"> 20.40KVAH</t>
  </si>
  <si>
    <t>10.07KVARH</t>
  </si>
  <si>
    <t xml:space="preserve">  15:04:41</t>
  </si>
  <si>
    <t xml:space="preserve">    374.4V</t>
  </si>
  <si>
    <t>-30.75KVAR</t>
  </si>
  <si>
    <t xml:space="preserve">  17.78KWH</t>
  </si>
  <si>
    <t xml:space="preserve"> 20.44KVAH</t>
  </si>
  <si>
    <t>10.08KVARH</t>
  </si>
  <si>
    <t xml:space="preserve">  15:04:43</t>
  </si>
  <si>
    <t xml:space="preserve">    372.1V</t>
  </si>
  <si>
    <t xml:space="preserve">    373.8V</t>
  </si>
  <si>
    <t xml:space="preserve">  17.80KWH</t>
  </si>
  <si>
    <t xml:space="preserve"> 20.47KVAH</t>
  </si>
  <si>
    <t>10.10KVARH</t>
  </si>
  <si>
    <t xml:space="preserve">  15:04:45</t>
  </si>
  <si>
    <t xml:space="preserve">  17.83KWH</t>
  </si>
  <si>
    <t xml:space="preserve"> 20.50KVAH</t>
  </si>
  <si>
    <t>10.12KVARH</t>
  </si>
  <si>
    <t xml:space="preserve">  15:04:47</t>
  </si>
  <si>
    <t xml:space="preserve">    371.7V</t>
  </si>
  <si>
    <t xml:space="preserve">    371.9V</t>
  </si>
  <si>
    <t xml:space="preserve">    374.5V</t>
  </si>
  <si>
    <t xml:space="preserve">  17.86KWH</t>
  </si>
  <si>
    <t xml:space="preserve"> 20.54KVAH</t>
  </si>
  <si>
    <t>10.14KVARH</t>
  </si>
  <si>
    <t xml:space="preserve">  15:04:49</t>
  </si>
  <si>
    <t xml:space="preserve">    372.0V</t>
  </si>
  <si>
    <t xml:space="preserve">    374.1V</t>
  </si>
  <si>
    <t xml:space="preserve">  17.89KWH</t>
  </si>
  <si>
    <t xml:space="preserve"> 20.57KVAH</t>
  </si>
  <si>
    <t>10.15KVARH</t>
  </si>
  <si>
    <t xml:space="preserve">  15:04:51</t>
  </si>
  <si>
    <t xml:space="preserve">    374.6V</t>
  </si>
  <si>
    <t>-30.54KVAR</t>
  </si>
  <si>
    <t xml:space="preserve">  17.92KWH</t>
  </si>
  <si>
    <t xml:space="preserve"> 20.61KVAH</t>
  </si>
  <si>
    <t>10.17KVARH</t>
  </si>
  <si>
    <t xml:space="preserve">  15:04:53</t>
  </si>
  <si>
    <t xml:space="preserve">    374.7V</t>
  </si>
  <si>
    <t xml:space="preserve">  17.95KWH</t>
  </si>
  <si>
    <t xml:space="preserve"> 20.64KVAH</t>
  </si>
  <si>
    <t>10.19KVARH</t>
  </si>
  <si>
    <t xml:space="preserve">  15:04:55</t>
  </si>
  <si>
    <t>-30.57KVAR</t>
  </si>
  <si>
    <t xml:space="preserve">  17.98KWH</t>
  </si>
  <si>
    <t xml:space="preserve"> 20.67KVAH</t>
  </si>
  <si>
    <t>10.20KVARH</t>
  </si>
  <si>
    <t xml:space="preserve">  15:04:57</t>
  </si>
  <si>
    <t xml:space="preserve">  18.01KWH</t>
  </si>
  <si>
    <t xml:space="preserve"> 20.70KVAH</t>
  </si>
  <si>
    <t>10.22KVARH</t>
  </si>
  <si>
    <t xml:space="preserve">  15:04:59</t>
  </si>
  <si>
    <t xml:space="preserve">  18.03KWH</t>
  </si>
  <si>
    <t xml:space="preserve"> 20.74KVAH</t>
  </si>
  <si>
    <t>10.24KVARH</t>
  </si>
  <si>
    <t xml:space="preserve">  15:05:01</t>
  </si>
  <si>
    <t xml:space="preserve">  18.06KWH</t>
  </si>
  <si>
    <t xml:space="preserve"> 20.77KVAH</t>
  </si>
  <si>
    <t>10.25KVARH</t>
  </si>
  <si>
    <t xml:space="preserve">  15:05:03</t>
  </si>
  <si>
    <t xml:space="preserve">  18.09KWH</t>
  </si>
  <si>
    <t xml:space="preserve"> 20.80KVAH</t>
  </si>
  <si>
    <t>10.27KVARH</t>
  </si>
  <si>
    <t xml:space="preserve">  15:05:05</t>
  </si>
  <si>
    <t xml:space="preserve">  18.12KWH</t>
  </si>
  <si>
    <t xml:space="preserve"> 20.84KVAH</t>
  </si>
  <si>
    <t>10.29KVARH</t>
  </si>
  <si>
    <t xml:space="preserve">  15:05:07</t>
  </si>
  <si>
    <t xml:space="preserve">  18.15KWH</t>
  </si>
  <si>
    <t xml:space="preserve"> 20.87KVAH</t>
  </si>
  <si>
    <t>10.30KVARH</t>
  </si>
  <si>
    <t xml:space="preserve">  15:05:09</t>
  </si>
  <si>
    <t xml:space="preserve">  18.18KWH</t>
  </si>
  <si>
    <t xml:space="preserve"> 20.90KVAH</t>
  </si>
  <si>
    <t>10.32KVARH</t>
  </si>
  <si>
    <t xml:space="preserve">  15:05:11</t>
  </si>
  <si>
    <t xml:space="preserve">  18.20KWH</t>
  </si>
  <si>
    <t xml:space="preserve"> 20.93KVAH</t>
  </si>
  <si>
    <t>10.34KVARH</t>
  </si>
  <si>
    <t xml:space="preserve">  15:05:13</t>
  </si>
  <si>
    <t xml:space="preserve">  18.23KWH</t>
  </si>
  <si>
    <t xml:space="preserve"> 20.97KVAH</t>
  </si>
  <si>
    <t>10.35KVARH</t>
  </si>
  <si>
    <t xml:space="preserve">  15:05:15</t>
  </si>
  <si>
    <t xml:space="preserve">  18.26KWH</t>
  </si>
  <si>
    <t xml:space="preserve"> 21.00KVAH</t>
  </si>
  <si>
    <t>10.37KVARH</t>
  </si>
  <si>
    <t xml:space="preserve">  15:05:17</t>
  </si>
  <si>
    <t xml:space="preserve">  18.29KWH</t>
  </si>
  <si>
    <t xml:space="preserve"> 21.03KVAH</t>
  </si>
  <si>
    <t>10.39KVARH</t>
  </si>
  <si>
    <t xml:space="preserve">  15:05:19</t>
  </si>
  <si>
    <t xml:space="preserve">  18.32KWH</t>
  </si>
  <si>
    <t xml:space="preserve"> 21.06KVAH</t>
  </si>
  <si>
    <t>10.40KVARH</t>
  </si>
  <si>
    <t xml:space="preserve">  15:05:21</t>
  </si>
  <si>
    <t xml:space="preserve">  18.34KWH</t>
  </si>
  <si>
    <t xml:space="preserve"> 21.10KVAH</t>
  </si>
  <si>
    <t>10.42KVARH</t>
  </si>
  <si>
    <t xml:space="preserve">  15:05:23</t>
  </si>
  <si>
    <t xml:space="preserve">    93.18A</t>
  </si>
  <si>
    <t xml:space="preserve">    111.6A</t>
  </si>
  <si>
    <t xml:space="preserve">  61.68KVA</t>
  </si>
  <si>
    <t>-31.14KVAR</t>
  </si>
  <si>
    <t xml:space="preserve">  18.37KWH</t>
  </si>
  <si>
    <t xml:space="preserve"> 21.13KVAH</t>
  </si>
  <si>
    <t>10.44KVARH</t>
  </si>
  <si>
    <t xml:space="preserve">  15:05:25</t>
  </si>
  <si>
    <t xml:space="preserve">    363.1V</t>
  </si>
  <si>
    <t xml:space="preserve">    144.0A</t>
  </si>
  <si>
    <t xml:space="preserve">    134.6A</t>
  </si>
  <si>
    <t xml:space="preserve">   80.55KW</t>
  </si>
  <si>
    <t xml:space="preserve">  89.76KVA</t>
  </si>
  <si>
    <t>-39.63KVAR</t>
  </si>
  <si>
    <t xml:space="preserve">  18.42KWH</t>
  </si>
  <si>
    <t xml:space="preserve"> 21.18KVAH</t>
  </si>
  <si>
    <t>10.46KVARH</t>
  </si>
  <si>
    <t xml:space="preserve">  15:05:27</t>
  </si>
  <si>
    <t xml:space="preserve">    363.4V</t>
  </si>
  <si>
    <t xml:space="preserve">    147.6A</t>
  </si>
  <si>
    <t xml:space="preserve">    150.9A</t>
  </si>
  <si>
    <t xml:space="preserve">   82.29KW</t>
  </si>
  <si>
    <t xml:space="preserve">  91.62KVA</t>
  </si>
  <si>
    <t xml:space="preserve">  18.46KWH</t>
  </si>
  <si>
    <t xml:space="preserve"> 21.23KVAH</t>
  </si>
  <si>
    <t>10.48KVARH</t>
  </si>
  <si>
    <t xml:space="preserve">  15:05:29</t>
  </si>
  <si>
    <t xml:space="preserve">    148.4A</t>
  </si>
  <si>
    <t xml:space="preserve">    138.2A</t>
  </si>
  <si>
    <t xml:space="preserve">  18.51KWH</t>
  </si>
  <si>
    <t xml:space="preserve"> 21.28KVAH</t>
  </si>
  <si>
    <t>10.50KVARH</t>
  </si>
  <si>
    <t xml:space="preserve">  15:05:31</t>
  </si>
  <si>
    <t xml:space="preserve">    127.1A</t>
  </si>
  <si>
    <t xml:space="preserve">    105.3A</t>
  </si>
  <si>
    <t xml:space="preserve">   71.40KW</t>
  </si>
  <si>
    <t xml:space="preserve">  80.55KVA</t>
  </si>
  <si>
    <t>-37.29KVAR</t>
  </si>
  <si>
    <t xml:space="preserve">  18.55KWH</t>
  </si>
  <si>
    <t xml:space="preserve"> 21.33KVAH</t>
  </si>
  <si>
    <t>10.52KVARH</t>
  </si>
  <si>
    <t xml:space="preserve">  15:05:33</t>
  </si>
  <si>
    <t xml:space="preserve">  18.58KWH</t>
  </si>
  <si>
    <t xml:space="preserve"> 21.36KVAH</t>
  </si>
  <si>
    <t>10.54KVARH</t>
  </si>
  <si>
    <t xml:space="preserve">  15:05:35</t>
  </si>
  <si>
    <t xml:space="preserve">  18.61KWH</t>
  </si>
  <si>
    <t xml:space="preserve"> 21.39KVAH</t>
  </si>
  <si>
    <t>10.56KVARH</t>
  </si>
  <si>
    <t xml:space="preserve">  15:05:37</t>
  </si>
  <si>
    <t xml:space="preserve">  18.64KWH</t>
  </si>
  <si>
    <t xml:space="preserve"> 21.43KVAH</t>
  </si>
  <si>
    <t>10.57KVARH</t>
  </si>
  <si>
    <t xml:space="preserve">  15:05:39</t>
  </si>
  <si>
    <t xml:space="preserve">  18.67KWH</t>
  </si>
  <si>
    <t xml:space="preserve"> 21.46KVAH</t>
  </si>
  <si>
    <t>10.59KVARH</t>
  </si>
  <si>
    <t xml:space="preserve">  15:05:41</t>
  </si>
  <si>
    <t xml:space="preserve">  18.70KWH</t>
  </si>
  <si>
    <t xml:space="preserve"> 21.50KVAH</t>
  </si>
  <si>
    <t>10.61KVARH</t>
  </si>
  <si>
    <t xml:space="preserve">  15:05:43</t>
  </si>
  <si>
    <t xml:space="preserve">  18.72KWH</t>
  </si>
  <si>
    <t xml:space="preserve"> 21.53KVAH</t>
  </si>
  <si>
    <t>10.62KVARH</t>
  </si>
  <si>
    <t xml:space="preserve">  15:05:45</t>
  </si>
  <si>
    <t xml:space="preserve">  18.75KWH</t>
  </si>
  <si>
    <t xml:space="preserve"> 21.56KVAH</t>
  </si>
  <si>
    <t>10.64KVARH</t>
  </si>
  <si>
    <t xml:space="preserve">  15:05:47</t>
  </si>
  <si>
    <t xml:space="preserve">  18.78KWH</t>
  </si>
  <si>
    <t xml:space="preserve"> 21.60KVAH</t>
  </si>
  <si>
    <t>10.66KVARH</t>
  </si>
  <si>
    <t xml:space="preserve">  15:05:49</t>
  </si>
  <si>
    <t xml:space="preserve">  18.81KWH</t>
  </si>
  <si>
    <t xml:space="preserve"> 21.63KVAH</t>
  </si>
  <si>
    <t>10.67KVARH</t>
  </si>
  <si>
    <t xml:space="preserve">  15:05:51</t>
  </si>
  <si>
    <t xml:space="preserve">  18.84KWH</t>
  </si>
  <si>
    <t xml:space="preserve"> 21.66KVAH</t>
  </si>
  <si>
    <t>10.69KVARH</t>
  </si>
  <si>
    <t xml:space="preserve">  15:05:53</t>
  </si>
  <si>
    <t xml:space="preserve">  18.87KWH</t>
  </si>
  <si>
    <t xml:space="preserve"> 21.70KVAH</t>
  </si>
  <si>
    <t>10.71KVARH</t>
  </si>
  <si>
    <t xml:space="preserve">  15:05:55</t>
  </si>
  <si>
    <t xml:space="preserve">  18.90KWH</t>
  </si>
  <si>
    <t xml:space="preserve"> 21.73KVAH</t>
  </si>
  <si>
    <t>10.72KVARH</t>
  </si>
  <si>
    <t xml:space="preserve">  15:05:57</t>
  </si>
  <si>
    <t xml:space="preserve">  18.93KWH</t>
  </si>
  <si>
    <t xml:space="preserve"> 21.76KVAH</t>
  </si>
  <si>
    <t>10.74KVARH</t>
  </si>
  <si>
    <t xml:space="preserve">  15:05:59</t>
  </si>
  <si>
    <t xml:space="preserve">  18.95KWH</t>
  </si>
  <si>
    <t xml:space="preserve"> 21.79KVAH</t>
  </si>
  <si>
    <t>10.76KVARH</t>
  </si>
  <si>
    <t xml:space="preserve">  15:06:01</t>
  </si>
  <si>
    <t xml:space="preserve">  18.98KWH</t>
  </si>
  <si>
    <t xml:space="preserve"> 21.83KVAH</t>
  </si>
  <si>
    <t>10.77KVARH</t>
  </si>
  <si>
    <t xml:space="preserve">  15:06:03</t>
  </si>
  <si>
    <t xml:space="preserve">  19.01KWH</t>
  </si>
  <si>
    <t xml:space="preserve"> 21.86KVAH</t>
  </si>
  <si>
    <t>10.79KVARH</t>
  </si>
  <si>
    <t xml:space="preserve">  15:06:05</t>
  </si>
  <si>
    <t xml:space="preserve">  19.04KWH</t>
  </si>
  <si>
    <t xml:space="preserve"> 21.89KVAH</t>
  </si>
  <si>
    <t>10.81KVARH</t>
  </si>
  <si>
    <t xml:space="preserve">  15:06:07</t>
  </si>
  <si>
    <t xml:space="preserve">  19.07KWH</t>
  </si>
  <si>
    <t xml:space="preserve"> 21.93KVAH</t>
  </si>
  <si>
    <t>10.82KVARH</t>
  </si>
  <si>
    <t xml:space="preserve">  15:06:09</t>
  </si>
  <si>
    <t xml:space="preserve">  19.10KWH</t>
  </si>
  <si>
    <t xml:space="preserve"> 21.96KVAH</t>
  </si>
  <si>
    <t>10.84KVARH</t>
  </si>
  <si>
    <t xml:space="preserve">  15:06:11</t>
  </si>
  <si>
    <t xml:space="preserve">  19.12KWH</t>
  </si>
  <si>
    <t xml:space="preserve"> 21.99KVAH</t>
  </si>
  <si>
    <t>10.86KVARH</t>
  </si>
  <si>
    <t xml:space="preserve">  15:06:13</t>
  </si>
  <si>
    <t xml:space="preserve">  19.15KWH</t>
  </si>
  <si>
    <t xml:space="preserve"> 22.02KVAH</t>
  </si>
  <si>
    <t>10.87KVARH</t>
  </si>
  <si>
    <t xml:space="preserve">  15:06:15</t>
  </si>
  <si>
    <t xml:space="preserve">  19.18KWH</t>
  </si>
  <si>
    <t xml:space="preserve"> 22.06KVAH</t>
  </si>
  <si>
    <t>10.89KVARH</t>
  </si>
  <si>
    <t xml:space="preserve">  15:06:17</t>
  </si>
  <si>
    <t xml:space="preserve">  19.21KWH</t>
  </si>
  <si>
    <t xml:space="preserve"> 22.09KVAH</t>
  </si>
  <si>
    <t>10.91KVARH</t>
  </si>
  <si>
    <t xml:space="preserve">  15:06:19</t>
  </si>
  <si>
    <t xml:space="preserve">  19.24KWH</t>
  </si>
  <si>
    <t xml:space="preserve"> 22.12KVAH</t>
  </si>
  <si>
    <t>10.92KVARH</t>
  </si>
  <si>
    <t xml:space="preserve">  15:06:21</t>
  </si>
  <si>
    <t xml:space="preserve">  19.27KWH</t>
  </si>
  <si>
    <t xml:space="preserve"> 22.15KVAH</t>
  </si>
  <si>
    <t>10.94KVARH</t>
  </si>
  <si>
    <t xml:space="preserve">  15:06:23</t>
  </si>
  <si>
    <t xml:space="preserve">  19.29KWH</t>
  </si>
  <si>
    <t xml:space="preserve"> 22.19KVAH</t>
  </si>
  <si>
    <t>10.95KVARH</t>
  </si>
  <si>
    <t xml:space="preserve">  15:06:25</t>
  </si>
  <si>
    <t xml:space="preserve">   50.07KW</t>
  </si>
  <si>
    <t xml:space="preserve">  19.32KWH</t>
  </si>
  <si>
    <t xml:space="preserve"> 22.22KVAH</t>
  </si>
  <si>
    <t>10.97KVARH</t>
  </si>
  <si>
    <t xml:space="preserve">  15:06:27</t>
  </si>
  <si>
    <t xml:space="preserve">    142.9A</t>
  </si>
  <si>
    <t xml:space="preserve">   59.76KW</t>
  </si>
  <si>
    <t xml:space="preserve">  67.89KVA</t>
  </si>
  <si>
    <t>-32.22KVAR</t>
  </si>
  <si>
    <t xml:space="preserve">  19.35KWH</t>
  </si>
  <si>
    <t xml:space="preserve"> 22.26KVAH</t>
  </si>
  <si>
    <t>10.99KVARH</t>
  </si>
  <si>
    <t xml:space="preserve">  15:06:29</t>
  </si>
  <si>
    <t xml:space="preserve">    146.2A</t>
  </si>
  <si>
    <t xml:space="preserve">  91.02KVA</t>
  </si>
  <si>
    <t xml:space="preserve">  19.40KWH</t>
  </si>
  <si>
    <t xml:space="preserve"> 22.31KVAH</t>
  </si>
  <si>
    <t>11.01KVARH</t>
  </si>
  <si>
    <t xml:space="preserve">  15:06:31</t>
  </si>
  <si>
    <t xml:space="preserve">    137.7A</t>
  </si>
  <si>
    <t xml:space="preserve">  19.44KWH</t>
  </si>
  <si>
    <t xml:space="preserve"> 22.36KVAH</t>
  </si>
  <si>
    <t>11.03KVARH</t>
  </si>
  <si>
    <t xml:space="preserve">  15:06:33</t>
  </si>
  <si>
    <t xml:space="preserve">    362.6V</t>
  </si>
  <si>
    <t xml:space="preserve">    149.2A</t>
  </si>
  <si>
    <t xml:space="preserve">    151.9A</t>
  </si>
  <si>
    <t>-40.80KVAR</t>
  </si>
  <si>
    <t xml:space="preserve">  19.49KWH</t>
  </si>
  <si>
    <t xml:space="preserve"> 22.41KVAH</t>
  </si>
  <si>
    <t>11.06KVARH</t>
  </si>
  <si>
    <t xml:space="preserve">  15:06:35</t>
  </si>
  <si>
    <t xml:space="preserve">    90.09A</t>
  </si>
  <si>
    <t xml:space="preserve">   53.16KW</t>
  </si>
  <si>
    <t xml:space="preserve">  19.52KWH</t>
  </si>
  <si>
    <t xml:space="preserve"> 22.44KVAH</t>
  </si>
  <si>
    <t>11.07KVARH</t>
  </si>
  <si>
    <t xml:space="preserve">  15:06:37</t>
  </si>
  <si>
    <t xml:space="preserve">  19.55KWH</t>
  </si>
  <si>
    <t xml:space="preserve"> 22.48KVAH</t>
  </si>
  <si>
    <t>11.09KVARH</t>
  </si>
  <si>
    <t xml:space="preserve">  15:06:39</t>
  </si>
  <si>
    <t xml:space="preserve">  19.58KWH</t>
  </si>
  <si>
    <t xml:space="preserve"> 22.51KVAH</t>
  </si>
  <si>
    <t>11.11KVARH</t>
  </si>
  <si>
    <t xml:space="preserve">  15:06:41</t>
  </si>
  <si>
    <t xml:space="preserve">  19.61KWH</t>
  </si>
  <si>
    <t xml:space="preserve"> 22.54KVAH</t>
  </si>
  <si>
    <t>11.12KVARH</t>
  </si>
  <si>
    <t xml:space="preserve">  15:06:43</t>
  </si>
  <si>
    <t xml:space="preserve">  19.64KWH</t>
  </si>
  <si>
    <t xml:space="preserve"> 22.58KVAH</t>
  </si>
  <si>
    <t>11.14KVARH</t>
  </si>
  <si>
    <t xml:space="preserve">  15:06:45</t>
  </si>
  <si>
    <t xml:space="preserve">  19.67KWH</t>
  </si>
  <si>
    <t xml:space="preserve"> 22.61KVAH</t>
  </si>
  <si>
    <t>11.16KVARH</t>
  </si>
  <si>
    <t xml:space="preserve">  15:06:47</t>
  </si>
  <si>
    <t xml:space="preserve">  19.70KWH</t>
  </si>
  <si>
    <t xml:space="preserve"> 22.64KVAH</t>
  </si>
  <si>
    <t>11.17KVARH</t>
  </si>
  <si>
    <t xml:space="preserve">  15:06:49</t>
  </si>
  <si>
    <t xml:space="preserve">  19.72KWH</t>
  </si>
  <si>
    <t xml:space="preserve"> 22.68KVAH</t>
  </si>
  <si>
    <t>11.19KVARH</t>
  </si>
  <si>
    <t xml:space="preserve">  15:06:51</t>
  </si>
  <si>
    <t xml:space="preserve">  19.75KWH</t>
  </si>
  <si>
    <t xml:space="preserve"> 22.71KVAH</t>
  </si>
  <si>
    <t>11.21KVARH</t>
  </si>
  <si>
    <t xml:space="preserve">  15:06:53</t>
  </si>
  <si>
    <t xml:space="preserve">  19.78KWH</t>
  </si>
  <si>
    <t xml:space="preserve"> 22.74KVAH</t>
  </si>
  <si>
    <t>11.22KVARH</t>
  </si>
  <si>
    <t xml:space="preserve">  15:06:55</t>
  </si>
  <si>
    <t xml:space="preserve">  19.81KWH</t>
  </si>
  <si>
    <t xml:space="preserve"> 22.78KVAH</t>
  </si>
  <si>
    <t>11.24KVARH</t>
  </si>
  <si>
    <t xml:space="preserve">  15:06:57</t>
  </si>
  <si>
    <t xml:space="preserve">  19.84KWH</t>
  </si>
  <si>
    <t xml:space="preserve"> 22.81KVAH</t>
  </si>
  <si>
    <t>11.26KVARH</t>
  </si>
  <si>
    <t xml:space="preserve">  15:06:59</t>
  </si>
  <si>
    <t xml:space="preserve">  19.87KWH</t>
  </si>
  <si>
    <t xml:space="preserve"> 22.84KVAH</t>
  </si>
  <si>
    <t>11.27KVARH</t>
  </si>
  <si>
    <t xml:space="preserve">  15:07:01</t>
  </si>
  <si>
    <t xml:space="preserve">  19.90KWH</t>
  </si>
  <si>
    <t xml:space="preserve"> 22.88KVAH</t>
  </si>
  <si>
    <t>11.29KVARH</t>
  </si>
  <si>
    <t xml:space="preserve">  15:07:03</t>
  </si>
  <si>
    <t xml:space="preserve">  19.93KWH</t>
  </si>
  <si>
    <t xml:space="preserve"> 22.91KVAH</t>
  </si>
  <si>
    <t>11.31KVARH</t>
  </si>
  <si>
    <t xml:space="preserve">  15:07:05</t>
  </si>
  <si>
    <t xml:space="preserve">  19.95KWH</t>
  </si>
  <si>
    <t xml:space="preserve"> 22.94KVAH</t>
  </si>
  <si>
    <t>11.32KVARH</t>
  </si>
  <si>
    <t xml:space="preserve">  15:07:07</t>
  </si>
  <si>
    <t xml:space="preserve">  19.98KWH</t>
  </si>
  <si>
    <t xml:space="preserve"> 22.98KVAH</t>
  </si>
  <si>
    <t>11.34KVARH</t>
  </si>
  <si>
    <t xml:space="preserve">  15:07:09</t>
  </si>
  <si>
    <t xml:space="preserve">  20.01KWH</t>
  </si>
  <si>
    <t xml:space="preserve"> 23.01KVAH</t>
  </si>
  <si>
    <t>11.36KVARH</t>
  </si>
  <si>
    <t xml:space="preserve">  15:07:11</t>
  </si>
  <si>
    <t xml:space="preserve">  20.04KWH</t>
  </si>
  <si>
    <t xml:space="preserve"> 23.04KVAH</t>
  </si>
  <si>
    <t>11.37KVARH</t>
  </si>
  <si>
    <t xml:space="preserve">  15:07:13</t>
  </si>
  <si>
    <t xml:space="preserve">  20.07KWH</t>
  </si>
  <si>
    <t xml:space="preserve"> 23.07KVAH</t>
  </si>
  <si>
    <t>11.39KVARH</t>
  </si>
  <si>
    <t xml:space="preserve">  15:07:15</t>
  </si>
  <si>
    <t xml:space="preserve">  20.10KWH</t>
  </si>
  <si>
    <t xml:space="preserve"> 23.11KVAH</t>
  </si>
  <si>
    <t>11.40KVARH</t>
  </si>
  <si>
    <t xml:space="preserve">  15:07:17</t>
  </si>
  <si>
    <t xml:space="preserve">  20.12KWH</t>
  </si>
  <si>
    <t xml:space="preserve"> 23.14KVAH</t>
  </si>
  <si>
    <t>11.42KVARH</t>
  </si>
  <si>
    <t xml:space="preserve">  15:07:19</t>
  </si>
  <si>
    <t xml:space="preserve">  20.15KWH</t>
  </si>
  <si>
    <t xml:space="preserve"> 23.17KVAH</t>
  </si>
  <si>
    <t>11.44KVARH</t>
  </si>
  <si>
    <t xml:space="preserve">  15:07:21</t>
  </si>
  <si>
    <t xml:space="preserve">  20.18KWH</t>
  </si>
  <si>
    <t xml:space="preserve"> 23.20KVAH</t>
  </si>
  <si>
    <t>11.45KVARH</t>
  </si>
  <si>
    <t xml:space="preserve">  15:07:23</t>
  </si>
  <si>
    <t xml:space="preserve">  20.21KWH</t>
  </si>
  <si>
    <t xml:space="preserve"> 23.24KVAH</t>
  </si>
  <si>
    <t>11.47KVARH</t>
  </si>
  <si>
    <t xml:space="preserve">  15:07:25</t>
  </si>
  <si>
    <t xml:space="preserve">  20.24KWH</t>
  </si>
  <si>
    <t xml:space="preserve"> 23.27KVAH</t>
  </si>
  <si>
    <t>11.49KVARH</t>
  </si>
  <si>
    <t xml:space="preserve">  15:07:27</t>
  </si>
  <si>
    <t xml:space="preserve">  20.26KWH</t>
  </si>
  <si>
    <t xml:space="preserve"> 23.30KVAH</t>
  </si>
  <si>
    <t>11.50KVARH</t>
  </si>
  <si>
    <t xml:space="preserve">  15:07:29</t>
  </si>
  <si>
    <t xml:space="preserve">  20.29KWH</t>
  </si>
  <si>
    <t xml:space="preserve"> 23.33KVAH</t>
  </si>
  <si>
    <t>11.52KVARH</t>
  </si>
  <si>
    <t xml:space="preserve">  15:07:31</t>
  </si>
  <si>
    <t xml:space="preserve">  20.32KWH</t>
  </si>
  <si>
    <t xml:space="preserve"> 23.37KVAH</t>
  </si>
  <si>
    <t>11.54KVARH</t>
  </si>
  <si>
    <t xml:space="preserve">  15:07:33</t>
  </si>
  <si>
    <t xml:space="preserve">  20.35KWH</t>
  </si>
  <si>
    <t xml:space="preserve"> 23.40KVAH</t>
  </si>
  <si>
    <t>11.55KVARH</t>
  </si>
  <si>
    <t xml:space="preserve">  15:07:35</t>
  </si>
  <si>
    <t xml:space="preserve">    144.2A</t>
  </si>
  <si>
    <t xml:space="preserve">    148.6A</t>
  </si>
  <si>
    <t xml:space="preserve">   80.76KW</t>
  </si>
  <si>
    <t xml:space="preserve">  90.03KVA</t>
  </si>
  <si>
    <t>-39.84KVAR</t>
  </si>
  <si>
    <t xml:space="preserve">  20.39KWH</t>
  </si>
  <si>
    <t xml:space="preserve"> 23.45KVAH</t>
  </si>
  <si>
    <t>11.57KVARH</t>
  </si>
  <si>
    <t xml:space="preserve">  15:07:37</t>
  </si>
  <si>
    <t xml:space="preserve">   82.35KW</t>
  </si>
  <si>
    <t xml:space="preserve">  91.71KVA</t>
  </si>
  <si>
    <t>-40.38KVAR</t>
  </si>
  <si>
    <t xml:space="preserve">  20.44KWH</t>
  </si>
  <si>
    <t xml:space="preserve"> 23.50KVAH</t>
  </si>
  <si>
    <t>11.60KVARH</t>
  </si>
  <si>
    <t xml:space="preserve">  15:07:39</t>
  </si>
  <si>
    <t xml:space="preserve">    139.0A</t>
  </si>
  <si>
    <t xml:space="preserve">   82.83KW</t>
  </si>
  <si>
    <t xml:space="preserve">  92.28KVA</t>
  </si>
  <si>
    <t xml:space="preserve">  20.48KWH</t>
  </si>
  <si>
    <t xml:space="preserve"> 23.55KVAH</t>
  </si>
  <si>
    <t>11.62KVARH</t>
  </si>
  <si>
    <t xml:space="preserve">  15:07:41</t>
  </si>
  <si>
    <t xml:space="preserve">    143.0A</t>
  </si>
  <si>
    <t xml:space="preserve">    106.9A</t>
  </si>
  <si>
    <t xml:space="preserve">   65.28KW</t>
  </si>
  <si>
    <t xml:space="preserve">  74.10KVA</t>
  </si>
  <si>
    <t>-35.07KVAR</t>
  </si>
  <si>
    <t xml:space="preserve">  20.52KWH</t>
  </si>
  <si>
    <t xml:space="preserve"> 23.59KVAH</t>
  </si>
  <si>
    <t>11.64KVARH</t>
  </si>
  <si>
    <t xml:space="preserve">  15:07:43</t>
  </si>
  <si>
    <t xml:space="preserve">    90.69A</t>
  </si>
  <si>
    <t xml:space="preserve">  61.20KVA</t>
  </si>
  <si>
    <t xml:space="preserve">  20.55KWH</t>
  </si>
  <si>
    <t xml:space="preserve"> 23.63KVAH</t>
  </si>
  <si>
    <t>11.66KVARH</t>
  </si>
  <si>
    <t xml:space="preserve">  15:07:45</t>
  </si>
  <si>
    <t xml:space="preserve">    99.12A</t>
  </si>
  <si>
    <t xml:space="preserve">  60.81KVA</t>
  </si>
  <si>
    <t xml:space="preserve">  20.58KWH</t>
  </si>
  <si>
    <t xml:space="preserve"> 23.66KVAH</t>
  </si>
  <si>
    <t>11.67KVARH</t>
  </si>
  <si>
    <t xml:space="preserve">  15:07:47</t>
  </si>
  <si>
    <t xml:space="preserve">  20.61KWH</t>
  </si>
  <si>
    <t xml:space="preserve"> 23.69KVAH</t>
  </si>
  <si>
    <t>11.69KVARH</t>
  </si>
  <si>
    <t xml:space="preserve">  15:07:49</t>
  </si>
  <si>
    <t xml:space="preserve">  20.64KWH</t>
  </si>
  <si>
    <t xml:space="preserve"> 23.73KVAH</t>
  </si>
  <si>
    <t>11.71KVARH</t>
  </si>
  <si>
    <t xml:space="preserve">  15:07:51</t>
  </si>
  <si>
    <t xml:space="preserve">  20.67KWH</t>
  </si>
  <si>
    <t xml:space="preserve"> 23.76KVAH</t>
  </si>
  <si>
    <t>11.72KVARH</t>
  </si>
  <si>
    <t xml:space="preserve">  15:07:53</t>
  </si>
  <si>
    <t xml:space="preserve">  20.70KWH</t>
  </si>
  <si>
    <t xml:space="preserve"> 23.79KVAH</t>
  </si>
  <si>
    <t>11.74KVARH</t>
  </si>
  <si>
    <t xml:space="preserve">  15:07:55</t>
  </si>
  <si>
    <t xml:space="preserve">  20.72KWH</t>
  </si>
  <si>
    <t xml:space="preserve"> 23.83KVAH</t>
  </si>
  <si>
    <t>11.76KVARH</t>
  </si>
  <si>
    <t xml:space="preserve">  15:07:57</t>
  </si>
  <si>
    <t xml:space="preserve">  20.75KWH</t>
  </si>
  <si>
    <t xml:space="preserve"> 23.86KVAH</t>
  </si>
  <si>
    <t>11.77KVARH</t>
  </si>
  <si>
    <t xml:space="preserve">  15:07:59</t>
  </si>
  <si>
    <t xml:space="preserve">  20.78KWH</t>
  </si>
  <si>
    <t xml:space="preserve"> 23.90KVAH</t>
  </si>
  <si>
    <t>11.79KVARH</t>
  </si>
  <si>
    <t xml:space="preserve">  15:08:01</t>
  </si>
  <si>
    <t xml:space="preserve">  20.81KWH</t>
  </si>
  <si>
    <t xml:space="preserve"> 23.93KVAH</t>
  </si>
  <si>
    <t>11.81KVARH</t>
  </si>
  <si>
    <t xml:space="preserve">  15:08:03</t>
  </si>
  <si>
    <t xml:space="preserve">  20.84KWH</t>
  </si>
  <si>
    <t xml:space="preserve"> 23.96KVAH</t>
  </si>
  <si>
    <t>11.82KVARH</t>
  </si>
  <si>
    <t xml:space="preserve">  15:08:05</t>
  </si>
  <si>
    <t xml:space="preserve">  20.87KWH</t>
  </si>
  <si>
    <t xml:space="preserve"> 24.00KVAH</t>
  </si>
  <si>
    <t>11.84KVARH</t>
  </si>
  <si>
    <t xml:space="preserve">  15:08:07</t>
  </si>
  <si>
    <t xml:space="preserve">  20.90KWH</t>
  </si>
  <si>
    <t xml:space="preserve"> 24.03KVAH</t>
  </si>
  <si>
    <t>11.86KVARH</t>
  </si>
  <si>
    <t xml:space="preserve">  15:08:09</t>
  </si>
  <si>
    <t xml:space="preserve">  20.93KWH</t>
  </si>
  <si>
    <t xml:space="preserve"> 24.06KVAH</t>
  </si>
  <si>
    <t>11.87KVARH</t>
  </si>
  <si>
    <t xml:space="preserve">  15:08:11</t>
  </si>
  <si>
    <t xml:space="preserve">  20.96KWH</t>
  </si>
  <si>
    <t xml:space="preserve"> 24.10KVAH</t>
  </si>
  <si>
    <t>11.89KVARH</t>
  </si>
  <si>
    <t xml:space="preserve">  15:08:13</t>
  </si>
  <si>
    <t xml:space="preserve">  20.98KWH</t>
  </si>
  <si>
    <t xml:space="preserve"> 24.13KVAH</t>
  </si>
  <si>
    <t>11.91KVARH</t>
  </si>
  <si>
    <t xml:space="preserve">  15:08:15</t>
  </si>
  <si>
    <t xml:space="preserve">  21.01KWH</t>
  </si>
  <si>
    <t xml:space="preserve"> 24.16KVAH</t>
  </si>
  <si>
    <t>11.92KVARH</t>
  </si>
  <si>
    <t xml:space="preserve">  15:08:17</t>
  </si>
  <si>
    <t xml:space="preserve">  21.04KWH</t>
  </si>
  <si>
    <t xml:space="preserve"> 24.19KVAH</t>
  </si>
  <si>
    <t>11.94KVARH</t>
  </si>
  <si>
    <t xml:space="preserve">  15:08:19</t>
  </si>
  <si>
    <t xml:space="preserve">  21.07KWH</t>
  </si>
  <si>
    <t xml:space="preserve"> 24.23KVAH</t>
  </si>
  <si>
    <t>11.96KVARH</t>
  </si>
  <si>
    <t xml:space="preserve">  15:08:21</t>
  </si>
  <si>
    <t xml:space="preserve">  21.10KWH</t>
  </si>
  <si>
    <t xml:space="preserve"> 24.26KVAH</t>
  </si>
  <si>
    <t>11.97KVARH</t>
  </si>
  <si>
    <t xml:space="preserve">  15:08:23</t>
  </si>
  <si>
    <t xml:space="preserve">  21.13KWH</t>
  </si>
  <si>
    <t xml:space="preserve"> 24.29KVAH</t>
  </si>
  <si>
    <t>11.99KVARH</t>
  </si>
  <si>
    <t xml:space="preserve">  15:08:25</t>
  </si>
  <si>
    <t xml:space="preserve">  21.16KWH</t>
  </si>
  <si>
    <t xml:space="preserve"> 24.33KVAH</t>
  </si>
  <si>
    <t>12.01KVARH</t>
  </si>
  <si>
    <t xml:space="preserve">  15:08:27</t>
  </si>
  <si>
    <t xml:space="preserve">  21.18KWH</t>
  </si>
  <si>
    <t xml:space="preserve"> 24.36KVAH</t>
  </si>
  <si>
    <t>12.02KVARH</t>
  </si>
  <si>
    <t xml:space="preserve">  15:08:29</t>
  </si>
  <si>
    <t xml:space="preserve">  21.21KWH</t>
  </si>
  <si>
    <t xml:space="preserve"> 24.39KVAH</t>
  </si>
  <si>
    <t>12.04KVARH</t>
  </si>
  <si>
    <t xml:space="preserve">  15:08:31</t>
  </si>
  <si>
    <t xml:space="preserve">  21.24KWH</t>
  </si>
  <si>
    <t xml:space="preserve"> 24.43KVAH</t>
  </si>
  <si>
    <t>12.06KVARH</t>
  </si>
  <si>
    <t xml:space="preserve">  15:08:33</t>
  </si>
  <si>
    <t xml:space="preserve">  21.27KWH</t>
  </si>
  <si>
    <t xml:space="preserve"> 24.46KVAH</t>
  </si>
  <si>
    <t>12.07KVARH</t>
  </si>
  <si>
    <t xml:space="preserve">  15:08:35</t>
  </si>
  <si>
    <t xml:space="preserve">  21.30KWH</t>
  </si>
  <si>
    <t xml:space="preserve"> 24.49KVAH</t>
  </si>
  <si>
    <t>12.09KVARH</t>
  </si>
  <si>
    <t xml:space="preserve">  15:08:37</t>
  </si>
  <si>
    <t xml:space="preserve">  21.33KWH</t>
  </si>
  <si>
    <t xml:space="preserve"> 24.52KVAH</t>
  </si>
  <si>
    <t>12.11KVARH</t>
  </si>
  <si>
    <t xml:space="preserve">  15:08:39</t>
  </si>
  <si>
    <t xml:space="preserve">  21.35KWH</t>
  </si>
  <si>
    <t xml:space="preserve"> 24.56KVAH</t>
  </si>
  <si>
    <t>12.12KVARH</t>
  </si>
  <si>
    <t xml:space="preserve">  15:08:41</t>
  </si>
  <si>
    <t xml:space="preserve">  21.38KWH</t>
  </si>
  <si>
    <t xml:space="preserve"> 24.59KVAH</t>
  </si>
  <si>
    <t>12.14KVARH</t>
  </si>
  <si>
    <t xml:space="preserve">  15:08:43</t>
  </si>
  <si>
    <t xml:space="preserve">  21.41KWH</t>
  </si>
  <si>
    <t xml:space="preserve"> 24.62KVAH</t>
  </si>
  <si>
    <t>12.15KVARH</t>
  </si>
  <si>
    <t xml:space="preserve">  15:08:45</t>
  </si>
  <si>
    <t xml:space="preserve">  21.44KWH</t>
  </si>
  <si>
    <t xml:space="preserve"> 24.65KVAH</t>
  </si>
  <si>
    <t>12.17KVARH</t>
  </si>
  <si>
    <t xml:space="preserve">  15:08:47</t>
  </si>
  <si>
    <t xml:space="preserve">  21.47KWH</t>
  </si>
  <si>
    <t xml:space="preserve"> 24.69KVAH</t>
  </si>
  <si>
    <t>12.19KVARH</t>
  </si>
  <si>
    <t xml:space="preserve">  15:08:49</t>
  </si>
  <si>
    <t xml:space="preserve">  21.50KWH</t>
  </si>
  <si>
    <t xml:space="preserve"> 24.72KVAH</t>
  </si>
  <si>
    <t>12.20KVARH</t>
  </si>
  <si>
    <t xml:space="preserve">  15:08:51</t>
  </si>
  <si>
    <t xml:space="preserve">    93.24A</t>
  </si>
  <si>
    <t xml:space="preserve">  21.52KWH</t>
  </si>
  <si>
    <t xml:space="preserve"> 24.75KVAH</t>
  </si>
  <si>
    <t>12.22KVARH</t>
  </si>
  <si>
    <t xml:space="preserve">  15:08:53</t>
  </si>
  <si>
    <t xml:space="preserve">  21.55KWH</t>
  </si>
  <si>
    <t xml:space="preserve"> 24.78KVAH</t>
  </si>
  <si>
    <t>12.24KVARH</t>
  </si>
  <si>
    <t xml:space="preserve">  15:08:55</t>
  </si>
  <si>
    <t xml:space="preserve">  21.58KWH</t>
  </si>
  <si>
    <t xml:space="preserve"> 24.82KVAH</t>
  </si>
  <si>
    <t>12.25KVARH</t>
  </si>
  <si>
    <t xml:space="preserve">  15:08:57</t>
  </si>
  <si>
    <t xml:space="preserve">    92.67A</t>
  </si>
  <si>
    <t xml:space="preserve">   62.37KW</t>
  </si>
  <si>
    <t xml:space="preserve">  70.83KVA</t>
  </si>
  <si>
    <t>-33.63KVAR</t>
  </si>
  <si>
    <t xml:space="preserve">  21.61KWH</t>
  </si>
  <si>
    <t xml:space="preserve"> 24.86KVAH</t>
  </si>
  <si>
    <t>12.27KVARH</t>
  </si>
  <si>
    <t xml:space="preserve">  15:08:59</t>
  </si>
  <si>
    <t xml:space="preserve">   81.81KW</t>
  </si>
  <si>
    <t xml:space="preserve">  91.14KVA</t>
  </si>
  <si>
    <t xml:space="preserve">  21.66KWH</t>
  </si>
  <si>
    <t xml:space="preserve"> 24.91KVAH</t>
  </si>
  <si>
    <t>12.29KVARH</t>
  </si>
  <si>
    <t xml:space="preserve">  15:09:01</t>
  </si>
  <si>
    <t xml:space="preserve">  91.68KVA</t>
  </si>
  <si>
    <t>-40.35KVAR</t>
  </si>
  <si>
    <t xml:space="preserve">  21.70KWH</t>
  </si>
  <si>
    <t xml:space="preserve"> 24.96KVAH</t>
  </si>
  <si>
    <t>12.32KVARH</t>
  </si>
  <si>
    <t xml:space="preserve">  15:09:03</t>
  </si>
  <si>
    <t xml:space="preserve">  21.75KWH</t>
  </si>
  <si>
    <t xml:space="preserve"> 25.01KVAH</t>
  </si>
  <si>
    <t>12.34KVARH</t>
  </si>
  <si>
    <t xml:space="preserve">  15:09:05</t>
  </si>
  <si>
    <t xml:space="preserve">    90.33A</t>
  </si>
  <si>
    <t xml:space="preserve">   53.07KW</t>
  </si>
  <si>
    <t>-30.33KVAR</t>
  </si>
  <si>
    <t xml:space="preserve">  21.78KWH</t>
  </si>
  <si>
    <t xml:space="preserve"> 25.04KVAH</t>
  </si>
  <si>
    <t>12.36KVARH</t>
  </si>
  <si>
    <t xml:space="preserve">  15:09:07</t>
  </si>
  <si>
    <t>-30.30KVAR</t>
  </si>
  <si>
    <t xml:space="preserve">  21.81KWH</t>
  </si>
  <si>
    <t xml:space="preserve"> 25.08KVAH</t>
  </si>
  <si>
    <t>12.37KVARH</t>
  </si>
  <si>
    <t xml:space="preserve">  15:09:09</t>
  </si>
  <si>
    <t xml:space="preserve">  21.84KWH</t>
  </si>
  <si>
    <t xml:space="preserve"> 25.11KVAH</t>
  </si>
  <si>
    <t>12.39KVARH</t>
  </si>
  <si>
    <t xml:space="preserve">  15:09:11</t>
  </si>
  <si>
    <t xml:space="preserve">  21.87KWH</t>
  </si>
  <si>
    <t xml:space="preserve"> 25.14KVAH</t>
  </si>
  <si>
    <t>12.41KVARH</t>
  </si>
  <si>
    <t xml:space="preserve">  15:09:13</t>
  </si>
  <si>
    <t xml:space="preserve">  21.90KWH</t>
  </si>
  <si>
    <t xml:space="preserve"> 25.18KVAH</t>
  </si>
  <si>
    <t>12.42KVARH</t>
  </si>
  <si>
    <t xml:space="preserve">  15:09:15</t>
  </si>
  <si>
    <t xml:space="preserve">  21.93KWH</t>
  </si>
  <si>
    <t xml:space="preserve"> 25.21KVAH</t>
  </si>
  <si>
    <t>12.44KVARH</t>
  </si>
  <si>
    <t xml:space="preserve">  15:09:17</t>
  </si>
  <si>
    <t xml:space="preserve">  21.96KWH</t>
  </si>
  <si>
    <t xml:space="preserve"> 25.24KVAH</t>
  </si>
  <si>
    <t>12.46KVARH</t>
  </si>
  <si>
    <t xml:space="preserve">  15:09:19</t>
  </si>
  <si>
    <t xml:space="preserve">  21.98KWH</t>
  </si>
  <si>
    <t xml:space="preserve"> 25.28KVAH</t>
  </si>
  <si>
    <t>12.47KVARH</t>
  </si>
  <si>
    <t xml:space="preserve">  15:09:21</t>
  </si>
  <si>
    <t xml:space="preserve">  22.01KWH</t>
  </si>
  <si>
    <t xml:space="preserve"> 25.31KVAH</t>
  </si>
  <si>
    <t>12.49KVARH</t>
  </si>
  <si>
    <t xml:space="preserve">  15:09:23</t>
  </si>
  <si>
    <t xml:space="preserve">  22.04KWH</t>
  </si>
  <si>
    <t xml:space="preserve"> 25.34KVAH</t>
  </si>
  <si>
    <t>12.51KVARH</t>
  </si>
  <si>
    <t xml:space="preserve">  15:09:25</t>
  </si>
  <si>
    <t xml:space="preserve">  22.07KWH</t>
  </si>
  <si>
    <t xml:space="preserve"> 25.38KVAH</t>
  </si>
  <si>
    <t>12.52KVARH</t>
  </si>
  <si>
    <t xml:space="preserve">  15:09:27</t>
  </si>
  <si>
    <t xml:space="preserve">  22.10KWH</t>
  </si>
  <si>
    <t xml:space="preserve"> 25.41KVAH</t>
  </si>
  <si>
    <t>12.54KVARH</t>
  </si>
  <si>
    <t xml:space="preserve">  15:09:29</t>
  </si>
  <si>
    <t xml:space="preserve">  22.13KWH</t>
  </si>
  <si>
    <t xml:space="preserve"> 25.44KVAH</t>
  </si>
  <si>
    <t>12.56KVARH</t>
  </si>
  <si>
    <t xml:space="preserve">  15:09:31</t>
  </si>
  <si>
    <t xml:space="preserve">  22.16KWH</t>
  </si>
  <si>
    <t xml:space="preserve"> 25.48KVAH</t>
  </si>
  <si>
    <t>12.57KVARH</t>
  </si>
  <si>
    <t xml:space="preserve">  15:09:33</t>
  </si>
  <si>
    <t xml:space="preserve">  22.18KWH</t>
  </si>
  <si>
    <t xml:space="preserve"> 25.51KVAH</t>
  </si>
  <si>
    <t>12.59KVARH</t>
  </si>
  <si>
    <t xml:space="preserve">  15:09:35</t>
  </si>
  <si>
    <t xml:space="preserve">  22.21KWH</t>
  </si>
  <si>
    <t xml:space="preserve"> 25.54KVAH</t>
  </si>
  <si>
    <t>12.61KVARH</t>
  </si>
  <si>
    <t xml:space="preserve">  15:09:37</t>
  </si>
  <si>
    <t xml:space="preserve">  22.24KWH</t>
  </si>
  <si>
    <t xml:space="preserve"> 25.57KVAH</t>
  </si>
  <si>
    <t>12.62KVARH</t>
  </si>
  <si>
    <t xml:space="preserve">  15:09:39</t>
  </si>
  <si>
    <t xml:space="preserve">  22.27KWH</t>
  </si>
  <si>
    <t xml:space="preserve"> 25.61KVAH</t>
  </si>
  <si>
    <t>12.64KVARH</t>
  </si>
  <si>
    <t xml:space="preserve">  15:09:41</t>
  </si>
  <si>
    <t xml:space="preserve">  22.30KWH</t>
  </si>
  <si>
    <t xml:space="preserve"> 25.64KVAH</t>
  </si>
  <si>
    <t>12.66KVARH</t>
  </si>
  <si>
    <t xml:space="preserve">  15:09:43</t>
  </si>
  <si>
    <t xml:space="preserve">  22.33KWH</t>
  </si>
  <si>
    <t xml:space="preserve"> 25.67KVAH</t>
  </si>
  <si>
    <t>12.67KVARH</t>
  </si>
  <si>
    <t xml:space="preserve">  15:09:45</t>
  </si>
  <si>
    <t xml:space="preserve">  22.35KWH</t>
  </si>
  <si>
    <t xml:space="preserve"> 25.71KVAH</t>
  </si>
  <si>
    <t>12.69KVARH</t>
  </si>
  <si>
    <t xml:space="preserve">  15:09:47</t>
  </si>
  <si>
    <t xml:space="preserve">  22.38KWH</t>
  </si>
  <si>
    <t xml:space="preserve"> 25.74KVAH</t>
  </si>
  <si>
    <t>12.71KVARH</t>
  </si>
  <si>
    <t xml:space="preserve">  15:09:49</t>
  </si>
  <si>
    <t xml:space="preserve">  22.41KWH</t>
  </si>
  <si>
    <t xml:space="preserve"> 25.77KVAH</t>
  </si>
  <si>
    <t>12.72KVARH</t>
  </si>
  <si>
    <t xml:space="preserve">  15:09:51</t>
  </si>
  <si>
    <t xml:space="preserve">  22.44KWH</t>
  </si>
  <si>
    <t xml:space="preserve"> 25.80KVAH</t>
  </si>
  <si>
    <t>12.74KVARH</t>
  </si>
  <si>
    <t xml:space="preserve">  15:09:53</t>
  </si>
  <si>
    <t xml:space="preserve">  22.47KWH</t>
  </si>
  <si>
    <t xml:space="preserve"> 25.84KVAH</t>
  </si>
  <si>
    <t>12.75KVARH</t>
  </si>
  <si>
    <t xml:space="preserve">  15:09:55</t>
  </si>
  <si>
    <t xml:space="preserve">  22.50KWH</t>
  </si>
  <si>
    <t xml:space="preserve"> 25.87KVAH</t>
  </si>
  <si>
    <t>12.77KVARH</t>
  </si>
  <si>
    <t xml:space="preserve">  15:09:57</t>
  </si>
  <si>
    <t xml:space="preserve">  22.52KWH</t>
  </si>
  <si>
    <t xml:space="preserve"> 25.90KVAH</t>
  </si>
  <si>
    <t>12.79KVARH</t>
  </si>
  <si>
    <t xml:space="preserve">  15:09:59</t>
  </si>
  <si>
    <t xml:space="preserve">  22.55KWH</t>
  </si>
  <si>
    <t xml:space="preserve"> 25.93KVAH</t>
  </si>
  <si>
    <t>12.80KVARH</t>
  </si>
  <si>
    <t xml:space="preserve">  15:10:01</t>
  </si>
  <si>
    <t xml:space="preserve">  22.58KWH</t>
  </si>
  <si>
    <t xml:space="preserve"> 25.97KVAH</t>
  </si>
  <si>
    <t>12.82KVARH</t>
  </si>
  <si>
    <t xml:space="preserve">  15:10:03</t>
  </si>
  <si>
    <t xml:space="preserve">  22.61KWH</t>
  </si>
  <si>
    <t xml:space="preserve"> 26.00KVAH</t>
  </si>
  <si>
    <t>12.84KVARH</t>
  </si>
  <si>
    <t xml:space="preserve">  15:10:05</t>
  </si>
  <si>
    <t xml:space="preserve">  22.64KWH</t>
  </si>
  <si>
    <t xml:space="preserve"> 26.03KVAH</t>
  </si>
  <si>
    <t>12.85KVARH</t>
  </si>
  <si>
    <t xml:space="preserve">  15:10:07</t>
  </si>
  <si>
    <t xml:space="preserve">  22.66KWH</t>
  </si>
  <si>
    <t xml:space="preserve"> 26.06KVAH</t>
  </si>
  <si>
    <t>12.87KVARH</t>
  </si>
  <si>
    <t xml:space="preserve">  15:10:09</t>
  </si>
  <si>
    <t xml:space="preserve">  22.69KWH</t>
  </si>
  <si>
    <t xml:space="preserve"> 26.10KVAH</t>
  </si>
  <si>
    <t>12.89KVARH</t>
  </si>
  <si>
    <t xml:space="preserve">  15:10:11</t>
  </si>
  <si>
    <t xml:space="preserve">  22.72KWH</t>
  </si>
  <si>
    <t xml:space="preserve"> 26.13KVAH</t>
  </si>
  <si>
    <t>12.90KVARH</t>
  </si>
  <si>
    <t xml:space="preserve">  15:10:13</t>
  </si>
  <si>
    <t xml:space="preserve">  22.75KWH</t>
  </si>
  <si>
    <t xml:space="preserve"> 26.16KVAH</t>
  </si>
  <si>
    <t>12.92KVARH</t>
  </si>
  <si>
    <t xml:space="preserve">  15:10:15</t>
  </si>
  <si>
    <t xml:space="preserve">  22.78KWH</t>
  </si>
  <si>
    <t xml:space="preserve"> 26.19KVAH</t>
  </si>
  <si>
    <t>12.94KVARH</t>
  </si>
  <si>
    <t xml:space="preserve">  15:10:17</t>
  </si>
  <si>
    <t xml:space="preserve">  22.80KWH</t>
  </si>
  <si>
    <t xml:space="preserve"> 26.23KVAH</t>
  </si>
  <si>
    <t>12.95KVARH</t>
  </si>
  <si>
    <t xml:space="preserve">  15:10:19</t>
  </si>
  <si>
    <t xml:space="preserve">  22.83KWH</t>
  </si>
  <si>
    <t xml:space="preserve"> 26.26KVAH</t>
  </si>
  <si>
    <t>12.97KVARH</t>
  </si>
  <si>
    <t xml:space="preserve">  15:10:21</t>
  </si>
  <si>
    <t xml:space="preserve">  22.86KWH</t>
  </si>
  <si>
    <t xml:space="preserve"> 26.29KVAH</t>
  </si>
  <si>
    <t>12.98KVARH</t>
  </si>
  <si>
    <t xml:space="preserve">  15:10:23</t>
  </si>
  <si>
    <t xml:space="preserve">  22.89KWH</t>
  </si>
  <si>
    <t xml:space="preserve"> 26.32KVAH</t>
  </si>
  <si>
    <t>13.00KVARH</t>
  </si>
  <si>
    <t xml:space="preserve">  15:10:25</t>
  </si>
  <si>
    <t xml:space="preserve">  22.92KWH</t>
  </si>
  <si>
    <t xml:space="preserve"> 26.36KVAH</t>
  </si>
  <si>
    <t>13.02KVARH</t>
  </si>
  <si>
    <t xml:space="preserve">  15:10:27</t>
  </si>
  <si>
    <t xml:space="preserve">  22.94KWH</t>
  </si>
  <si>
    <t xml:space="preserve"> 26.39KVAH</t>
  </si>
  <si>
    <t>13.03KVARH</t>
  </si>
  <si>
    <t xml:space="preserve">  15:10:29</t>
  </si>
  <si>
    <t xml:space="preserve">  22.97KWH</t>
  </si>
  <si>
    <t xml:space="preserve"> 26.42KVAH</t>
  </si>
  <si>
    <t>13.05KVARH</t>
  </si>
  <si>
    <t xml:space="preserve">  15:10:31</t>
  </si>
  <si>
    <t xml:space="preserve">    135.3A</t>
  </si>
  <si>
    <t xml:space="preserve">   80.94KW</t>
  </si>
  <si>
    <t xml:space="preserve">  90.21KVA</t>
  </si>
  <si>
    <t>-39.87KVAR</t>
  </si>
  <si>
    <t xml:space="preserve">  23.02KWH</t>
  </si>
  <si>
    <t xml:space="preserve"> 26.47KVAH</t>
  </si>
  <si>
    <t>13.07KVARH</t>
  </si>
  <si>
    <t xml:space="preserve">  15:10:33</t>
  </si>
  <si>
    <t xml:space="preserve">    147.8A</t>
  </si>
  <si>
    <t xml:space="preserve">    151.6A</t>
  </si>
  <si>
    <t xml:space="preserve">   82.44KW</t>
  </si>
  <si>
    <t xml:space="preserve">  91.83KVA</t>
  </si>
  <si>
    <t>-40.47KVAR</t>
  </si>
  <si>
    <t xml:space="preserve">  23.06KWH</t>
  </si>
  <si>
    <t xml:space="preserve"> 26.52KVAH</t>
  </si>
  <si>
    <t>13.10KVARH</t>
  </si>
  <si>
    <t xml:space="preserve">  15:10:35</t>
  </si>
  <si>
    <t xml:space="preserve">    148.5A</t>
  </si>
  <si>
    <t xml:space="preserve">  23.11KWH</t>
  </si>
  <si>
    <t xml:space="preserve"> 26.57KVAH</t>
  </si>
  <si>
    <t>13.12KVARH</t>
  </si>
  <si>
    <t xml:space="preserve">  15:10:37</t>
  </si>
  <si>
    <t xml:space="preserve">    137.6A</t>
  </si>
  <si>
    <t xml:space="preserve">   62.67KW</t>
  </si>
  <si>
    <t xml:space="preserve">  71.43KVA</t>
  </si>
  <si>
    <t>-34.29KVAR</t>
  </si>
  <si>
    <t xml:space="preserve">  23.14KWH</t>
  </si>
  <si>
    <t xml:space="preserve"> 26.61KVAH</t>
  </si>
  <si>
    <t>13.14KVARH</t>
  </si>
  <si>
    <t xml:space="preserve">  15:10:39</t>
  </si>
  <si>
    <t xml:space="preserve">    100.1A</t>
  </si>
  <si>
    <t xml:space="preserve">   53.19KW</t>
  </si>
  <si>
    <t xml:space="preserve">  61.17KVA</t>
  </si>
  <si>
    <t xml:space="preserve">  23.17KWH</t>
  </si>
  <si>
    <t xml:space="preserve"> 26.65KVAH</t>
  </si>
  <si>
    <t>13.15KVARH</t>
  </si>
  <si>
    <t xml:space="preserve">  15:10:41</t>
  </si>
  <si>
    <t xml:space="preserve">    99.42A</t>
  </si>
  <si>
    <t xml:space="preserve">  23.20KWH</t>
  </si>
  <si>
    <t xml:space="preserve"> 26.68KVAH</t>
  </si>
  <si>
    <t>13.17KVARH</t>
  </si>
  <si>
    <t xml:space="preserve">  15:10:43</t>
  </si>
  <si>
    <t xml:space="preserve">  23.23KWH</t>
  </si>
  <si>
    <t xml:space="preserve"> 26.71KVAH</t>
  </si>
  <si>
    <t>13.19KVARH</t>
  </si>
  <si>
    <t xml:space="preserve">  15:10:45</t>
  </si>
  <si>
    <t xml:space="preserve">  23.26KWH</t>
  </si>
  <si>
    <t xml:space="preserve"> 26.75KVAH</t>
  </si>
  <si>
    <t>13.20KVARH</t>
  </si>
  <si>
    <t xml:space="preserve">  15:10:47</t>
  </si>
  <si>
    <t xml:space="preserve">  23.29KWH</t>
  </si>
  <si>
    <t xml:space="preserve"> 26.78KVAH</t>
  </si>
  <si>
    <t>13.22KVARH</t>
  </si>
  <si>
    <t xml:space="preserve">  15:10:49</t>
  </si>
  <si>
    <t xml:space="preserve">  23.32KWH</t>
  </si>
  <si>
    <t xml:space="preserve"> 26.82KVAH</t>
  </si>
  <si>
    <t>13.24KVARH</t>
  </si>
  <si>
    <t xml:space="preserve">  15:10:51</t>
  </si>
  <si>
    <t xml:space="preserve">  23.35KWH</t>
  </si>
  <si>
    <t xml:space="preserve"> 26.85KVAH</t>
  </si>
  <si>
    <t>13.25KVARH</t>
  </si>
  <si>
    <t xml:space="preserve">  15:10:53</t>
  </si>
  <si>
    <t xml:space="preserve">  23.38KWH</t>
  </si>
  <si>
    <t xml:space="preserve"> 26.88KVAH</t>
  </si>
  <si>
    <t>13.27KVARH</t>
  </si>
  <si>
    <t xml:space="preserve">  15:10:55</t>
  </si>
  <si>
    <t xml:space="preserve">  23.41KWH</t>
  </si>
  <si>
    <t xml:space="preserve"> 26.92KVAH</t>
  </si>
  <si>
    <t>13.29KVARH</t>
  </si>
  <si>
    <t xml:space="preserve">  15:10:57</t>
  </si>
  <si>
    <t xml:space="preserve">  23.44KWH</t>
  </si>
  <si>
    <t xml:space="preserve"> 26.95KVAH</t>
  </si>
  <si>
    <t>13.30KVARH</t>
  </si>
  <si>
    <t xml:space="preserve">  15:10:59</t>
  </si>
  <si>
    <t xml:space="preserve">  23.47KWH</t>
  </si>
  <si>
    <t xml:space="preserve"> 26.98KVAH</t>
  </si>
  <si>
    <t>13.32KVARH</t>
  </si>
  <si>
    <t xml:space="preserve">  15:11:01</t>
  </si>
  <si>
    <t xml:space="preserve">  23.49KWH</t>
  </si>
  <si>
    <t xml:space="preserve"> 27.02KVAH</t>
  </si>
  <si>
    <t>13.34KVARH</t>
  </si>
  <si>
    <t xml:space="preserve">  15:11:03</t>
  </si>
  <si>
    <t xml:space="preserve">  23.52KWH</t>
  </si>
  <si>
    <t xml:space="preserve"> 27.05KVAH</t>
  </si>
  <si>
    <t>13.35KVARH</t>
  </si>
  <si>
    <t xml:space="preserve">  15:11:05</t>
  </si>
  <si>
    <t xml:space="preserve">  23.55KWH</t>
  </si>
  <si>
    <t xml:space="preserve"> 27.08KVAH</t>
  </si>
  <si>
    <t>13.37KVARH</t>
  </si>
  <si>
    <t xml:space="preserve">  15:11:07</t>
  </si>
  <si>
    <t xml:space="preserve">  23.58KWH</t>
  </si>
  <si>
    <t xml:space="preserve"> 27.12KVAH</t>
  </si>
  <si>
    <t>13.39KVARH</t>
  </si>
  <si>
    <t xml:space="preserve">  15:11:09</t>
  </si>
  <si>
    <t xml:space="preserve">  23.61KWH</t>
  </si>
  <si>
    <t xml:space="preserve"> 27.15KVAH</t>
  </si>
  <si>
    <t>13.40KVARH</t>
  </si>
  <si>
    <t xml:space="preserve">  15:11:11</t>
  </si>
  <si>
    <t xml:space="preserve">  23.64KWH</t>
  </si>
  <si>
    <t xml:space="preserve"> 27.18KVAH</t>
  </si>
  <si>
    <t>13.42KVARH</t>
  </si>
  <si>
    <t xml:space="preserve">  15:11:13</t>
  </si>
  <si>
    <t xml:space="preserve">  23.67KWH</t>
  </si>
  <si>
    <t xml:space="preserve"> 27.22KVAH</t>
  </si>
  <si>
    <t>13.44KVARH</t>
  </si>
  <si>
    <t xml:space="preserve">  15:11:15</t>
  </si>
  <si>
    <t xml:space="preserve">  23.70KWH</t>
  </si>
  <si>
    <t xml:space="preserve"> 27.25KVAH</t>
  </si>
  <si>
    <t>13.45KVARH</t>
  </si>
  <si>
    <t xml:space="preserve">  15:11:17</t>
  </si>
  <si>
    <t xml:space="preserve">  23.73KWH</t>
  </si>
  <si>
    <t xml:space="preserve"> 27.28KVAH</t>
  </si>
  <si>
    <t>13.47KVARH</t>
  </si>
  <si>
    <t xml:space="preserve">  15:11:19</t>
  </si>
  <si>
    <t xml:space="preserve">  23.75KWH</t>
  </si>
  <si>
    <t xml:space="preserve"> 27.32KVAH</t>
  </si>
  <si>
    <t>13.49KVARH</t>
  </si>
  <si>
    <t xml:space="preserve">  15:11:21</t>
  </si>
  <si>
    <t xml:space="preserve">  23.78KWH</t>
  </si>
  <si>
    <t xml:space="preserve"> 27.35KVAH</t>
  </si>
  <si>
    <t>13.50KVARH</t>
  </si>
  <si>
    <t xml:space="preserve">  15:11:23</t>
  </si>
  <si>
    <t xml:space="preserve">  23.81KWH</t>
  </si>
  <si>
    <t xml:space="preserve"> 27.38KVAH</t>
  </si>
  <si>
    <t>13.52KVARH</t>
  </si>
  <si>
    <t xml:space="preserve">  15:11:25</t>
  </si>
  <si>
    <t xml:space="preserve">  23.84KWH</t>
  </si>
  <si>
    <t xml:space="preserve"> 27.42KVAH</t>
  </si>
  <si>
    <t>13.54KVARH</t>
  </si>
  <si>
    <t xml:space="preserve">  15:11:27</t>
  </si>
  <si>
    <t xml:space="preserve">  23.87KWH</t>
  </si>
  <si>
    <t xml:space="preserve"> 27.45KVAH</t>
  </si>
  <si>
    <t>13.55KVARH</t>
  </si>
  <si>
    <t xml:space="preserve">  15:11:29</t>
  </si>
  <si>
    <t xml:space="preserve">  23.90KWH</t>
  </si>
  <si>
    <t xml:space="preserve"> 27.48KVAH</t>
  </si>
  <si>
    <t>13.57KVARH</t>
  </si>
  <si>
    <t xml:space="preserve">  15:11:31</t>
  </si>
  <si>
    <t xml:space="preserve">  23.93KWH</t>
  </si>
  <si>
    <t xml:space="preserve"> 27.52KVAH</t>
  </si>
  <si>
    <t>13.59KVARH</t>
  </si>
  <si>
    <t xml:space="preserve">  15:11:33</t>
  </si>
  <si>
    <t xml:space="preserve">  23.95KWH</t>
  </si>
  <si>
    <t xml:space="preserve"> 27.55KVAH</t>
  </si>
  <si>
    <t>13.60KVARH</t>
  </si>
  <si>
    <t xml:space="preserve">  15:11:35</t>
  </si>
  <si>
    <t xml:space="preserve">  23.98KWH</t>
  </si>
  <si>
    <t xml:space="preserve"> 27.58KVAH</t>
  </si>
  <si>
    <t>13.62KVARH</t>
  </si>
  <si>
    <t xml:space="preserve">  15:11:37</t>
  </si>
  <si>
    <t xml:space="preserve">  24.01KWH</t>
  </si>
  <si>
    <t xml:space="preserve"> 27.61KVAH</t>
  </si>
  <si>
    <t>13.64KVARH</t>
  </si>
  <si>
    <t xml:space="preserve">  15:11:39</t>
  </si>
  <si>
    <t xml:space="preserve">  24.04KWH</t>
  </si>
  <si>
    <t xml:space="preserve"> 27.65KVAH</t>
  </si>
  <si>
    <t>13.65KVARH</t>
  </si>
  <si>
    <t xml:space="preserve">  15:11:41</t>
  </si>
  <si>
    <t xml:space="preserve">  24.07KWH</t>
  </si>
  <si>
    <t xml:space="preserve"> 27.68KVAH</t>
  </si>
  <si>
    <t>13.67KVARH</t>
  </si>
  <si>
    <t xml:space="preserve">  15:11:43</t>
  </si>
  <si>
    <t xml:space="preserve">  24.10KWH</t>
  </si>
  <si>
    <t xml:space="preserve"> 27.71KVAH</t>
  </si>
  <si>
    <t>13.69KVARH</t>
  </si>
  <si>
    <t xml:space="preserve">  15:11:45</t>
  </si>
  <si>
    <t xml:space="preserve">  24.13KWH</t>
  </si>
  <si>
    <t xml:space="preserve"> 27.75KVAH</t>
  </si>
  <si>
    <t>13.70KVARH</t>
  </si>
  <si>
    <t xml:space="preserve">  15:11:47</t>
  </si>
  <si>
    <t xml:space="preserve">  24.15KWH</t>
  </si>
  <si>
    <t xml:space="preserve"> 27.78KVAH</t>
  </si>
  <si>
    <t>13.72KVARH</t>
  </si>
  <si>
    <t xml:space="preserve">  15:11:49</t>
  </si>
  <si>
    <t xml:space="preserve">  24.18KWH</t>
  </si>
  <si>
    <t xml:space="preserve"> 27.81KVAH</t>
  </si>
  <si>
    <t>13.74KVARH</t>
  </si>
  <si>
    <t xml:space="preserve">  15:11:51</t>
  </si>
  <si>
    <t xml:space="preserve">  24.21KWH</t>
  </si>
  <si>
    <t xml:space="preserve"> 27.85KVAH</t>
  </si>
  <si>
    <t>13.75KVARH</t>
  </si>
  <si>
    <t xml:space="preserve">  15:11:53</t>
  </si>
  <si>
    <t xml:space="preserve">  24.24KWH</t>
  </si>
  <si>
    <t xml:space="preserve"> 27.88KVAH</t>
  </si>
  <si>
    <t>13.77KVARH</t>
  </si>
  <si>
    <t xml:space="preserve">  15:11:55</t>
  </si>
  <si>
    <t xml:space="preserve">  24.27KWH</t>
  </si>
  <si>
    <t xml:space="preserve"> 27.91KVAH</t>
  </si>
  <si>
    <t>13.79KVARH</t>
  </si>
  <si>
    <t xml:space="preserve">  15:11:57</t>
  </si>
  <si>
    <t xml:space="preserve">  24.30KWH</t>
  </si>
  <si>
    <t xml:space="preserve"> 27.94KVAH</t>
  </si>
  <si>
    <t>13.80KVARH</t>
  </si>
  <si>
    <t xml:space="preserve">  15:11:59</t>
  </si>
  <si>
    <t xml:space="preserve">  24.32KWH</t>
  </si>
  <si>
    <t xml:space="preserve"> 27.98KVAH</t>
  </si>
  <si>
    <t>13.82KVARH</t>
  </si>
  <si>
    <t xml:space="preserve">  15:12:01</t>
  </si>
  <si>
    <t xml:space="preserve">  24.35KWH</t>
  </si>
  <si>
    <t xml:space="preserve"> 28.01KVAH</t>
  </si>
  <si>
    <t>13.83KVARH</t>
  </si>
  <si>
    <t xml:space="preserve">  15:12:03</t>
  </si>
  <si>
    <t xml:space="preserve">  24.38KWH</t>
  </si>
  <si>
    <t xml:space="preserve"> 28.04KVAH</t>
  </si>
  <si>
    <t>13.85KVARH</t>
  </si>
  <si>
    <t xml:space="preserve">  15:12:05</t>
  </si>
  <si>
    <t xml:space="preserve">  24.41KWH</t>
  </si>
  <si>
    <t xml:space="preserve"> 28.07KVAH</t>
  </si>
  <si>
    <t>13.87KVARH</t>
  </si>
  <si>
    <t xml:space="preserve">  15:12:07</t>
  </si>
  <si>
    <t xml:space="preserve">  24.44KWH</t>
  </si>
  <si>
    <t xml:space="preserve"> 28.11KVAH</t>
  </si>
  <si>
    <t>13.88KVARH</t>
  </si>
  <si>
    <t xml:space="preserve">  15:12:09</t>
  </si>
  <si>
    <t xml:space="preserve">  24.47KWH</t>
  </si>
  <si>
    <t xml:space="preserve"> 28.14KVAH</t>
  </si>
  <si>
    <t>13.90KVARH</t>
  </si>
  <si>
    <t xml:space="preserve">  15:12:11</t>
  </si>
  <si>
    <t xml:space="preserve">  24.49KWH</t>
  </si>
  <si>
    <t xml:space="preserve"> 28.17KVAH</t>
  </si>
  <si>
    <t>13.92KVARH</t>
  </si>
  <si>
    <t xml:space="preserve">  15:12:13</t>
  </si>
  <si>
    <t xml:space="preserve">  24.52KWH</t>
  </si>
  <si>
    <t xml:space="preserve"> 28.20KVAH</t>
  </si>
  <si>
    <t>13.93KVARH</t>
  </si>
  <si>
    <t xml:space="preserve">  15:12:15</t>
  </si>
  <si>
    <t xml:space="preserve">  24.55KWH</t>
  </si>
  <si>
    <t xml:space="preserve"> 28.24KVAH</t>
  </si>
  <si>
    <t>13.95KVARH</t>
  </si>
  <si>
    <t xml:space="preserve">  15:12:17</t>
  </si>
  <si>
    <t xml:space="preserve">  24.58KWH</t>
  </si>
  <si>
    <t xml:space="preserve"> 28.27KVAH</t>
  </si>
  <si>
    <t>13.97KVARH</t>
  </si>
  <si>
    <t xml:space="preserve">  15:12:19</t>
  </si>
  <si>
    <t xml:space="preserve">  24.61KWH</t>
  </si>
  <si>
    <t xml:space="preserve"> 28.30KVAH</t>
  </si>
  <si>
    <t>13.98KVARH</t>
  </si>
  <si>
    <t xml:space="preserve">  15:12:21</t>
  </si>
  <si>
    <t xml:space="preserve">  24.63KWH</t>
  </si>
  <si>
    <t xml:space="preserve"> 28.33KVAH</t>
  </si>
  <si>
    <t>14.00KVARH</t>
  </si>
  <si>
    <t xml:space="preserve">  15:12:23</t>
  </si>
  <si>
    <t xml:space="preserve">  24.66KWH</t>
  </si>
  <si>
    <t xml:space="preserve"> 28.37KVAH</t>
  </si>
  <si>
    <t>14.01KVARH</t>
  </si>
  <si>
    <t xml:space="preserve">  15:12:25</t>
  </si>
  <si>
    <t xml:space="preserve">  24.69KWH</t>
  </si>
  <si>
    <t xml:space="preserve"> 28.40KVAH</t>
  </si>
  <si>
    <t>14.03KVARH</t>
  </si>
  <si>
    <t xml:space="preserve">  15:12:27</t>
  </si>
  <si>
    <t xml:space="preserve">  24.72KWH</t>
  </si>
  <si>
    <t xml:space="preserve"> 28.43KVAH</t>
  </si>
  <si>
    <t>14.05KVARH</t>
  </si>
  <si>
    <t xml:space="preserve">  15:12:29</t>
  </si>
  <si>
    <t xml:space="preserve">  24.75KWH</t>
  </si>
  <si>
    <t xml:space="preserve"> 28.46KVAH</t>
  </si>
  <si>
    <t>14.06KVARH</t>
  </si>
  <si>
    <t xml:space="preserve">  15:12:31</t>
  </si>
  <si>
    <t xml:space="preserve">  24.77KWH</t>
  </si>
  <si>
    <t xml:space="preserve"> 28.50KVAH</t>
  </si>
  <si>
    <t>14.08KVARH</t>
  </si>
  <si>
    <t xml:space="preserve">  15:12:33</t>
  </si>
  <si>
    <t xml:space="preserve">  24.80KWH</t>
  </si>
  <si>
    <t xml:space="preserve"> 28.53KVAH</t>
  </si>
  <si>
    <t>14.10KVARH</t>
  </si>
  <si>
    <t xml:space="preserve">  15:12:35</t>
  </si>
  <si>
    <t xml:space="preserve">   81.00KW</t>
  </si>
  <si>
    <t xml:space="preserve">  90.27KVA</t>
  </si>
  <si>
    <t xml:space="preserve">  24.85KWH</t>
  </si>
  <si>
    <t xml:space="preserve"> 28.58KVAH</t>
  </si>
  <si>
    <t>14.12KVARH</t>
  </si>
  <si>
    <t xml:space="preserve">  15:12:37</t>
  </si>
  <si>
    <t xml:space="preserve">    147.1A</t>
  </si>
  <si>
    <t xml:space="preserve">    137.0A</t>
  </si>
  <si>
    <t xml:space="preserve">    150.5A</t>
  </si>
  <si>
    <t xml:space="preserve">   81.93KW</t>
  </si>
  <si>
    <t xml:space="preserve">  24.89KWH</t>
  </si>
  <si>
    <t xml:space="preserve"> 28.63KVAH</t>
  </si>
  <si>
    <t>14.14KVARH</t>
  </si>
  <si>
    <t xml:space="preserve">  15:12:39</t>
  </si>
  <si>
    <t xml:space="preserve">    152.6A</t>
  </si>
  <si>
    <t xml:space="preserve">   82.98KW</t>
  </si>
  <si>
    <t xml:space="preserve">  92.37KVA</t>
  </si>
  <si>
    <t xml:space="preserve">  24.94KWH</t>
  </si>
  <si>
    <t xml:space="preserve"> 28.68KVAH</t>
  </si>
  <si>
    <t>14.16KVARH</t>
  </si>
  <si>
    <t xml:space="preserve">  15:12:41</t>
  </si>
  <si>
    <t xml:space="preserve">    133.8A</t>
  </si>
  <si>
    <t xml:space="preserve">    100.6A</t>
  </si>
  <si>
    <t xml:space="preserve">   61.47KW</t>
  </si>
  <si>
    <t xml:space="preserve">  70.05KVA</t>
  </si>
  <si>
    <t>-33.60KVAR</t>
  </si>
  <si>
    <t xml:space="preserve">  24.97KWH</t>
  </si>
  <si>
    <t xml:space="preserve"> 28.72KVAH</t>
  </si>
  <si>
    <t>14.18KVARH</t>
  </si>
  <si>
    <t xml:space="preserve">  15:12:43</t>
  </si>
  <si>
    <t xml:space="preserve">    99.93A</t>
  </si>
  <si>
    <t xml:space="preserve">  25.00KWH</t>
  </si>
  <si>
    <t xml:space="preserve"> 28.75KVAH</t>
  </si>
  <si>
    <t>14.20KVARH</t>
  </si>
  <si>
    <t xml:space="preserve">  15:12:45</t>
  </si>
  <si>
    <t xml:space="preserve">   52.95KW</t>
  </si>
  <si>
    <t xml:space="preserve">  25.03KWH</t>
  </si>
  <si>
    <t xml:space="preserve"> 28.79KVAH</t>
  </si>
  <si>
    <t>14.22KVARH</t>
  </si>
  <si>
    <t xml:space="preserve">  15:12:47</t>
  </si>
  <si>
    <t xml:space="preserve">  25.06KWH</t>
  </si>
  <si>
    <t xml:space="preserve"> 28.82KVAH</t>
  </si>
  <si>
    <t>14.23KVARH</t>
  </si>
  <si>
    <t xml:space="preserve">  15:12:49</t>
  </si>
  <si>
    <t xml:space="preserve">  25.09KWH</t>
  </si>
  <si>
    <t xml:space="preserve"> 28.85KVAH</t>
  </si>
  <si>
    <t>14.25KVARH</t>
  </si>
  <si>
    <t xml:space="preserve">  15:12:51</t>
  </si>
  <si>
    <t xml:space="preserve">    99.21A</t>
  </si>
  <si>
    <t xml:space="preserve">  25.12KWH</t>
  </si>
  <si>
    <t xml:space="preserve"> 28.89KVAH</t>
  </si>
  <si>
    <t>14.27KVARH</t>
  </si>
  <si>
    <t xml:space="preserve">  15:12:53</t>
  </si>
  <si>
    <t xml:space="preserve">  25.15KWH</t>
  </si>
  <si>
    <t xml:space="preserve"> 28.92KVAH</t>
  </si>
  <si>
    <t>14.28KVARH</t>
  </si>
  <si>
    <t xml:space="preserve">  15:12:55</t>
  </si>
  <si>
    <t xml:space="preserve">  25.18KWH</t>
  </si>
  <si>
    <t xml:space="preserve"> 28.96KVAH</t>
  </si>
  <si>
    <t>14.30KVARH</t>
  </si>
  <si>
    <t xml:space="preserve">  15:12:57</t>
  </si>
  <si>
    <t xml:space="preserve">  25.21KWH</t>
  </si>
  <si>
    <t xml:space="preserve"> 28.99KVAH</t>
  </si>
  <si>
    <t>14.32KVARH</t>
  </si>
  <si>
    <t xml:space="preserve">  15:12:59</t>
  </si>
  <si>
    <t xml:space="preserve">  25.24KWH</t>
  </si>
  <si>
    <t xml:space="preserve"> 29.02KVAH</t>
  </si>
  <si>
    <t>14.33KVARH</t>
  </si>
  <si>
    <t xml:space="preserve">  15:13:01</t>
  </si>
  <si>
    <t xml:space="preserve">  25.26KWH</t>
  </si>
  <si>
    <t xml:space="preserve"> 29.06KVAH</t>
  </si>
  <si>
    <t>14.35KVARH</t>
  </si>
  <si>
    <t xml:space="preserve">  15:13:03</t>
  </si>
  <si>
    <t xml:space="preserve">  25.29KWH</t>
  </si>
  <si>
    <t xml:space="preserve"> 29.09KVAH</t>
  </si>
  <si>
    <t>14.37KVARH</t>
  </si>
  <si>
    <t xml:space="preserve">  15:13:05</t>
  </si>
  <si>
    <t xml:space="preserve">  25.32KWH</t>
  </si>
  <si>
    <t xml:space="preserve"> 29.12KVAH</t>
  </si>
  <si>
    <t>14.38KVARH</t>
  </si>
  <si>
    <t xml:space="preserve">  15:13:07</t>
  </si>
  <si>
    <t xml:space="preserve">  25.35KWH</t>
  </si>
  <si>
    <t xml:space="preserve"> 29.16KVAH</t>
  </si>
  <si>
    <t>14.40KVARH</t>
  </si>
  <si>
    <t xml:space="preserve">  15:13:09</t>
  </si>
  <si>
    <t xml:space="preserve">  25.38KWH</t>
  </si>
  <si>
    <t xml:space="preserve"> 29.19KVAH</t>
  </si>
  <si>
    <t>14.42KVARH</t>
  </si>
  <si>
    <t xml:space="preserve">  15:13:11</t>
  </si>
  <si>
    <t xml:space="preserve">  25.41KWH</t>
  </si>
  <si>
    <t xml:space="preserve"> 29.22KVAH</t>
  </si>
  <si>
    <t>14.43KVARH</t>
  </si>
  <si>
    <t xml:space="preserve">  15:13:13</t>
  </si>
  <si>
    <t xml:space="preserve">  25.44KWH</t>
  </si>
  <si>
    <t xml:space="preserve"> 29.26KVAH</t>
  </si>
  <si>
    <t>14.45KVARH</t>
  </si>
  <si>
    <t xml:space="preserve">  15:13:15</t>
  </si>
  <si>
    <t xml:space="preserve">  25.47KWH</t>
  </si>
  <si>
    <t xml:space="preserve"> 29.29KVAH</t>
  </si>
  <si>
    <t>14.47KVARH</t>
  </si>
  <si>
    <t xml:space="preserve">  15:13:17</t>
  </si>
  <si>
    <t xml:space="preserve">  25.50KWH</t>
  </si>
  <si>
    <t xml:space="preserve"> 29.32KVAH</t>
  </si>
  <si>
    <t>14.48KVARH</t>
  </si>
  <si>
    <t xml:space="preserve">  15:13:19</t>
  </si>
  <si>
    <t xml:space="preserve">  25.53KWH</t>
  </si>
  <si>
    <t xml:space="preserve"> 29.36KVAH</t>
  </si>
  <si>
    <t>14.50KVARH</t>
  </si>
  <si>
    <t xml:space="preserve">  15:13:21</t>
  </si>
  <si>
    <t xml:space="preserve">  25.55KWH</t>
  </si>
  <si>
    <t xml:space="preserve"> 29.39KVAH</t>
  </si>
  <si>
    <t>14.51KVARH</t>
  </si>
  <si>
    <t xml:space="preserve">  15:13:23</t>
  </si>
  <si>
    <t xml:space="preserve">  25.58KWH</t>
  </si>
  <si>
    <t xml:space="preserve"> 29.42KVAH</t>
  </si>
  <si>
    <t>14.53KVARH</t>
  </si>
  <si>
    <t xml:space="preserve">  15:13:25</t>
  </si>
  <si>
    <t xml:space="preserve">  25.61KWH</t>
  </si>
  <si>
    <t xml:space="preserve"> 29.46KVAH</t>
  </si>
  <si>
    <t>14.55KVARH</t>
  </si>
  <si>
    <t xml:space="preserve">  15:13:27</t>
  </si>
  <si>
    <t xml:space="preserve">  25.64KWH</t>
  </si>
  <si>
    <t xml:space="preserve"> 29.49KVAH</t>
  </si>
  <si>
    <t>14.56KVARH</t>
  </si>
  <si>
    <t xml:space="preserve">  15:13:29</t>
  </si>
  <si>
    <t xml:space="preserve">  25.67KWH</t>
  </si>
  <si>
    <t xml:space="preserve"> 29.52KVAH</t>
  </si>
  <si>
    <t>14.58KVARH</t>
  </si>
  <si>
    <t xml:space="preserve">  15:13:31</t>
  </si>
  <si>
    <t xml:space="preserve">  25.70KWH</t>
  </si>
  <si>
    <t xml:space="preserve"> 29.56KVAH</t>
  </si>
  <si>
    <t>14.60KVARH</t>
  </si>
  <si>
    <t xml:space="preserve">  15:13:33</t>
  </si>
  <si>
    <t xml:space="preserve">  25.73KWH</t>
  </si>
  <si>
    <t xml:space="preserve"> 29.59KVAH</t>
  </si>
  <si>
    <t>14.61KVARH</t>
  </si>
  <si>
    <t xml:space="preserve">  15:13:35</t>
  </si>
  <si>
    <t xml:space="preserve">  25.76KWH</t>
  </si>
  <si>
    <t xml:space="preserve"> 29.62KVAH</t>
  </si>
  <si>
    <t>14.63KVARH</t>
  </si>
  <si>
    <t xml:space="preserve">  15:13:37</t>
  </si>
  <si>
    <t xml:space="preserve">  25.78KWH</t>
  </si>
  <si>
    <t xml:space="preserve"> 29.65KVAH</t>
  </si>
  <si>
    <t>14.65KVARH</t>
  </si>
  <si>
    <t xml:space="preserve">  15:13:39</t>
  </si>
  <si>
    <t xml:space="preserve">  25.81KWH</t>
  </si>
  <si>
    <t xml:space="preserve"> 29.69KVAH</t>
  </si>
  <si>
    <t>14.66KVARH</t>
  </si>
  <si>
    <t xml:space="preserve">  15:13:41</t>
  </si>
  <si>
    <t xml:space="preserve">  25.84KWH</t>
  </si>
  <si>
    <t xml:space="preserve"> 29.72KVAH</t>
  </si>
  <si>
    <t>14.68KVARH</t>
  </si>
  <si>
    <t xml:space="preserve">  15:13:43</t>
  </si>
  <si>
    <t xml:space="preserve">  25.87KWH</t>
  </si>
  <si>
    <t xml:space="preserve"> 29.75KVAH</t>
  </si>
  <si>
    <t>14.70KVARH</t>
  </si>
  <si>
    <t xml:space="preserve">  15:13:45</t>
  </si>
  <si>
    <t xml:space="preserve">  25.90KWH</t>
  </si>
  <si>
    <t xml:space="preserve"> 29.79KVAH</t>
  </si>
  <si>
    <t>14.71KVARH</t>
  </si>
  <si>
    <t xml:space="preserve">  15:13:47</t>
  </si>
  <si>
    <t xml:space="preserve">  25.93KWH</t>
  </si>
  <si>
    <t xml:space="preserve"> 29.82KVAH</t>
  </si>
  <si>
    <t>14.73KVARH</t>
  </si>
  <si>
    <t xml:space="preserve">  15:13:49</t>
  </si>
  <si>
    <t xml:space="preserve">  25.96KWH</t>
  </si>
  <si>
    <t xml:space="preserve"> 29.85KVAH</t>
  </si>
  <si>
    <t>14.75KVARH</t>
  </si>
  <si>
    <t xml:space="preserve">  15:13:51</t>
  </si>
  <si>
    <t xml:space="preserve">  25.98KWH</t>
  </si>
  <si>
    <t xml:space="preserve"> 29.89KVAH</t>
  </si>
  <si>
    <t>14.76KVARH</t>
  </si>
  <si>
    <t xml:space="preserve">  15:13:53</t>
  </si>
  <si>
    <t xml:space="preserve">  26.01KWH</t>
  </si>
  <si>
    <t xml:space="preserve"> 29.92KVAH</t>
  </si>
  <si>
    <t>14.78KVARH</t>
  </si>
  <si>
    <t xml:space="preserve">  15:13:55</t>
  </si>
  <si>
    <t xml:space="preserve">  26.04KWH</t>
  </si>
  <si>
    <t xml:space="preserve"> 29.95KVAH</t>
  </si>
  <si>
    <t>14.80KVARH</t>
  </si>
  <si>
    <t xml:space="preserve">  15:13:57</t>
  </si>
  <si>
    <t xml:space="preserve">  26.07KWH</t>
  </si>
  <si>
    <t xml:space="preserve"> 29.99KVAH</t>
  </si>
  <si>
    <t>14.81KVARH</t>
  </si>
  <si>
    <t xml:space="preserve">  15:13:59</t>
  </si>
  <si>
    <t xml:space="preserve">  26.10KWH</t>
  </si>
  <si>
    <t xml:space="preserve"> 30.02KVAH</t>
  </si>
  <si>
    <t>14.83KVARH</t>
  </si>
  <si>
    <t xml:space="preserve">  15:14:01</t>
  </si>
  <si>
    <t xml:space="preserve">  26.13KWH</t>
  </si>
  <si>
    <t xml:space="preserve"> 30.05KVAH</t>
  </si>
  <si>
    <t>14.84KVARH</t>
  </si>
  <si>
    <t xml:space="preserve">  15:14:03</t>
  </si>
  <si>
    <t xml:space="preserve">  26.16KWH</t>
  </si>
  <si>
    <t xml:space="preserve"> 30.08KVAH</t>
  </si>
  <si>
    <t>14.86KVARH</t>
  </si>
  <si>
    <t xml:space="preserve">  15:14:05</t>
  </si>
  <si>
    <t xml:space="preserve">  26.18KWH</t>
  </si>
  <si>
    <t xml:space="preserve"> 30.12KVAH</t>
  </si>
  <si>
    <t>14.88KVARH</t>
  </si>
  <si>
    <t xml:space="preserve">  15:14:07</t>
  </si>
  <si>
    <t xml:space="preserve">  26.21KWH</t>
  </si>
  <si>
    <t xml:space="preserve"> 30.15KVAH</t>
  </si>
  <si>
    <t>14.89KVARH</t>
  </si>
  <si>
    <t xml:space="preserve">  15:14:09</t>
  </si>
  <si>
    <t xml:space="preserve">  26.24KWH</t>
  </si>
  <si>
    <t xml:space="preserve"> 30.18KVAH</t>
  </si>
  <si>
    <t>14.91KVARH</t>
  </si>
  <si>
    <t xml:space="preserve">  15:14:11</t>
  </si>
  <si>
    <t xml:space="preserve">  26.27KWH</t>
  </si>
  <si>
    <t xml:space="preserve"> 30.21KVAH</t>
  </si>
  <si>
    <t>14.93KVARH</t>
  </si>
  <si>
    <t xml:space="preserve">  15:14:13</t>
  </si>
  <si>
    <t xml:space="preserve">  26.30KWH</t>
  </si>
  <si>
    <t xml:space="preserve"> 30.25KVAH</t>
  </si>
  <si>
    <t>14.94KVARH</t>
  </si>
  <si>
    <t xml:space="preserve">  15:14:15</t>
  </si>
  <si>
    <t xml:space="preserve">  26.33KWH</t>
  </si>
  <si>
    <t xml:space="preserve"> 30.28KVAH</t>
  </si>
  <si>
    <t>14.96KVARH</t>
  </si>
  <si>
    <t xml:space="preserve">  15:14:17</t>
  </si>
  <si>
    <t xml:space="preserve">  26.35KWH</t>
  </si>
  <si>
    <t xml:space="preserve"> 30.31KVAH</t>
  </si>
  <si>
    <t>14.98KVARH</t>
  </si>
  <si>
    <t xml:space="preserve">  15:14:19</t>
  </si>
  <si>
    <t xml:space="preserve">  26.38KWH</t>
  </si>
  <si>
    <t xml:space="preserve"> 30.35KVAH</t>
  </si>
  <si>
    <t>14.99KVARH</t>
  </si>
  <si>
    <t xml:space="preserve">  15:14:21</t>
  </si>
  <si>
    <t xml:space="preserve">  26.41KWH</t>
  </si>
  <si>
    <t xml:space="preserve"> 30.38KVAH</t>
  </si>
  <si>
    <t>15.01KVARH</t>
  </si>
  <si>
    <t xml:space="preserve">  15:14:23</t>
  </si>
  <si>
    <t xml:space="preserve">  26.44KWH</t>
  </si>
  <si>
    <t xml:space="preserve"> 30.41KVAH</t>
  </si>
  <si>
    <t>15.02KVARH</t>
  </si>
  <si>
    <t xml:space="preserve">  15:14:25</t>
  </si>
  <si>
    <t xml:space="preserve">  26.47KWH</t>
  </si>
  <si>
    <t xml:space="preserve"> 30.44KVAH</t>
  </si>
  <si>
    <t>15.04KVARH</t>
  </si>
  <si>
    <t xml:space="preserve">  15:14:27</t>
  </si>
  <si>
    <t xml:space="preserve">  26.50KWH</t>
  </si>
  <si>
    <t xml:space="preserve"> 30.48KVAH</t>
  </si>
  <si>
    <t>15.06KVARH</t>
  </si>
  <si>
    <t xml:space="preserve">  15:14:29</t>
  </si>
  <si>
    <t xml:space="preserve">  26.52KWH</t>
  </si>
  <si>
    <t xml:space="preserve"> 30.51KVAH</t>
  </si>
  <si>
    <t>15.07KVARH</t>
  </si>
  <si>
    <t xml:space="preserve">  15:14:31</t>
  </si>
  <si>
    <t xml:space="preserve">  26.55KWH</t>
  </si>
  <si>
    <t xml:space="preserve"> 30.54KVAH</t>
  </si>
  <si>
    <t>15.09KVARH</t>
  </si>
  <si>
    <t xml:space="preserve">  15:14:33</t>
  </si>
  <si>
    <t xml:space="preserve">  26.58KWH</t>
  </si>
  <si>
    <t xml:space="preserve"> 30.57KVAH</t>
  </si>
  <si>
    <t>15.11KVARH</t>
  </si>
  <si>
    <t xml:space="preserve">  15:14:35</t>
  </si>
  <si>
    <t xml:space="preserve">  26.61KWH</t>
  </si>
  <si>
    <t xml:space="preserve"> 30.61KVAH</t>
  </si>
  <si>
    <t>15.12KVARH</t>
  </si>
  <si>
    <t xml:space="preserve">  15:14:37</t>
  </si>
  <si>
    <t xml:space="preserve">  26.64KWH</t>
  </si>
  <si>
    <t xml:space="preserve"> 30.64KVAH</t>
  </si>
  <si>
    <t>15.14KVARH</t>
  </si>
  <si>
    <t xml:space="preserve">  15:14:39</t>
  </si>
  <si>
    <t xml:space="preserve">  26.66KWH</t>
  </si>
  <si>
    <t xml:space="preserve"> 30.67KVAH</t>
  </si>
  <si>
    <t>15.16KVARH</t>
  </si>
  <si>
    <t xml:space="preserve">  15:14:41</t>
  </si>
  <si>
    <t xml:space="preserve">  26.69KWH</t>
  </si>
  <si>
    <t xml:space="preserve"> 30.70KVAH</t>
  </si>
  <si>
    <t>15.17KVARH</t>
  </si>
  <si>
    <t xml:space="preserve">  15:14:43</t>
  </si>
  <si>
    <t xml:space="preserve">  26.72KWH</t>
  </si>
  <si>
    <t xml:space="preserve"> 30.74KVAH</t>
  </si>
  <si>
    <t>15.19KVARH</t>
  </si>
  <si>
    <t xml:space="preserve">  15:14:45</t>
  </si>
  <si>
    <t xml:space="preserve">    106.2A</t>
  </si>
  <si>
    <t xml:space="preserve">  26.75KWH</t>
  </si>
  <si>
    <t xml:space="preserve"> 30.77KVAH</t>
  </si>
  <si>
    <t>15.20KVARH</t>
  </si>
  <si>
    <t xml:space="preserve">  15:14:47</t>
  </si>
  <si>
    <t xml:space="preserve">    144.5A</t>
  </si>
  <si>
    <t xml:space="preserve">    135.2A</t>
  </si>
  <si>
    <t xml:space="preserve">  89.58KVA</t>
  </si>
  <si>
    <t>-39.39KVAR</t>
  </si>
  <si>
    <t xml:space="preserve">  26.79KWH</t>
  </si>
  <si>
    <t xml:space="preserve"> 30.82KVAH</t>
  </si>
  <si>
    <t>15.23KVARH</t>
  </si>
  <si>
    <t xml:space="preserve">  15:14:49</t>
  </si>
  <si>
    <t xml:space="preserve">   82.23KW</t>
  </si>
  <si>
    <t xml:space="preserve">  91.53KVA</t>
  </si>
  <si>
    <t xml:space="preserve">  26.84KWH</t>
  </si>
  <si>
    <t xml:space="preserve"> 30.87KVAH</t>
  </si>
  <si>
    <t>15.25KVARH</t>
  </si>
  <si>
    <t xml:space="preserve">  15:14:51</t>
  </si>
  <si>
    <t xml:space="preserve">   82.74KW</t>
  </si>
  <si>
    <t xml:space="preserve">  26.89KWH</t>
  </si>
  <si>
    <t xml:space="preserve"> 30.92KVAH</t>
  </si>
  <si>
    <t>15.27KVARH</t>
  </si>
  <si>
    <t xml:space="preserve">  15:14:53</t>
  </si>
  <si>
    <t xml:space="preserve">    132.0A</t>
  </si>
  <si>
    <t xml:space="preserve">    110.5A</t>
  </si>
  <si>
    <t xml:space="preserve">   73.17KW</t>
  </si>
  <si>
    <t xml:space="preserve">  82.35KVA</t>
  </si>
  <si>
    <t>-37.80KVAR</t>
  </si>
  <si>
    <t xml:space="preserve">  26.93KWH</t>
  </si>
  <si>
    <t xml:space="preserve"> 30.97KVAH</t>
  </si>
  <si>
    <t>15.29KVARH</t>
  </si>
  <si>
    <t xml:space="preserve">   53.50KW</t>
  </si>
  <si>
    <t xml:space="preserve">  61.62KVA</t>
  </si>
  <si>
    <t xml:space="preserve">  15:14:55</t>
  </si>
  <si>
    <t xml:space="preserve">  26.96KWH</t>
  </si>
  <si>
    <t xml:space="preserve"> 31.00KVAH</t>
  </si>
  <si>
    <t>15.31KVARH</t>
  </si>
  <si>
    <t xml:space="preserve">  15:14:57</t>
  </si>
  <si>
    <t xml:space="preserve">    90.51A</t>
  </si>
  <si>
    <t xml:space="preserve">  26.98KWH</t>
  </si>
  <si>
    <t xml:space="preserve"> 31.03KVAH</t>
  </si>
  <si>
    <t>15.33KVARH</t>
  </si>
  <si>
    <t xml:space="preserve">  15:14:59</t>
  </si>
  <si>
    <t xml:space="preserve">  27.01KWH</t>
  </si>
  <si>
    <t xml:space="preserve"> 31.07KVAH</t>
  </si>
  <si>
    <t>15.34KVARH</t>
  </si>
  <si>
    <t xml:space="preserve">  15:15:01</t>
  </si>
  <si>
    <t xml:space="preserve">  27.04KWH</t>
  </si>
  <si>
    <t xml:space="preserve"> 31.10KVAH</t>
  </si>
  <si>
    <t>15.36KVARH</t>
  </si>
  <si>
    <t xml:space="preserve">  15:15:03</t>
  </si>
  <si>
    <t xml:space="preserve">  27.07KWH</t>
  </si>
  <si>
    <t xml:space="preserve"> 31.14KVAH</t>
  </si>
  <si>
    <t>15.38KVARH</t>
  </si>
  <si>
    <t xml:space="preserve">  15:15:05</t>
  </si>
  <si>
    <t xml:space="preserve">  27.10KWH</t>
  </si>
  <si>
    <t xml:space="preserve"> 31.17KVAH</t>
  </si>
  <si>
    <t>15.39KVARH</t>
  </si>
  <si>
    <t xml:space="preserve">  15:15:07</t>
  </si>
  <si>
    <t xml:space="preserve">  27.13KWH</t>
  </si>
  <si>
    <t xml:space="preserve"> 31.20KVAH</t>
  </si>
  <si>
    <t>15.41KVARH</t>
  </si>
  <si>
    <t xml:space="preserve">  15:15:09</t>
  </si>
  <si>
    <t xml:space="preserve">  27.16KWH</t>
  </si>
  <si>
    <t xml:space="preserve"> 31.24KVAH</t>
  </si>
  <si>
    <t>15.43KVARH</t>
  </si>
  <si>
    <t xml:space="preserve">  15:15:11</t>
  </si>
  <si>
    <t xml:space="preserve">  27.19KWH</t>
  </si>
  <si>
    <t xml:space="preserve"> 31.27KVAH</t>
  </si>
  <si>
    <t>15.44KVARH</t>
  </si>
  <si>
    <t xml:space="preserve">  15:15:13</t>
  </si>
  <si>
    <t xml:space="preserve">  27.22KWH</t>
  </si>
  <si>
    <t xml:space="preserve"> 31.30KVAH</t>
  </si>
  <si>
    <t>15.46KVARH</t>
  </si>
  <si>
    <t xml:space="preserve">  15:15:15</t>
  </si>
  <si>
    <t xml:space="preserve">  27.25KWH</t>
  </si>
  <si>
    <t xml:space="preserve"> 31.34KVAH</t>
  </si>
  <si>
    <t>15.48KVARH</t>
  </si>
  <si>
    <t xml:space="preserve">  15:15:17</t>
  </si>
  <si>
    <t xml:space="preserve">  27.28KWH</t>
  </si>
  <si>
    <t xml:space="preserve"> 31.37KVAH</t>
  </si>
  <si>
    <t>15.49KVARH</t>
  </si>
  <si>
    <t xml:space="preserve">  15:15:19</t>
  </si>
  <si>
    <t xml:space="preserve">  27.30KWH</t>
  </si>
  <si>
    <t xml:space="preserve"> 31.40KVAH</t>
  </si>
  <si>
    <t>15.51KVARH</t>
  </si>
  <si>
    <t xml:space="preserve">  15:15:21</t>
  </si>
  <si>
    <t xml:space="preserve">  27.33KWH</t>
  </si>
  <si>
    <t xml:space="preserve"> 31.44KVAH</t>
  </si>
  <si>
    <t>15.52KVARH</t>
  </si>
  <si>
    <t xml:space="preserve">  15:15:23</t>
  </si>
  <si>
    <t xml:space="preserve">  27.36KWH</t>
  </si>
  <si>
    <t xml:space="preserve"> 31.47KVAH</t>
  </si>
  <si>
    <t>15.54KVARH</t>
  </si>
  <si>
    <t xml:space="preserve">  15:15:25</t>
  </si>
  <si>
    <t xml:space="preserve">  27.39KWH</t>
  </si>
  <si>
    <t xml:space="preserve"> 31.50KVAH</t>
  </si>
  <si>
    <t>15.56KVARH</t>
  </si>
  <si>
    <t xml:space="preserve">  15:15:27</t>
  </si>
  <si>
    <t xml:space="preserve">  27.42KWH</t>
  </si>
  <si>
    <t xml:space="preserve"> 31.53KVAH</t>
  </si>
  <si>
    <t>15.57KVARH</t>
  </si>
  <si>
    <t xml:space="preserve">  15:15:29</t>
  </si>
  <si>
    <t xml:space="preserve">  27.45KWH</t>
  </si>
  <si>
    <t xml:space="preserve"> 31.57KVAH</t>
  </si>
  <si>
    <t>15.59KVARH</t>
  </si>
  <si>
    <t xml:space="preserve">  15:15:31</t>
  </si>
  <si>
    <t xml:space="preserve">  27.48KWH</t>
  </si>
  <si>
    <t xml:space="preserve"> 31.60KVAH</t>
  </si>
  <si>
    <t>15.61KVARH</t>
  </si>
  <si>
    <t xml:space="preserve">  15:15:33</t>
  </si>
  <si>
    <t xml:space="preserve">  27.51KWH</t>
  </si>
  <si>
    <t xml:space="preserve"> 31.63KVAH</t>
  </si>
  <si>
    <t>15.62KVARH</t>
  </si>
  <si>
    <t xml:space="preserve">  15:15:35</t>
  </si>
  <si>
    <t xml:space="preserve">  27.53KWH</t>
  </si>
  <si>
    <t xml:space="preserve"> 31.67KVAH</t>
  </si>
  <si>
    <t>15.64KVARH</t>
  </si>
  <si>
    <t xml:space="preserve">  15:15:37</t>
  </si>
  <si>
    <t xml:space="preserve">  27.56KWH</t>
  </si>
  <si>
    <t xml:space="preserve"> 31.70KVAH</t>
  </si>
  <si>
    <t>15.66KVARH</t>
  </si>
  <si>
    <t xml:space="preserve">  15:15:39</t>
  </si>
  <si>
    <t xml:space="preserve">  27.59KWH</t>
  </si>
  <si>
    <t xml:space="preserve"> 31.73KVAH</t>
  </si>
  <si>
    <t>15.67KVARH</t>
  </si>
  <si>
    <t xml:space="preserve">  15:15:41</t>
  </si>
  <si>
    <t xml:space="preserve">  27.62KWH</t>
  </si>
  <si>
    <t xml:space="preserve"> 31.76KVAH</t>
  </si>
  <si>
    <t>15.69KVARH</t>
  </si>
  <si>
    <t xml:space="preserve">  15:15:43</t>
  </si>
  <si>
    <t xml:space="preserve">  27.65KWH</t>
  </si>
  <si>
    <t xml:space="preserve"> 31.80KVAH</t>
  </si>
  <si>
    <t>15.71KVARH</t>
  </si>
  <si>
    <t xml:space="preserve">  15:15:45</t>
  </si>
  <si>
    <t xml:space="preserve">  27.68KWH</t>
  </si>
  <si>
    <t xml:space="preserve"> 31.83KVAH</t>
  </si>
  <si>
    <t>15.72KVARH</t>
  </si>
  <si>
    <t xml:space="preserve">  15:15:47</t>
  </si>
  <si>
    <t xml:space="preserve">  27.70KWH</t>
  </si>
  <si>
    <t xml:space="preserve"> 31.86KVAH</t>
  </si>
  <si>
    <t>15.74KVARH</t>
  </si>
  <si>
    <t xml:space="preserve">  15:15:49</t>
  </si>
  <si>
    <t xml:space="preserve">  27.73KWH</t>
  </si>
  <si>
    <t xml:space="preserve"> 31.90KVAH</t>
  </si>
  <si>
    <t>15.75KVARH</t>
  </si>
  <si>
    <t xml:space="preserve">  15:15:51</t>
  </si>
  <si>
    <t xml:space="preserve">  27.76KWH</t>
  </si>
  <si>
    <t xml:space="preserve"> 31.93KVAH</t>
  </si>
  <si>
    <t>15.77KVARH</t>
  </si>
  <si>
    <t xml:space="preserve">  15:15:53</t>
  </si>
  <si>
    <t xml:space="preserve">  27.79KWH</t>
  </si>
  <si>
    <t xml:space="preserve"> 31.96KVAH</t>
  </si>
  <si>
    <t>15.79KVARH</t>
  </si>
  <si>
    <t xml:space="preserve">  15:15:55</t>
  </si>
  <si>
    <t xml:space="preserve">  27.82KWH</t>
  </si>
  <si>
    <t xml:space="preserve"> 31.99KVAH</t>
  </si>
  <si>
    <t>15.80KVARH</t>
  </si>
  <si>
    <t xml:space="preserve">  15:15:57</t>
  </si>
  <si>
    <t xml:space="preserve">  27.84KWH</t>
  </si>
  <si>
    <t xml:space="preserve"> 32.03KVAH</t>
  </si>
  <si>
    <t>15.82KVARH</t>
  </si>
  <si>
    <t xml:space="preserve">  15:15:59</t>
  </si>
  <si>
    <t xml:space="preserve">  27.87KWH</t>
  </si>
  <si>
    <t xml:space="preserve"> 32.06KVAH</t>
  </si>
  <si>
    <t>15.84KVARH</t>
  </si>
  <si>
    <t xml:space="preserve">  15:16:01</t>
  </si>
  <si>
    <t xml:space="preserve">  27.90KWH</t>
  </si>
  <si>
    <t xml:space="preserve"> 32.09KVAH</t>
  </si>
  <si>
    <t>15.85KVARH</t>
  </si>
  <si>
    <t xml:space="preserve">  15:16:03</t>
  </si>
  <si>
    <t xml:space="preserve">  27.93KWH</t>
  </si>
  <si>
    <t xml:space="preserve"> 32.12KVAH</t>
  </si>
  <si>
    <t>15.87KVARH</t>
  </si>
  <si>
    <t xml:space="preserve">  15:16:05</t>
  </si>
  <si>
    <t xml:space="preserve">  27.96KWH</t>
  </si>
  <si>
    <t xml:space="preserve"> 32.16KVAH</t>
  </si>
  <si>
    <t>15.89KVARH</t>
  </si>
  <si>
    <t xml:space="preserve">  15:16:07</t>
  </si>
  <si>
    <t xml:space="preserve">  27.98KWH</t>
  </si>
  <si>
    <t xml:space="preserve"> 32.19KVAH</t>
  </si>
  <si>
    <t>15.90KVARH</t>
  </si>
  <si>
    <t xml:space="preserve">  15:16:09</t>
  </si>
  <si>
    <t xml:space="preserve">  28.01KWH</t>
  </si>
  <si>
    <t xml:space="preserve"> 32.22KVAH</t>
  </si>
  <si>
    <t>15.92KVARH</t>
  </si>
  <si>
    <t xml:space="preserve">  15:16:11</t>
  </si>
  <si>
    <t xml:space="preserve">  28.04KWH</t>
  </si>
  <si>
    <t xml:space="preserve"> 32.25KVAH</t>
  </si>
  <si>
    <t>15.93KVARH</t>
  </si>
  <si>
    <t xml:space="preserve">  15:16:13</t>
  </si>
  <si>
    <t xml:space="preserve">    145.8A</t>
  </si>
  <si>
    <t xml:space="preserve">   81.21KW</t>
  </si>
  <si>
    <t xml:space="preserve">  90.48KVA</t>
  </si>
  <si>
    <t xml:space="preserve">  28.09KWH</t>
  </si>
  <si>
    <t xml:space="preserve"> 32.30KVAH</t>
  </si>
  <si>
    <t>15.96KVARH</t>
  </si>
  <si>
    <t xml:space="preserve">  15:16:15</t>
  </si>
  <si>
    <t xml:space="preserve">  91.35KVA</t>
  </si>
  <si>
    <t xml:space="preserve">  28.13KWH</t>
  </si>
  <si>
    <t xml:space="preserve"> 32.35KVAH</t>
  </si>
  <si>
    <t>15.98KVARH</t>
  </si>
  <si>
    <t xml:space="preserve">  15:16:17</t>
  </si>
  <si>
    <t xml:space="preserve">   82.95KW</t>
  </si>
  <si>
    <t xml:space="preserve">  28.18KWH</t>
  </si>
  <si>
    <t xml:space="preserve"> 32.40KVAH</t>
  </si>
  <si>
    <t>16.00KVARH</t>
  </si>
  <si>
    <t xml:space="preserve">  15:16:19</t>
  </si>
  <si>
    <t xml:space="preserve">    149.6A</t>
  </si>
  <si>
    <t xml:space="preserve">   80.16KW</t>
  </si>
  <si>
    <t xml:space="preserve">  28.22KWH</t>
  </si>
  <si>
    <t xml:space="preserve"> 32.45KVAH</t>
  </si>
  <si>
    <t>16.02KVARH</t>
  </si>
  <si>
    <t xml:space="preserve">  15:16:21</t>
  </si>
  <si>
    <t xml:space="preserve">  28.25KWH</t>
  </si>
  <si>
    <t xml:space="preserve"> 32.49KVAH</t>
  </si>
  <si>
    <t>16.04KVARH</t>
  </si>
  <si>
    <t xml:space="preserve">  15:16:23</t>
  </si>
  <si>
    <t xml:space="preserve">  28.28KWH</t>
  </si>
  <si>
    <t xml:space="preserve"> 32.52KVAH</t>
  </si>
  <si>
    <t>16.06KVARH</t>
  </si>
  <si>
    <t xml:space="preserve">  15:16:25</t>
  </si>
  <si>
    <t xml:space="preserve">  28.31KWH</t>
  </si>
  <si>
    <t xml:space="preserve"> 32.56KVAH</t>
  </si>
  <si>
    <t>16.07KVARH</t>
  </si>
  <si>
    <t xml:space="preserve">  15:16:27</t>
  </si>
  <si>
    <t xml:space="preserve">  28.34KWH</t>
  </si>
  <si>
    <t xml:space="preserve"> 32.59KVAH</t>
  </si>
  <si>
    <t>16.09KVARH</t>
  </si>
  <si>
    <t xml:space="preserve">  15:16:29</t>
  </si>
  <si>
    <t xml:space="preserve">  28.37KWH</t>
  </si>
  <si>
    <t xml:space="preserve"> 32.62KVAH</t>
  </si>
  <si>
    <t>16.11KVARH</t>
  </si>
  <si>
    <t xml:space="preserve">  15:16:31</t>
  </si>
  <si>
    <t xml:space="preserve">  28.40KWH</t>
  </si>
  <si>
    <t xml:space="preserve"> 32.66KVAH</t>
  </si>
  <si>
    <t>16.12KVARH</t>
  </si>
  <si>
    <t xml:space="preserve">  15:16:33</t>
  </si>
  <si>
    <t xml:space="preserve">  28.43KWH</t>
  </si>
  <si>
    <t xml:space="preserve"> 32.69KVAH</t>
  </si>
  <si>
    <t>16.14KVARH</t>
  </si>
  <si>
    <t xml:space="preserve">  15:16:35</t>
  </si>
  <si>
    <t xml:space="preserve">  28.46KWH</t>
  </si>
  <si>
    <t xml:space="preserve"> 32.72KVAH</t>
  </si>
  <si>
    <t>16.16KVARH</t>
  </si>
  <si>
    <t xml:space="preserve">  15:16:37</t>
  </si>
  <si>
    <t xml:space="preserve">  28.48KWH</t>
  </si>
  <si>
    <t xml:space="preserve"> 32.76KVAH</t>
  </si>
  <si>
    <t>16.17KVARH</t>
  </si>
  <si>
    <t xml:space="preserve">  15:16:39</t>
  </si>
  <si>
    <t xml:space="preserve">  28.51KWH</t>
  </si>
  <si>
    <t xml:space="preserve"> 32.79KVAH</t>
  </si>
  <si>
    <t>16.19KVARH</t>
  </si>
  <si>
    <t xml:space="preserve">  15:16:41</t>
  </si>
  <si>
    <t xml:space="preserve">  28.54KWH</t>
  </si>
  <si>
    <t xml:space="preserve"> 32.82KVAH</t>
  </si>
  <si>
    <t>16.21KVARH</t>
  </si>
  <si>
    <t xml:space="preserve">  15:16:43</t>
  </si>
  <si>
    <t xml:space="preserve">  28.57KWH</t>
  </si>
  <si>
    <t xml:space="preserve"> 32.86KVAH</t>
  </si>
  <si>
    <t>16.22KVARH</t>
  </si>
  <si>
    <t xml:space="preserve">  15:16:45</t>
  </si>
  <si>
    <t xml:space="preserve">  28.60KWH</t>
  </si>
  <si>
    <t xml:space="preserve"> 32.89KVAH</t>
  </si>
  <si>
    <t>16.24KVARH</t>
  </si>
  <si>
    <t xml:space="preserve">  15:16:47</t>
  </si>
  <si>
    <t xml:space="preserve">  28.63KWH</t>
  </si>
  <si>
    <t xml:space="preserve"> 32.92KVAH</t>
  </si>
  <si>
    <t>16.26KVARH</t>
  </si>
  <si>
    <t xml:space="preserve">  15:16:49</t>
  </si>
  <si>
    <t xml:space="preserve">  28.66KWH</t>
  </si>
  <si>
    <t xml:space="preserve"> 32.96KVAH</t>
  </si>
  <si>
    <t>16.27KVARH</t>
  </si>
  <si>
    <t xml:space="preserve">  15:16:51</t>
  </si>
  <si>
    <t xml:space="preserve">  28.69KWH</t>
  </si>
  <si>
    <t xml:space="preserve"> 32.99KVAH</t>
  </si>
  <si>
    <t>16.29KVARH</t>
  </si>
  <si>
    <t xml:space="preserve">  15:16:53</t>
  </si>
  <si>
    <t xml:space="preserve">  28.71KWH</t>
  </si>
  <si>
    <t xml:space="preserve"> 33.02KVAH</t>
  </si>
  <si>
    <t>16.30KVARH</t>
  </si>
  <si>
    <t xml:space="preserve">  15:16:55</t>
  </si>
  <si>
    <t xml:space="preserve">  28.74KWH</t>
  </si>
  <si>
    <t xml:space="preserve"> 33.05KVAH</t>
  </si>
  <si>
    <t>16.32KVARH</t>
  </si>
  <si>
    <t xml:space="preserve">  15:16:57</t>
  </si>
  <si>
    <t xml:space="preserve">  28.77KWH</t>
  </si>
  <si>
    <t xml:space="preserve"> 33.09KVAH</t>
  </si>
  <si>
    <t>16.34KVARH</t>
  </si>
  <si>
    <t xml:space="preserve">  15:16:59</t>
  </si>
  <si>
    <t xml:space="preserve">  28.80KWH</t>
  </si>
  <si>
    <t xml:space="preserve"> 33.12KVAH</t>
  </si>
  <si>
    <t>16.35KVARH</t>
  </si>
  <si>
    <t xml:space="preserve">  15:17:01</t>
  </si>
  <si>
    <t xml:space="preserve">  28.83KWH</t>
  </si>
  <si>
    <t xml:space="preserve"> 33.15KVAH</t>
  </si>
  <si>
    <t>16.37KVARH</t>
  </si>
  <si>
    <t xml:space="preserve">  15:17:03</t>
  </si>
  <si>
    <t xml:space="preserve">  28.86KWH</t>
  </si>
  <si>
    <t xml:space="preserve"> 33.19KVAH</t>
  </si>
  <si>
    <t>16.39KVARH</t>
  </si>
  <si>
    <t xml:space="preserve">  15:17:05</t>
  </si>
  <si>
    <t xml:space="preserve">  28.89KWH</t>
  </si>
  <si>
    <t xml:space="preserve"> 33.22KVAH</t>
  </si>
  <si>
    <t>16.40KVARH</t>
  </si>
  <si>
    <t xml:space="preserve">  15:17:07</t>
  </si>
  <si>
    <t xml:space="preserve">  28.91KWH</t>
  </si>
  <si>
    <t xml:space="preserve"> 33.25KVAH</t>
  </si>
  <si>
    <t>16.42KVARH</t>
  </si>
  <si>
    <t xml:space="preserve">  15:17:09</t>
  </si>
  <si>
    <t xml:space="preserve">  28.94KWH</t>
  </si>
  <si>
    <t xml:space="preserve"> 33.28KVAH</t>
  </si>
  <si>
    <t>16.44KVARH</t>
  </si>
  <si>
    <t xml:space="preserve">  15:17:11</t>
  </si>
  <si>
    <t xml:space="preserve">  28.97KWH</t>
  </si>
  <si>
    <t xml:space="preserve"> 33.32KVAH</t>
  </si>
  <si>
    <t>16.45KVARH</t>
  </si>
  <si>
    <t xml:space="preserve">  15:17:13</t>
  </si>
  <si>
    <t xml:space="preserve">  29.00KWH</t>
  </si>
  <si>
    <t xml:space="preserve"> 33.35KVAH</t>
  </si>
  <si>
    <t>16.47KVARH</t>
  </si>
  <si>
    <t xml:space="preserve">  15:17:15</t>
  </si>
  <si>
    <t xml:space="preserve">  29.03KWH</t>
  </si>
  <si>
    <t xml:space="preserve"> 33.38KVAH</t>
  </si>
  <si>
    <t>16.49KVARH</t>
  </si>
  <si>
    <t xml:space="preserve">  15:17:17</t>
  </si>
  <si>
    <t xml:space="preserve">  29.06KWH</t>
  </si>
  <si>
    <t xml:space="preserve"> 33.42KVAH</t>
  </si>
  <si>
    <t>16.50KVARH</t>
  </si>
  <si>
    <t xml:space="preserve">  15:17:19</t>
  </si>
  <si>
    <t xml:space="preserve">  29.08KWH</t>
  </si>
  <si>
    <t xml:space="preserve"> 33.45KVAH</t>
  </si>
  <si>
    <t>16.52KVARH</t>
  </si>
  <si>
    <t xml:space="preserve">  15:17:21</t>
  </si>
  <si>
    <t xml:space="preserve">  29.11KWH</t>
  </si>
  <si>
    <t xml:space="preserve"> 33.48KVAH</t>
  </si>
  <si>
    <t>16.53KVARH</t>
  </si>
  <si>
    <t xml:space="preserve">  15:17:23</t>
  </si>
  <si>
    <t xml:space="preserve">  29.14KWH</t>
  </si>
  <si>
    <t xml:space="preserve"> 33.51KVAH</t>
  </si>
  <si>
    <t>16.55KVARH</t>
  </si>
  <si>
    <t xml:space="preserve">  15:17:25</t>
  </si>
  <si>
    <t xml:space="preserve">  29.17KWH</t>
  </si>
  <si>
    <t xml:space="preserve"> 33.55KVAH</t>
  </si>
  <si>
    <t>16.57KVARH</t>
  </si>
  <si>
    <t xml:space="preserve">  15:17:27</t>
  </si>
  <si>
    <t xml:space="preserve">  29.20KWH</t>
  </si>
  <si>
    <t xml:space="preserve"> 33.58KVAH</t>
  </si>
  <si>
    <t>16.58KVARH</t>
  </si>
  <si>
    <t xml:space="preserve">  15:17:29</t>
  </si>
  <si>
    <t xml:space="preserve">  29.22KWH</t>
  </si>
  <si>
    <t xml:space="preserve"> 33.61KVAH</t>
  </si>
  <si>
    <t>16.60KVARH</t>
  </si>
  <si>
    <t xml:space="preserve">  15:17:31</t>
  </si>
  <si>
    <t xml:space="preserve">  29.25KWH</t>
  </si>
  <si>
    <t xml:space="preserve"> 33.64KVAH</t>
  </si>
  <si>
    <t>16.62KVARH</t>
  </si>
  <si>
    <t xml:space="preserve">  15:17:33</t>
  </si>
  <si>
    <t xml:space="preserve">  29.28KWH</t>
  </si>
  <si>
    <t xml:space="preserve"> 33.67KVAH</t>
  </si>
  <si>
    <t>16.63KVARH</t>
  </si>
  <si>
    <t xml:space="preserve">  15:17:35</t>
  </si>
  <si>
    <t xml:space="preserve">  29.31KWH</t>
  </si>
  <si>
    <t xml:space="preserve"> 33.71KVAH</t>
  </si>
  <si>
    <t>16.65KVARH</t>
  </si>
  <si>
    <t xml:space="preserve">  15:17:37</t>
  </si>
  <si>
    <t xml:space="preserve">  29.34KWH</t>
  </si>
  <si>
    <t xml:space="preserve"> 33.74KVAH</t>
  </si>
  <si>
    <t>16.66KVARH</t>
  </si>
  <si>
    <t xml:space="preserve">  15:17:39</t>
  </si>
  <si>
    <t xml:space="preserve">  29.36KWH</t>
  </si>
  <si>
    <t xml:space="preserve"> 33.77KVAH</t>
  </si>
  <si>
    <t>16.68KVARH</t>
  </si>
  <si>
    <t xml:space="preserve">  15:17:41</t>
  </si>
  <si>
    <t xml:space="preserve">    136.3A</t>
  </si>
  <si>
    <t xml:space="preserve">   78.87KW</t>
  </si>
  <si>
    <t xml:space="preserve">  87.81KVA</t>
  </si>
  <si>
    <t xml:space="preserve">  29.41KWH</t>
  </si>
  <si>
    <t xml:space="preserve"> 33.82KVAH</t>
  </si>
  <si>
    <t>16.70KVARH</t>
  </si>
  <si>
    <t xml:space="preserve">  15:17:43</t>
  </si>
  <si>
    <t xml:space="preserve">   82.05KW</t>
  </si>
  <si>
    <t xml:space="preserve">  91.41KVA</t>
  </si>
  <si>
    <t>-40.32KVAR</t>
  </si>
  <si>
    <t xml:space="preserve">  29.45KWH</t>
  </si>
  <si>
    <t xml:space="preserve"> 33.87KVAH</t>
  </si>
  <si>
    <t>16.73KVARH</t>
  </si>
  <si>
    <t xml:space="preserve">  15:17:45</t>
  </si>
  <si>
    <t xml:space="preserve">   83.10KW</t>
  </si>
  <si>
    <t xml:space="preserve">  92.52KVA</t>
  </si>
  <si>
    <t xml:space="preserve">  29.50KWH</t>
  </si>
  <si>
    <t xml:space="preserve"> 33.92KVAH</t>
  </si>
  <si>
    <t>16.75KVARH</t>
  </si>
  <si>
    <t xml:space="preserve">  15:17:47</t>
  </si>
  <si>
    <t xml:space="preserve">    360.4V</t>
  </si>
  <si>
    <t xml:space="preserve">    130.3A</t>
  </si>
  <si>
    <t xml:space="preserve">   78.24KW</t>
  </si>
  <si>
    <t xml:space="preserve">  87.54KVA</t>
  </si>
  <si>
    <t>-39.33KVAR</t>
  </si>
  <si>
    <t xml:space="preserve">  29.54KWH</t>
  </si>
  <si>
    <t xml:space="preserve"> 33.97KVAH</t>
  </si>
  <si>
    <t>16.77KVARH</t>
  </si>
  <si>
    <t xml:space="preserve">  15:17:49</t>
  </si>
  <si>
    <t xml:space="preserve">  29.57KWH</t>
  </si>
  <si>
    <t xml:space="preserve"> 34.01KVAH</t>
  </si>
  <si>
    <t>16.79KVARH</t>
  </si>
  <si>
    <t xml:space="preserve">  15:17:51</t>
  </si>
  <si>
    <t xml:space="preserve">  29.60KWH</t>
  </si>
  <si>
    <t xml:space="preserve"> 34.04KVAH</t>
  </si>
  <si>
    <t>16.80KVARH</t>
  </si>
  <si>
    <t xml:space="preserve">  15:17:53</t>
  </si>
  <si>
    <t xml:space="preserve">  29.63KWH</t>
  </si>
  <si>
    <t xml:space="preserve"> 34.07KVAH</t>
  </si>
  <si>
    <t>16.82KVARH</t>
  </si>
  <si>
    <t xml:space="preserve">  15:17:55</t>
  </si>
  <si>
    <t xml:space="preserve">  29.66KWH</t>
  </si>
  <si>
    <t xml:space="preserve"> 34.11KVAH</t>
  </si>
  <si>
    <t>16.84KVARH</t>
  </si>
  <si>
    <t xml:space="preserve">  15:17:57</t>
  </si>
  <si>
    <t xml:space="preserve">  29.69KWH</t>
  </si>
  <si>
    <t xml:space="preserve"> 34.14KVAH</t>
  </si>
  <si>
    <t>16.85KVARH</t>
  </si>
  <si>
    <t xml:space="preserve">  15:17:59</t>
  </si>
  <si>
    <t xml:space="preserve">  29.72KWH</t>
  </si>
  <si>
    <t xml:space="preserve"> 34.17KVAH</t>
  </si>
  <si>
    <t>16.87KVARH</t>
  </si>
  <si>
    <t xml:space="preserve">  15:18:01</t>
  </si>
  <si>
    <t xml:space="preserve">  29.75KWH</t>
  </si>
  <si>
    <t xml:space="preserve"> 34.21KVAH</t>
  </si>
  <si>
    <t>16.89KVARH</t>
  </si>
  <si>
    <t xml:space="preserve">  15:18:03</t>
  </si>
  <si>
    <t xml:space="preserve">  29.78KWH</t>
  </si>
  <si>
    <t xml:space="preserve"> 34.24KVAH</t>
  </si>
  <si>
    <t>16.90KVARH</t>
  </si>
  <si>
    <t xml:space="preserve">  15:18:05</t>
  </si>
  <si>
    <t xml:space="preserve">  29.81KWH</t>
  </si>
  <si>
    <t xml:space="preserve"> 34.27KVAH</t>
  </si>
  <si>
    <t>16.92KVARH</t>
  </si>
  <si>
    <t xml:space="preserve">  15:18:07</t>
  </si>
  <si>
    <t xml:space="preserve">  29.83KWH</t>
  </si>
  <si>
    <t xml:space="preserve"> 34.31KVAH</t>
  </si>
  <si>
    <t>16.94KVARH</t>
  </si>
  <si>
    <t xml:space="preserve">  15:18:09</t>
  </si>
  <si>
    <t xml:space="preserve">  29.86KWH</t>
  </si>
  <si>
    <t xml:space="preserve"> 34.34KVAH</t>
  </si>
  <si>
    <t>16.95KVARH</t>
  </si>
  <si>
    <t xml:space="preserve">  15:18:11</t>
  </si>
  <si>
    <t xml:space="preserve">  29.89KWH</t>
  </si>
  <si>
    <t xml:space="preserve"> 34.37KVAH</t>
  </si>
  <si>
    <t>16.97KVARH</t>
  </si>
  <si>
    <t xml:space="preserve">  15:18:13</t>
  </si>
  <si>
    <t xml:space="preserve">  29.92KWH</t>
  </si>
  <si>
    <t xml:space="preserve"> 34.41KVAH</t>
  </si>
  <si>
    <t>16.99KVARH</t>
  </si>
  <si>
    <t xml:space="preserve">  15:18:15</t>
  </si>
  <si>
    <t xml:space="preserve">  29.95KWH</t>
  </si>
  <si>
    <t xml:space="preserve"> 34.44KVAH</t>
  </si>
  <si>
    <t>17.00KVARH</t>
  </si>
  <si>
    <t xml:space="preserve">  15:18:17</t>
  </si>
  <si>
    <t xml:space="preserve">  29.98KWH</t>
  </si>
  <si>
    <t xml:space="preserve"> 34.47KVAH</t>
  </si>
  <si>
    <t>17.02KVARH</t>
  </si>
  <si>
    <t xml:space="preserve">  15:18:19</t>
  </si>
  <si>
    <t xml:space="preserve">  30.01KWH</t>
  </si>
  <si>
    <t xml:space="preserve"> 34.51KVAH</t>
  </si>
  <si>
    <t>17.03KVARH</t>
  </si>
  <si>
    <t xml:space="preserve">  15:18:21</t>
  </si>
  <si>
    <t xml:space="preserve">  30.04KWH</t>
  </si>
  <si>
    <t xml:space="preserve"> 34.54KVAH</t>
  </si>
  <si>
    <t>17.05KVARH</t>
  </si>
  <si>
    <t xml:space="preserve">  15:18:23</t>
  </si>
  <si>
    <t xml:space="preserve">  30.06KWH</t>
  </si>
  <si>
    <t xml:space="preserve"> 34.57KVAH</t>
  </si>
  <si>
    <t>17.07KVARH</t>
  </si>
  <si>
    <t xml:space="preserve">  15:18:25</t>
  </si>
  <si>
    <t xml:space="preserve">  30.09KWH</t>
  </si>
  <si>
    <t xml:space="preserve"> 34.61KVAH</t>
  </si>
  <si>
    <t>17.08KVARH</t>
  </si>
  <si>
    <t xml:space="preserve">  15:18:27</t>
  </si>
  <si>
    <t xml:space="preserve">  30.12KWH</t>
  </si>
  <si>
    <t xml:space="preserve"> 34.64KVAH</t>
  </si>
  <si>
    <t>17.10KVARH</t>
  </si>
  <si>
    <t xml:space="preserve">  15:18:29</t>
  </si>
  <si>
    <t xml:space="preserve">  30.15KWH</t>
  </si>
  <si>
    <t xml:space="preserve"> 34.67KVAH</t>
  </si>
  <si>
    <t>17.12KVARH</t>
  </si>
  <si>
    <t xml:space="preserve">  15:18:31</t>
  </si>
  <si>
    <t xml:space="preserve">  30.18KWH</t>
  </si>
  <si>
    <t xml:space="preserve"> 34.70KVAH</t>
  </si>
  <si>
    <t>17.13KVARH</t>
  </si>
  <si>
    <t xml:space="preserve">  15:18:33</t>
  </si>
  <si>
    <t xml:space="preserve">  30.21KWH</t>
  </si>
  <si>
    <t xml:space="preserve"> 34.74KVAH</t>
  </si>
  <si>
    <t>17.15KVARH</t>
  </si>
  <si>
    <t xml:space="preserve">  15:18:35</t>
  </si>
  <si>
    <t xml:space="preserve">  30.24KWH</t>
  </si>
  <si>
    <t xml:space="preserve"> 34.77KVAH</t>
  </si>
  <si>
    <t>17.17KVARH</t>
  </si>
  <si>
    <t xml:space="preserve">  15:18:37</t>
  </si>
  <si>
    <t xml:space="preserve">  30.26KWH</t>
  </si>
  <si>
    <t xml:space="preserve"> 34.80KVAH</t>
  </si>
  <si>
    <t>17.18KVARH</t>
  </si>
  <si>
    <t xml:space="preserve">  15:18:39</t>
  </si>
  <si>
    <t xml:space="preserve">  30.29KWH</t>
  </si>
  <si>
    <t xml:space="preserve"> 34.84KVAH</t>
  </si>
  <si>
    <t>17.20KVARH</t>
  </si>
  <si>
    <t xml:space="preserve">  15:18:41</t>
  </si>
  <si>
    <t xml:space="preserve">  30.32KWH</t>
  </si>
  <si>
    <t xml:space="preserve"> 34.87KVAH</t>
  </si>
  <si>
    <t>17.22KVARH</t>
  </si>
  <si>
    <t xml:space="preserve">  15:18:43</t>
  </si>
  <si>
    <t xml:space="preserve">  30.35KWH</t>
  </si>
  <si>
    <t xml:space="preserve"> 34.90KVAH</t>
  </si>
  <si>
    <t>17.23KVARH</t>
  </si>
  <si>
    <t xml:space="preserve">  15:18:45</t>
  </si>
  <si>
    <t xml:space="preserve">  30.38KWH</t>
  </si>
  <si>
    <t xml:space="preserve"> 34.93KVAH</t>
  </si>
  <si>
    <t>17.25KVARH</t>
  </si>
  <si>
    <t xml:space="preserve">  15:18:47</t>
  </si>
  <si>
    <t>-28.65KVAR</t>
  </si>
  <si>
    <t xml:space="preserve">  30.41KWH</t>
  </si>
  <si>
    <t xml:space="preserve"> 34.97KVAH</t>
  </si>
  <si>
    <t>17.26KVARH</t>
  </si>
  <si>
    <t xml:space="preserve">  15:18:49</t>
  </si>
  <si>
    <t>-28.77KVAR</t>
  </si>
  <si>
    <t xml:space="preserve">  30.43KWH</t>
  </si>
  <si>
    <t xml:space="preserve"> 35.00KVAH</t>
  </si>
  <si>
    <t>17.28KVARH</t>
  </si>
  <si>
    <t xml:space="preserve">  15:18:51</t>
  </si>
  <si>
    <t xml:space="preserve">  30.46KWH</t>
  </si>
  <si>
    <t xml:space="preserve"> 35.03KVAH</t>
  </si>
  <si>
    <t>17.30KVARH</t>
  </si>
  <si>
    <t xml:space="preserve">  15:18:53</t>
  </si>
  <si>
    <t xml:space="preserve">  30.49KWH</t>
  </si>
  <si>
    <t xml:space="preserve"> 35.06KVAH</t>
  </si>
  <si>
    <t>17.31KVARH</t>
  </si>
  <si>
    <t xml:space="preserve">  15:18:55</t>
  </si>
  <si>
    <t xml:space="preserve">  30.52KWH</t>
  </si>
  <si>
    <t xml:space="preserve"> 35.10KVAH</t>
  </si>
  <si>
    <t>17.33KVARH</t>
  </si>
  <si>
    <t xml:space="preserve">  15:18:57</t>
  </si>
  <si>
    <t xml:space="preserve">  30.55KWH</t>
  </si>
  <si>
    <t xml:space="preserve"> 35.13KVAH</t>
  </si>
  <si>
    <t>17.35KVARH</t>
  </si>
  <si>
    <t xml:space="preserve">  15:18:59</t>
  </si>
  <si>
    <t xml:space="preserve">  30.58KWH</t>
  </si>
  <si>
    <t xml:space="preserve"> 35.16KVAH</t>
  </si>
  <si>
    <t>17.36KVARH</t>
  </si>
  <si>
    <t xml:space="preserve">  15:19:01</t>
  </si>
  <si>
    <t xml:space="preserve">  30.60KWH</t>
  </si>
  <si>
    <t xml:space="preserve"> 35.19KVAH</t>
  </si>
  <si>
    <t>17.38KVARH</t>
  </si>
  <si>
    <t xml:space="preserve">  15:19:03</t>
  </si>
  <si>
    <t xml:space="preserve">  30.63KWH</t>
  </si>
  <si>
    <t xml:space="preserve"> 35.23KVAH</t>
  </si>
  <si>
    <t>17.40KVARH</t>
  </si>
  <si>
    <t xml:space="preserve">  15:19:05</t>
  </si>
  <si>
    <t xml:space="preserve">  30.66KWH</t>
  </si>
  <si>
    <t xml:space="preserve"> 35.26KVAH</t>
  </si>
  <si>
    <t>17.41KVARH</t>
  </si>
  <si>
    <t xml:space="preserve">  15:19:07</t>
  </si>
  <si>
    <t xml:space="preserve">  30.69KWH</t>
  </si>
  <si>
    <t xml:space="preserve"> 35.29KVAH</t>
  </si>
  <si>
    <t>17.43KVARH</t>
  </si>
  <si>
    <t xml:space="preserve">  15:19:09</t>
  </si>
  <si>
    <t xml:space="preserve">  30.72KWH</t>
  </si>
  <si>
    <t xml:space="preserve"> 35.32KVAH</t>
  </si>
  <si>
    <t>17.44KVARH</t>
  </si>
  <si>
    <t xml:space="preserve">  15:19:11</t>
  </si>
  <si>
    <t xml:space="preserve">    115.2A</t>
  </si>
  <si>
    <t xml:space="preserve">   65.64KW</t>
  </si>
  <si>
    <t xml:space="preserve">  74.28KVA</t>
  </si>
  <si>
    <t>-34.83KVAR</t>
  </si>
  <si>
    <t xml:space="preserve">  30.75KWH</t>
  </si>
  <si>
    <t xml:space="preserve"> 35.37KVAH</t>
  </si>
  <si>
    <t>17.46KVARH</t>
  </si>
  <si>
    <t xml:space="preserve">  15:19:13</t>
  </si>
  <si>
    <t xml:space="preserve">    137.1A</t>
  </si>
  <si>
    <t xml:space="preserve">    150.6A</t>
  </si>
  <si>
    <t xml:space="preserve">   81.57KW</t>
  </si>
  <si>
    <t xml:space="preserve">  30.80KWH</t>
  </si>
  <si>
    <t xml:space="preserve"> 35.42KVAH</t>
  </si>
  <si>
    <t>17.49KVARH</t>
  </si>
  <si>
    <t xml:space="preserve">  15:19:15</t>
  </si>
  <si>
    <t xml:space="preserve">   82.11KW</t>
  </si>
  <si>
    <t xml:space="preserve">  91.44KVA</t>
  </si>
  <si>
    <t>-40.26KVAR</t>
  </si>
  <si>
    <t xml:space="preserve">  30.84KWH</t>
  </si>
  <si>
    <t xml:space="preserve"> 35.47KVAH</t>
  </si>
  <si>
    <t>17.51KVARH</t>
  </si>
  <si>
    <t xml:space="preserve">  15:19:17</t>
  </si>
  <si>
    <t xml:space="preserve">    363.8V</t>
  </si>
  <si>
    <t xml:space="preserve">   83.07KW</t>
  </si>
  <si>
    <t xml:space="preserve">  30.89KWH</t>
  </si>
  <si>
    <t xml:space="preserve"> 35.52KVAH</t>
  </si>
  <si>
    <t>17.53KVARH</t>
  </si>
  <si>
    <t xml:space="preserve">  15:19:19</t>
  </si>
  <si>
    <t xml:space="preserve">    143.1A</t>
  </si>
  <si>
    <t xml:space="preserve">  90.51KVA</t>
  </si>
  <si>
    <t xml:space="preserve">  30.93KWH</t>
  </si>
  <si>
    <t xml:space="preserve"> 35.57KVAH</t>
  </si>
  <si>
    <t>17.55KVARH</t>
  </si>
  <si>
    <t xml:space="preserve">  15:19:21</t>
  </si>
  <si>
    <t xml:space="preserve">    90.54A</t>
  </si>
  <si>
    <t xml:space="preserve">  30.96KWH</t>
  </si>
  <si>
    <t xml:space="preserve"> 35.60KVAH</t>
  </si>
  <si>
    <t>17.57KVARH</t>
  </si>
  <si>
    <t xml:space="preserve">  15:19:23</t>
  </si>
  <si>
    <t xml:space="preserve">  30.99KWH</t>
  </si>
  <si>
    <t xml:space="preserve"> 35.64KVAH</t>
  </si>
  <si>
    <t>17.59KVARH</t>
  </si>
  <si>
    <t xml:space="preserve">  15:19:25</t>
  </si>
  <si>
    <t xml:space="preserve">    90.15A</t>
  </si>
  <si>
    <t xml:space="preserve">  31.02KWH</t>
  </si>
  <si>
    <t xml:space="preserve"> 35.67KVAH</t>
  </si>
  <si>
    <t>17.60KVARH</t>
  </si>
  <si>
    <t xml:space="preserve">  15:19:27</t>
  </si>
  <si>
    <t xml:space="preserve">  31.05KWH</t>
  </si>
  <si>
    <t xml:space="preserve"> 35.70KVAH</t>
  </si>
  <si>
    <t>17.62KVARH</t>
  </si>
  <si>
    <t xml:space="preserve">  15:19:29</t>
  </si>
  <si>
    <t xml:space="preserve">    99.72A</t>
  </si>
  <si>
    <t xml:space="preserve">  31.08KWH</t>
  </si>
  <si>
    <t xml:space="preserve"> 35.74KVAH</t>
  </si>
  <si>
    <t>17.64KVARH</t>
  </si>
  <si>
    <t xml:space="preserve">  15:19:31</t>
  </si>
  <si>
    <t xml:space="preserve">    90.57A</t>
  </si>
  <si>
    <t xml:space="preserve">  31.11KWH</t>
  </si>
  <si>
    <t xml:space="preserve"> 35.77KVAH</t>
  </si>
  <si>
    <t>17.65KVARH</t>
  </si>
  <si>
    <t xml:space="preserve">  15:19:33</t>
  </si>
  <si>
    <t xml:space="preserve">  31.14KWH</t>
  </si>
  <si>
    <t xml:space="preserve"> 35.80KVAH</t>
  </si>
  <si>
    <t>17.67KVARH</t>
  </si>
  <si>
    <t xml:space="preserve">  15:19:35</t>
  </si>
  <si>
    <t xml:space="preserve">  31.17KWH</t>
  </si>
  <si>
    <t xml:space="preserve"> 35.84KVAH</t>
  </si>
  <si>
    <t>17.69KVARH</t>
  </si>
  <si>
    <t xml:space="preserve">  15:19:37</t>
  </si>
  <si>
    <t xml:space="preserve">  31.20KWH</t>
  </si>
  <si>
    <t xml:space="preserve"> 35.87KVAH</t>
  </si>
  <si>
    <t>17.70KVARH</t>
  </si>
  <si>
    <t xml:space="preserve">  15:19:39</t>
  </si>
  <si>
    <t xml:space="preserve">  31.23KWH</t>
  </si>
  <si>
    <t xml:space="preserve"> 35.90KVAH</t>
  </si>
  <si>
    <t>17.72KVARH</t>
  </si>
  <si>
    <t xml:space="preserve">  15:19:41</t>
  </si>
  <si>
    <t xml:space="preserve">  31.26KWH</t>
  </si>
  <si>
    <t xml:space="preserve"> 35.94KVAH</t>
  </si>
  <si>
    <t>17.74KVARH</t>
  </si>
  <si>
    <t xml:space="preserve">  15:19:43</t>
  </si>
  <si>
    <t xml:space="preserve">  31.29KWH</t>
  </si>
  <si>
    <t xml:space="preserve"> 35.97KVAH</t>
  </si>
  <si>
    <t>17.75KVARH</t>
  </si>
  <si>
    <t xml:space="preserve">  15:19:45</t>
  </si>
  <si>
    <t xml:space="preserve">  31.31KWH</t>
  </si>
  <si>
    <t xml:space="preserve"> 36.01KVAH</t>
  </si>
  <si>
    <t>17.77KVARH</t>
  </si>
  <si>
    <t xml:space="preserve">  15:19:47</t>
  </si>
  <si>
    <t xml:space="preserve">  31.34KWH</t>
  </si>
  <si>
    <t xml:space="preserve"> 36.04KVAH</t>
  </si>
  <si>
    <t>17.78KVARH</t>
  </si>
  <si>
    <t xml:space="preserve">  15:19:49</t>
  </si>
  <si>
    <t xml:space="preserve">  31.37KWH</t>
  </si>
  <si>
    <t xml:space="preserve"> 36.07KVAH</t>
  </si>
  <si>
    <t>17.80KVARH</t>
  </si>
  <si>
    <t xml:space="preserve">  15:19:51</t>
  </si>
  <si>
    <t xml:space="preserve">  31.40KWH</t>
  </si>
  <si>
    <t xml:space="preserve"> 36.11KVAH</t>
  </si>
  <si>
    <t>17.82KVARH</t>
  </si>
  <si>
    <t xml:space="preserve">  15:19:53</t>
  </si>
  <si>
    <t xml:space="preserve">  31.43KWH</t>
  </si>
  <si>
    <t xml:space="preserve"> 36.14KVAH</t>
  </si>
  <si>
    <t>17.83KVARH</t>
  </si>
  <si>
    <t xml:space="preserve">  15:19:55</t>
  </si>
  <si>
    <t xml:space="preserve">  31.46KWH</t>
  </si>
  <si>
    <t xml:space="preserve"> 36.17KVAH</t>
  </si>
  <si>
    <t>17.85KVARH</t>
  </si>
  <si>
    <t xml:space="preserve">  15:19:57</t>
  </si>
  <si>
    <t xml:space="preserve">  31.49KWH</t>
  </si>
  <si>
    <t xml:space="preserve"> 36.21KVAH</t>
  </si>
  <si>
    <t>17.87KVARH</t>
  </si>
  <si>
    <t xml:space="preserve">  15:19:59</t>
  </si>
  <si>
    <t xml:space="preserve">  31.52KWH</t>
  </si>
  <si>
    <t xml:space="preserve"> 36.24KVAH</t>
  </si>
  <si>
    <t>17.88KVARH</t>
  </si>
  <si>
    <t xml:space="preserve">  15:20:01</t>
  </si>
  <si>
    <t xml:space="preserve">  31.55KWH</t>
  </si>
  <si>
    <t xml:space="preserve"> 36.27KVAH</t>
  </si>
  <si>
    <t>17.90KVARH</t>
  </si>
  <si>
    <t xml:space="preserve">  15:20:03</t>
  </si>
  <si>
    <t xml:space="preserve">  31.58KWH</t>
  </si>
  <si>
    <t xml:space="preserve"> 36.31KVAH</t>
  </si>
  <si>
    <t>17.92KVARH</t>
  </si>
  <si>
    <t xml:space="preserve">  15:20:05</t>
  </si>
  <si>
    <t xml:space="preserve">  31.60KWH</t>
  </si>
  <si>
    <t xml:space="preserve"> 36.34KVAH</t>
  </si>
  <si>
    <t>17.93KVARH</t>
  </si>
  <si>
    <t xml:space="preserve">  15:20:07</t>
  </si>
  <si>
    <t xml:space="preserve">  31.63KWH</t>
  </si>
  <si>
    <t xml:space="preserve"> 36.37KVAH</t>
  </si>
  <si>
    <t>17.95KVARH</t>
  </si>
  <si>
    <t xml:space="preserve">  15:20:09</t>
  </si>
  <si>
    <t xml:space="preserve">  31.66KWH</t>
  </si>
  <si>
    <t xml:space="preserve"> 36.40KVAH</t>
  </si>
  <si>
    <t>17.97KVARH</t>
  </si>
  <si>
    <t xml:space="preserve">  15:20:11</t>
  </si>
  <si>
    <t xml:space="preserve">  31.69KWH</t>
  </si>
  <si>
    <t xml:space="preserve"> 36.44KVAH</t>
  </si>
  <si>
    <t>17.98KVARH</t>
  </si>
  <si>
    <t xml:space="preserve">  15:20:13</t>
  </si>
  <si>
    <t xml:space="preserve">  31.72KWH</t>
  </si>
  <si>
    <t xml:space="preserve"> 36.47KVAH</t>
  </si>
  <si>
    <t>18.00KVARH</t>
  </si>
  <si>
    <t xml:space="preserve">  15:20:15</t>
  </si>
  <si>
    <t xml:space="preserve">  31.75KWH</t>
  </si>
  <si>
    <t xml:space="preserve"> 36.50KVAH</t>
  </si>
  <si>
    <t>18.01KVARH</t>
  </si>
  <si>
    <t xml:space="preserve">  15:20:17</t>
  </si>
  <si>
    <t xml:space="preserve">  31.78KWH</t>
  </si>
  <si>
    <t xml:space="preserve"> 36.54KVAH</t>
  </si>
  <si>
    <t>18.03KVARH</t>
  </si>
  <si>
    <t xml:space="preserve">  15:20:19</t>
  </si>
  <si>
    <t xml:space="preserve">  31.81KWH</t>
  </si>
  <si>
    <t xml:space="preserve"> 36.57KVAH</t>
  </si>
  <si>
    <t>18.05KVARH</t>
  </si>
  <si>
    <t xml:space="preserve">  15:20:21</t>
  </si>
  <si>
    <t xml:space="preserve">  31.83KWH</t>
  </si>
  <si>
    <t xml:space="preserve"> 36.60KVAH</t>
  </si>
  <si>
    <t>18.06KVARH</t>
  </si>
  <si>
    <t xml:space="preserve">  15:20:23</t>
  </si>
  <si>
    <t xml:space="preserve">  31.86KWH</t>
  </si>
  <si>
    <t xml:space="preserve"> 36.64KVAH</t>
  </si>
  <si>
    <t>18.08KVARH</t>
  </si>
  <si>
    <t xml:space="preserve">  15:20:25</t>
  </si>
  <si>
    <t xml:space="preserve">  31.89KWH</t>
  </si>
  <si>
    <t xml:space="preserve"> 36.67KVAH</t>
  </si>
  <si>
    <t>18.10KVARH</t>
  </si>
  <si>
    <t xml:space="preserve">  15:20:27</t>
  </si>
  <si>
    <t xml:space="preserve">  31.92KWH</t>
  </si>
  <si>
    <t xml:space="preserve"> 36.70KVAH</t>
  </si>
  <si>
    <t>18.11KVARH</t>
  </si>
  <si>
    <t xml:space="preserve">  15:20:29</t>
  </si>
  <si>
    <t xml:space="preserve">  31.95KWH</t>
  </si>
  <si>
    <t xml:space="preserve"> 36.74KVAH</t>
  </si>
  <si>
    <t>18.13KVARH</t>
  </si>
  <si>
    <t xml:space="preserve">  15:20:31</t>
  </si>
  <si>
    <t xml:space="preserve">  31.98KWH</t>
  </si>
  <si>
    <t xml:space="preserve"> 36.77KVAH</t>
  </si>
  <si>
    <t>18.15KVARH</t>
  </si>
  <si>
    <t xml:space="preserve">  15:20:33</t>
  </si>
  <si>
    <t xml:space="preserve">  32.01KWH</t>
  </si>
  <si>
    <t xml:space="preserve"> 36.80KVAH</t>
  </si>
  <si>
    <t>18.16KVARH</t>
  </si>
  <si>
    <t xml:space="preserve">  15:20:35</t>
  </si>
  <si>
    <t xml:space="preserve">  32.03KWH</t>
  </si>
  <si>
    <t xml:space="preserve"> 36.83KVAH</t>
  </si>
  <si>
    <t>18.18KVARH</t>
  </si>
  <si>
    <t xml:space="preserve">  15:20:37</t>
  </si>
  <si>
    <t xml:space="preserve">  32.06KWH</t>
  </si>
  <si>
    <t xml:space="preserve"> 36.87KVAH</t>
  </si>
  <si>
    <t>18.20KVARH</t>
  </si>
  <si>
    <t xml:space="preserve">  15:20:39</t>
  </si>
  <si>
    <t xml:space="preserve">  32.09KWH</t>
  </si>
  <si>
    <t xml:space="preserve"> 36.90KVAH</t>
  </si>
  <si>
    <t>18.21KVARH</t>
  </si>
  <si>
    <t xml:space="preserve">  15:20:41</t>
  </si>
  <si>
    <t xml:space="preserve">  32.12KWH</t>
  </si>
  <si>
    <t xml:space="preserve"> 36.93KVAH</t>
  </si>
  <si>
    <t>18.23KVARH</t>
  </si>
  <si>
    <t xml:space="preserve">  15:20:43</t>
  </si>
  <si>
    <t xml:space="preserve">  32.15KWH</t>
  </si>
  <si>
    <t xml:space="preserve"> 36.97KVAH</t>
  </si>
  <si>
    <t>18.24KVARH</t>
  </si>
  <si>
    <t xml:space="preserve">  15:20:45</t>
  </si>
  <si>
    <t xml:space="preserve">  32.18KWH</t>
  </si>
  <si>
    <t xml:space="preserve"> 37.00KVAH</t>
  </si>
  <si>
    <t>18.26KVARH</t>
  </si>
  <si>
    <t xml:space="preserve">  15:20:47</t>
  </si>
  <si>
    <t xml:space="preserve">  32.21KWH</t>
  </si>
  <si>
    <t xml:space="preserve"> 37.03KVAH</t>
  </si>
  <si>
    <t>18.28KVARH</t>
  </si>
  <si>
    <t xml:space="preserve">  15:20:49</t>
  </si>
  <si>
    <t xml:space="preserve">  32.23KWH</t>
  </si>
  <si>
    <t xml:space="preserve"> 37.06KVAH</t>
  </si>
  <si>
    <t>18.29KVARH</t>
  </si>
  <si>
    <t xml:space="preserve">  15:20:51</t>
  </si>
  <si>
    <t xml:space="preserve">  32.26KWH</t>
  </si>
  <si>
    <t xml:space="preserve"> 37.10KVAH</t>
  </si>
  <si>
    <t>18.31KVARH</t>
  </si>
  <si>
    <t xml:space="preserve">  15:20:53</t>
  </si>
  <si>
    <t xml:space="preserve">  32.29KWH</t>
  </si>
  <si>
    <t xml:space="preserve"> 37.13KVAH</t>
  </si>
  <si>
    <t>18.33KVARH</t>
  </si>
  <si>
    <t xml:space="preserve">  15:20:55</t>
  </si>
  <si>
    <t xml:space="preserve">  32.32KWH</t>
  </si>
  <si>
    <t xml:space="preserve"> 37.16KVAH</t>
  </si>
  <si>
    <t>18.34KVARH</t>
  </si>
  <si>
    <t xml:space="preserve">  15:20:57</t>
  </si>
  <si>
    <t xml:space="preserve">  32.35KWH</t>
  </si>
  <si>
    <t xml:space="preserve"> 37.19KVAH</t>
  </si>
  <si>
    <t>18.36KVARH</t>
  </si>
  <si>
    <t xml:space="preserve">  15:20:59</t>
  </si>
  <si>
    <t xml:space="preserve">  32.37KWH</t>
  </si>
  <si>
    <t xml:space="preserve"> 37.23KVAH</t>
  </si>
  <si>
    <t>18.38KVARH</t>
  </si>
  <si>
    <t xml:space="preserve">  15:21:01</t>
  </si>
  <si>
    <t xml:space="preserve">  32.40KWH</t>
  </si>
  <si>
    <t xml:space="preserve"> 37.26KVAH</t>
  </si>
  <si>
    <t>18.39KVARH</t>
  </si>
  <si>
    <t xml:space="preserve">  15:21:03</t>
  </si>
  <si>
    <t xml:space="preserve">  32.43KWH</t>
  </si>
  <si>
    <t xml:space="preserve"> 37.29KVAH</t>
  </si>
  <si>
    <t>18.41KVARH</t>
  </si>
  <si>
    <t xml:space="preserve">  15:21:05</t>
  </si>
  <si>
    <t xml:space="preserve">  32.46KWH</t>
  </si>
  <si>
    <t xml:space="preserve"> 37.32KVAH</t>
  </si>
  <si>
    <t>18.42KVARH</t>
  </si>
  <si>
    <t xml:space="preserve">  15:21:07</t>
  </si>
  <si>
    <t xml:space="preserve">  32.49KWH</t>
  </si>
  <si>
    <t xml:space="preserve"> 37.36KVAH</t>
  </si>
  <si>
    <t>18.44KVARH</t>
  </si>
  <si>
    <t xml:space="preserve">  15:21:09</t>
  </si>
  <si>
    <t xml:space="preserve">  32.52KWH</t>
  </si>
  <si>
    <t xml:space="preserve"> 37.39KVAH</t>
  </si>
  <si>
    <t>18.46KVARH</t>
  </si>
  <si>
    <t xml:space="preserve">  15:21:11</t>
  </si>
  <si>
    <t xml:space="preserve">  32.54KWH</t>
  </si>
  <si>
    <t xml:space="preserve"> 37.42KVAH</t>
  </si>
  <si>
    <t>18.47KVARH</t>
  </si>
  <si>
    <t xml:space="preserve">  15:21:13</t>
  </si>
  <si>
    <t xml:space="preserve">  32.57KWH</t>
  </si>
  <si>
    <t xml:space="preserve"> 37.45KVAH</t>
  </si>
  <si>
    <t>18.49KVARH</t>
  </si>
  <si>
    <t xml:space="preserve">  15:21:15</t>
  </si>
  <si>
    <t xml:space="preserve">  32.60KWH</t>
  </si>
  <si>
    <t xml:space="preserve"> 37.49KVAH</t>
  </si>
  <si>
    <t>18.51KVARH</t>
  </si>
  <si>
    <t xml:space="preserve">  15:21:17</t>
  </si>
  <si>
    <t xml:space="preserve">  32.63KWH</t>
  </si>
  <si>
    <t xml:space="preserve"> 37.52KVAH</t>
  </si>
  <si>
    <t>18.52KVARH</t>
  </si>
  <si>
    <t xml:space="preserve">  15:21:19</t>
  </si>
  <si>
    <t xml:space="preserve">  32.66KWH</t>
  </si>
  <si>
    <t xml:space="preserve"> 37.55KVAH</t>
  </si>
  <si>
    <t>18.54KVARH</t>
  </si>
  <si>
    <t xml:space="preserve">  15:21:21</t>
  </si>
  <si>
    <t xml:space="preserve">  32.68KWH</t>
  </si>
  <si>
    <t xml:space="preserve"> 37.58KVAH</t>
  </si>
  <si>
    <t>18.55KVARH</t>
  </si>
  <si>
    <t xml:space="preserve">  15:21:23</t>
  </si>
  <si>
    <t xml:space="preserve">  32.71KWH</t>
  </si>
  <si>
    <t xml:space="preserve"> 37.62KVAH</t>
  </si>
  <si>
    <t>18.57KVARH</t>
  </si>
  <si>
    <t xml:space="preserve">  15:21:25</t>
  </si>
  <si>
    <t xml:space="preserve">  32.74KWH</t>
  </si>
  <si>
    <t xml:space="preserve"> 37.65KVAH</t>
  </si>
  <si>
    <t>18.59KVARH</t>
  </si>
  <si>
    <t xml:space="preserve">  15:21:27</t>
  </si>
  <si>
    <t xml:space="preserve">  32.77KWH</t>
  </si>
  <si>
    <t xml:space="preserve"> 37.68KVAH</t>
  </si>
  <si>
    <t>18.60KVARH</t>
  </si>
  <si>
    <t xml:space="preserve">  15:21:29</t>
  </si>
  <si>
    <t xml:space="preserve">  32.80KWH</t>
  </si>
  <si>
    <t xml:space="preserve"> 37.71KVAH</t>
  </si>
  <si>
    <t>18.62KVARH</t>
  </si>
  <si>
    <t xml:space="preserve">  15:21:31</t>
  </si>
  <si>
    <t xml:space="preserve">  32.82KWH</t>
  </si>
  <si>
    <t xml:space="preserve"> 37.75KVAH</t>
  </si>
  <si>
    <t>18.64KVARH</t>
  </si>
  <si>
    <t xml:space="preserve">  15:21:33</t>
  </si>
  <si>
    <t xml:space="preserve">  32.85KWH</t>
  </si>
  <si>
    <t xml:space="preserve"> 37.78KVAH</t>
  </si>
  <si>
    <t>18.65KVARH</t>
  </si>
  <si>
    <t xml:space="preserve">  15:21:35</t>
  </si>
  <si>
    <t xml:space="preserve">  32.88KWH</t>
  </si>
  <si>
    <t xml:space="preserve"> 37.81KVAH</t>
  </si>
  <si>
    <t>18.67KVARH</t>
  </si>
  <si>
    <t xml:space="preserve">  15:21:37</t>
  </si>
  <si>
    <t xml:space="preserve">  32.91KWH</t>
  </si>
  <si>
    <t xml:space="preserve"> 37.84KVAH</t>
  </si>
  <si>
    <t>18.68KVARH</t>
  </si>
  <si>
    <t xml:space="preserve">  15:21:39</t>
  </si>
  <si>
    <t xml:space="preserve">  32.94KWH</t>
  </si>
  <si>
    <t xml:space="preserve"> 37.88KVAH</t>
  </si>
  <si>
    <t>18.70KVARH</t>
  </si>
  <si>
    <t xml:space="preserve">  15:21:41</t>
  </si>
  <si>
    <t xml:space="preserve">    92.64A</t>
  </si>
  <si>
    <t xml:space="preserve">   49.98KW</t>
  </si>
  <si>
    <t xml:space="preserve">  57.90KVA</t>
  </si>
  <si>
    <t xml:space="preserve">  32.96KWH</t>
  </si>
  <si>
    <t xml:space="preserve"> 37.91KVAH</t>
  </si>
  <si>
    <t>18.72KVARH</t>
  </si>
  <si>
    <t xml:space="preserve">  15:21:43</t>
  </si>
  <si>
    <t xml:space="preserve">  32.99KWH</t>
  </si>
  <si>
    <t xml:space="preserve"> 37.94KVAH</t>
  </si>
  <si>
    <t>18.73KVARH</t>
  </si>
  <si>
    <t xml:space="preserve">  15:21:45</t>
  </si>
  <si>
    <t xml:space="preserve">    136.2A</t>
  </si>
  <si>
    <t xml:space="preserve">   80.73KW</t>
  </si>
  <si>
    <t xml:space="preserve">  89.88KVA</t>
  </si>
  <si>
    <t xml:space="preserve">  33.04KWH</t>
  </si>
  <si>
    <t xml:space="preserve"> 37.99KVAH</t>
  </si>
  <si>
    <t>18.75KVARH</t>
  </si>
  <si>
    <t xml:space="preserve">  15:21:47</t>
  </si>
  <si>
    <t xml:space="preserve">    360.5V</t>
  </si>
  <si>
    <t xml:space="preserve">   82.38KW</t>
  </si>
  <si>
    <t xml:space="preserve">  33.08KWH</t>
  </si>
  <si>
    <t xml:space="preserve"> 38.04KVAH</t>
  </si>
  <si>
    <t>18.78KVARH</t>
  </si>
  <si>
    <t xml:space="preserve">  15:21:49</t>
  </si>
  <si>
    <t xml:space="preserve">  92.16KVA</t>
  </si>
  <si>
    <t xml:space="preserve">  33.13KWH</t>
  </si>
  <si>
    <t xml:space="preserve"> 38.09KVAH</t>
  </si>
  <si>
    <t>18.80KVARH</t>
  </si>
  <si>
    <t xml:space="preserve">  15:21:51</t>
  </si>
  <si>
    <t xml:space="preserve">    146.3A</t>
  </si>
  <si>
    <t xml:space="preserve">    114.8A</t>
  </si>
  <si>
    <t xml:space="preserve">    101.1A</t>
  </si>
  <si>
    <t xml:space="preserve">   67.38KW</t>
  </si>
  <si>
    <t xml:space="preserve">  76.20KVA</t>
  </si>
  <si>
    <t>-35.64KVAR</t>
  </si>
  <si>
    <t xml:space="preserve">  33.17KWH</t>
  </si>
  <si>
    <t xml:space="preserve"> 38.13KVAH</t>
  </si>
  <si>
    <t>18.82KVARH</t>
  </si>
  <si>
    <t xml:space="preserve">  15:21:53</t>
  </si>
  <si>
    <t xml:space="preserve">    91.02A</t>
  </si>
  <si>
    <t xml:space="preserve">  33.20KWH</t>
  </si>
  <si>
    <t xml:space="preserve"> 38.17KVAH</t>
  </si>
  <si>
    <t>18.84KVARH</t>
  </si>
  <si>
    <t xml:space="preserve">  15:21:55</t>
  </si>
  <si>
    <t xml:space="preserve">  33.22KWH</t>
  </si>
  <si>
    <t xml:space="preserve"> 38.20KVAH</t>
  </si>
  <si>
    <t>18.85KVARH</t>
  </si>
  <si>
    <t xml:space="preserve">  15:21:57</t>
  </si>
  <si>
    <t xml:space="preserve">  33.25KWH</t>
  </si>
  <si>
    <t xml:space="preserve"> 38.24KVAH</t>
  </si>
  <si>
    <t>18.87KVARH</t>
  </si>
  <si>
    <t xml:space="preserve">  15:21:59</t>
  </si>
  <si>
    <t xml:space="preserve">  33.28KWH</t>
  </si>
  <si>
    <t xml:space="preserve"> 38.27KVAH</t>
  </si>
  <si>
    <t>18.89KVARH</t>
  </si>
  <si>
    <t xml:space="preserve">  15:22:01</t>
  </si>
  <si>
    <t xml:space="preserve">  33.31KWH</t>
  </si>
  <si>
    <t xml:space="preserve"> 38.30KVAH</t>
  </si>
  <si>
    <t>18.90KVARH</t>
  </si>
  <si>
    <t xml:space="preserve">  15:22:03</t>
  </si>
  <si>
    <t xml:space="preserve">  33.34KWH</t>
  </si>
  <si>
    <t xml:space="preserve"> 38.34KVAH</t>
  </si>
  <si>
    <t>18.92KVARH</t>
  </si>
  <si>
    <t xml:space="preserve">  15:22:05</t>
  </si>
  <si>
    <t xml:space="preserve">  33.37KWH</t>
  </si>
  <si>
    <t xml:space="preserve"> 38.37KVAH</t>
  </si>
  <si>
    <t>18.94KVARH</t>
  </si>
  <si>
    <t xml:space="preserve">  15:22:07</t>
  </si>
  <si>
    <t xml:space="preserve">  33.40KWH</t>
  </si>
  <si>
    <t xml:space="preserve"> 38.40KVAH</t>
  </si>
  <si>
    <t>18.95KVARH</t>
  </si>
  <si>
    <t xml:space="preserve">  15:22:09</t>
  </si>
  <si>
    <t xml:space="preserve">  33.43KWH</t>
  </si>
  <si>
    <t xml:space="preserve"> 38.44KVAH</t>
  </si>
  <si>
    <t>18.97KVARH</t>
  </si>
  <si>
    <t xml:space="preserve">  15:22:11</t>
  </si>
  <si>
    <t xml:space="preserve">  33.46KWH</t>
  </si>
  <si>
    <t xml:space="preserve"> 38.47KVAH</t>
  </si>
  <si>
    <t>18.99KVARH</t>
  </si>
  <si>
    <t xml:space="preserve">  15:22:13</t>
  </si>
  <si>
    <t xml:space="preserve">  33.49KWH</t>
  </si>
  <si>
    <t xml:space="preserve"> 38.50KVAH</t>
  </si>
  <si>
    <t>19.00KVARH</t>
  </si>
  <si>
    <t xml:space="preserve">  15:22:15</t>
  </si>
  <si>
    <t xml:space="preserve">  33.52KWH</t>
  </si>
  <si>
    <t xml:space="preserve"> 38.54KVAH</t>
  </si>
  <si>
    <t>19.02KVARH</t>
  </si>
  <si>
    <t xml:space="preserve">  15:22:17</t>
  </si>
  <si>
    <t xml:space="preserve">  33.55KWH</t>
  </si>
  <si>
    <t xml:space="preserve"> 38.57KVAH</t>
  </si>
  <si>
    <t>19.04KVARH</t>
  </si>
  <si>
    <t xml:space="preserve">  15:22:19</t>
  </si>
  <si>
    <t xml:space="preserve">  33.58KWH</t>
  </si>
  <si>
    <t xml:space="preserve"> 38.60KVAH</t>
  </si>
  <si>
    <t>19.05KVARH</t>
  </si>
  <si>
    <t xml:space="preserve">  15:22:21</t>
  </si>
  <si>
    <t xml:space="preserve">  33.60KWH</t>
  </si>
  <si>
    <t xml:space="preserve"> 38.64KVAH</t>
  </si>
  <si>
    <t>19.07KVARH</t>
  </si>
  <si>
    <t xml:space="preserve">  15:22:23</t>
  </si>
  <si>
    <t xml:space="preserve">  33.63KWH</t>
  </si>
  <si>
    <t xml:space="preserve"> 38.67KVAH</t>
  </si>
  <si>
    <t>19.08KVARH</t>
  </si>
  <si>
    <t xml:space="preserve">  15:22:25</t>
  </si>
  <si>
    <t xml:space="preserve">  33.66KWH</t>
  </si>
  <si>
    <t xml:space="preserve"> 38.70KVAH</t>
  </si>
  <si>
    <t>19.10KVARH</t>
  </si>
  <si>
    <t xml:space="preserve">  15:22:27</t>
  </si>
  <si>
    <t xml:space="preserve">  33.69KWH</t>
  </si>
  <si>
    <t xml:space="preserve"> 38.74KVAH</t>
  </si>
  <si>
    <t>19.12KVARH</t>
  </si>
  <si>
    <t xml:space="preserve">  15:22:29</t>
  </si>
  <si>
    <t xml:space="preserve">  33.72KWH</t>
  </si>
  <si>
    <t xml:space="preserve"> 38.77KVAH</t>
  </si>
  <si>
    <t>19.13KVARH</t>
  </si>
  <si>
    <t xml:space="preserve">  15:22:31</t>
  </si>
  <si>
    <t xml:space="preserve">  33.75KWH</t>
  </si>
  <si>
    <t xml:space="preserve"> 38.80KVAH</t>
  </si>
  <si>
    <t>19.15KVARH</t>
  </si>
  <si>
    <t xml:space="preserve">  15:22:33</t>
  </si>
  <si>
    <t xml:space="preserve">  33.78KWH</t>
  </si>
  <si>
    <t xml:space="preserve"> 38.84KVAH</t>
  </si>
  <si>
    <t>19.17KVARH</t>
  </si>
  <si>
    <t xml:space="preserve">  15:22:35</t>
  </si>
  <si>
    <t xml:space="preserve">  33.81KWH</t>
  </si>
  <si>
    <t xml:space="preserve"> 38.87KVAH</t>
  </si>
  <si>
    <t>19.18KVARH</t>
  </si>
  <si>
    <t xml:space="preserve">  15:22:37</t>
  </si>
  <si>
    <t xml:space="preserve">  33.84KWH</t>
  </si>
  <si>
    <t xml:space="preserve"> 38.90KVAH</t>
  </si>
  <si>
    <t>19.20KVARH</t>
  </si>
  <si>
    <t xml:space="preserve">  15:22:39</t>
  </si>
  <si>
    <t xml:space="preserve">  33.86KWH</t>
  </si>
  <si>
    <t xml:space="preserve"> 38.94KVAH</t>
  </si>
  <si>
    <t>19.22KVARH</t>
  </si>
  <si>
    <t xml:space="preserve">  15:22:41</t>
  </si>
  <si>
    <t xml:space="preserve">  33.89KWH</t>
  </si>
  <si>
    <t xml:space="preserve"> 38.97KVAH</t>
  </si>
  <si>
    <t>19.23KVARH</t>
  </si>
  <si>
    <t xml:space="preserve">  15:22:43</t>
  </si>
  <si>
    <t xml:space="preserve">  33.92KWH</t>
  </si>
  <si>
    <t xml:space="preserve"> 39.00KVAH</t>
  </si>
  <si>
    <t>19.25KVARH</t>
  </si>
  <si>
    <t xml:space="preserve">  15:22:45</t>
  </si>
  <si>
    <t xml:space="preserve">  33.95KWH</t>
  </si>
  <si>
    <t xml:space="preserve"> 39.04KVAH</t>
  </si>
  <si>
    <t>19.27KVARH</t>
  </si>
  <si>
    <t xml:space="preserve">  15:22:47</t>
  </si>
  <si>
    <t xml:space="preserve">  33.98KWH</t>
  </si>
  <si>
    <t xml:space="preserve"> 39.07KVAH</t>
  </si>
  <si>
    <t>19.28KVARH</t>
  </si>
  <si>
    <t xml:space="preserve">  15:22:49</t>
  </si>
  <si>
    <t xml:space="preserve">  34.01KWH</t>
  </si>
  <si>
    <t xml:space="preserve"> 39.10KVAH</t>
  </si>
  <si>
    <t>19.30KVARH</t>
  </si>
  <si>
    <t xml:space="preserve">  15:22:51</t>
  </si>
  <si>
    <t xml:space="preserve">  34.04KWH</t>
  </si>
  <si>
    <t xml:space="preserve"> 39.14KVAH</t>
  </si>
  <si>
    <t>19.31KVARH</t>
  </si>
  <si>
    <t xml:space="preserve">  15:22:53</t>
  </si>
  <si>
    <t xml:space="preserve">  34.06KWH</t>
  </si>
  <si>
    <t xml:space="preserve"> 39.17KVAH</t>
  </si>
  <si>
    <t>19.33KVARH</t>
  </si>
  <si>
    <t xml:space="preserve">  15:22:55</t>
  </si>
  <si>
    <t xml:space="preserve">  34.09KWH</t>
  </si>
  <si>
    <t xml:space="preserve"> 39.20KVAH</t>
  </si>
  <si>
    <t>19.35KVARH</t>
  </si>
  <si>
    <t xml:space="preserve">  15:22:57</t>
  </si>
  <si>
    <t xml:space="preserve">  34.12KWH</t>
  </si>
  <si>
    <t xml:space="preserve"> 39.23KVAH</t>
  </si>
  <si>
    <t>19.36KVARH</t>
  </si>
  <si>
    <t xml:space="preserve">  15:22:59</t>
  </si>
  <si>
    <t>-28.98KVAR</t>
  </si>
  <si>
    <t xml:space="preserve">  34.15KWH</t>
  </si>
  <si>
    <t xml:space="preserve"> 39.27KVAH</t>
  </si>
  <si>
    <t>19.38KVARH</t>
  </si>
  <si>
    <t xml:space="preserve">  15:23:01</t>
  </si>
  <si>
    <t xml:space="preserve">  34.18KWH</t>
  </si>
  <si>
    <t xml:space="preserve"> 39.30KVAH</t>
  </si>
  <si>
    <t>19.40KVARH</t>
  </si>
  <si>
    <t xml:space="preserve">  15:23:03</t>
  </si>
  <si>
    <t xml:space="preserve">  34.21KWH</t>
  </si>
  <si>
    <t xml:space="preserve"> 39.33KVAH</t>
  </si>
  <si>
    <t>19.41KVARH</t>
  </si>
  <si>
    <t xml:space="preserve">  15:23:05</t>
  </si>
  <si>
    <t xml:space="preserve">  34.24KWH</t>
  </si>
  <si>
    <t xml:space="preserve"> 39.37KVAH</t>
  </si>
  <si>
    <t>19.43KVARH</t>
  </si>
  <si>
    <t xml:space="preserve">  15:23:07</t>
  </si>
  <si>
    <t xml:space="preserve">  34.26KWH</t>
  </si>
  <si>
    <t xml:space="preserve"> 39.40KVAH</t>
  </si>
  <si>
    <t>19.45KVARH</t>
  </si>
  <si>
    <t xml:space="preserve">  15:23:09</t>
  </si>
  <si>
    <t xml:space="preserve">  34.29KWH</t>
  </si>
  <si>
    <t xml:space="preserve"> 39.43KVAH</t>
  </si>
  <si>
    <t>19.46KVARH</t>
  </si>
  <si>
    <t xml:space="preserve">  15:23:11</t>
  </si>
  <si>
    <t xml:space="preserve">  34.32KWH</t>
  </si>
  <si>
    <t xml:space="preserve"> 39.46KVAH</t>
  </si>
  <si>
    <t>19.48KVARH</t>
  </si>
  <si>
    <t xml:space="preserve">  15:23:13</t>
  </si>
  <si>
    <t xml:space="preserve">  34.35KWH</t>
  </si>
  <si>
    <t xml:space="preserve"> 39.50KVAH</t>
  </si>
  <si>
    <t>19.49KVARH</t>
  </si>
  <si>
    <t xml:space="preserve">  15:23:15</t>
  </si>
  <si>
    <t xml:space="preserve">  34.38KWH</t>
  </si>
  <si>
    <t xml:space="preserve"> 39.53KVAH</t>
  </si>
  <si>
    <t>19.51KVARH</t>
  </si>
  <si>
    <t xml:space="preserve">  15:23:17</t>
  </si>
  <si>
    <t xml:space="preserve">  34.41KWH</t>
  </si>
  <si>
    <t xml:space="preserve"> 39.56KVAH</t>
  </si>
  <si>
    <t>19.53KVARH</t>
  </si>
  <si>
    <t xml:space="preserve">  15:23:19</t>
  </si>
  <si>
    <t xml:space="preserve">  34.44KWH</t>
  </si>
  <si>
    <t xml:space="preserve"> 39.60KVAH</t>
  </si>
  <si>
    <t>19.54KVARH</t>
  </si>
  <si>
    <t xml:space="preserve">  15:23:21</t>
  </si>
  <si>
    <t xml:space="preserve">  34.46KWH</t>
  </si>
  <si>
    <t xml:space="preserve"> 39.63KVAH</t>
  </si>
  <si>
    <t>19.56KVARH</t>
  </si>
  <si>
    <t xml:space="preserve">  15:23:23</t>
  </si>
  <si>
    <t xml:space="preserve">  34.49KWH</t>
  </si>
  <si>
    <t xml:space="preserve"> 39.66KVAH</t>
  </si>
  <si>
    <t>19.58KVARH</t>
  </si>
  <si>
    <t xml:space="preserve">  15:23:25</t>
  </si>
  <si>
    <t xml:space="preserve">  34.52KWH</t>
  </si>
  <si>
    <t xml:space="preserve"> 39.69KVAH</t>
  </si>
  <si>
    <t>19.59KVARH</t>
  </si>
  <si>
    <t xml:space="preserve">  15:23:27</t>
  </si>
  <si>
    <t xml:space="preserve">  34.55KWH</t>
  </si>
  <si>
    <t xml:space="preserve"> 39.73KVAH</t>
  </si>
  <si>
    <t>19.61KVARH</t>
  </si>
  <si>
    <t xml:space="preserve">  15:23:29</t>
  </si>
  <si>
    <t xml:space="preserve">  34.58KWH</t>
  </si>
  <si>
    <t xml:space="preserve"> 39.76KVAH</t>
  </si>
  <si>
    <t>19.62KVARH</t>
  </si>
  <si>
    <t xml:space="preserve">  15:23:31</t>
  </si>
  <si>
    <t xml:space="preserve">  34.61KWH</t>
  </si>
  <si>
    <t xml:space="preserve"> 39.79KVAH</t>
  </si>
  <si>
    <t>19.64KVARH</t>
  </si>
  <si>
    <t xml:space="preserve">  15:23:33</t>
  </si>
  <si>
    <t xml:space="preserve">  34.63KWH</t>
  </si>
  <si>
    <t xml:space="preserve"> 39.82KVAH</t>
  </si>
  <si>
    <t>19.66KVARH</t>
  </si>
  <si>
    <t xml:space="preserve">  15:23:35</t>
  </si>
  <si>
    <t xml:space="preserve">  34.66KWH</t>
  </si>
  <si>
    <t xml:space="preserve"> 39.86KVAH</t>
  </si>
  <si>
    <t>19.67KVARH</t>
  </si>
  <si>
    <t xml:space="preserve">  15:23:37</t>
  </si>
  <si>
    <t xml:space="preserve">  34.69KWH</t>
  </si>
  <si>
    <t xml:space="preserve"> 39.89KVAH</t>
  </si>
  <si>
    <t>19.69KVARH</t>
  </si>
  <si>
    <t xml:space="preserve">  15:23:39</t>
  </si>
  <si>
    <t xml:space="preserve">  34.72KWH</t>
  </si>
  <si>
    <t xml:space="preserve"> 39.92KVAH</t>
  </si>
  <si>
    <t>19.71KVARH</t>
  </si>
  <si>
    <t xml:space="preserve">  15:23:41</t>
  </si>
  <si>
    <t xml:space="preserve">  34.75KWH</t>
  </si>
  <si>
    <t xml:space="preserve"> 39.95KVAH</t>
  </si>
  <si>
    <t>19.72KVARH</t>
  </si>
  <si>
    <t xml:space="preserve">  15:23:43</t>
  </si>
  <si>
    <t xml:space="preserve">  34.77KWH</t>
  </si>
  <si>
    <t xml:space="preserve"> 39.99KVAH</t>
  </si>
  <si>
    <t>19.74KVARH</t>
  </si>
  <si>
    <t xml:space="preserve">  15:23:45</t>
  </si>
  <si>
    <t xml:space="preserve">  34.80KWH</t>
  </si>
  <si>
    <t xml:space="preserve"> 40.02KVAH</t>
  </si>
  <si>
    <t>19.76KVARH</t>
  </si>
  <si>
    <t xml:space="preserve">  15:23:47</t>
  </si>
  <si>
    <t xml:space="preserve">  34.83KWH</t>
  </si>
  <si>
    <t xml:space="preserve"> 40.05KVAH</t>
  </si>
  <si>
    <t>19.77KVARH</t>
  </si>
  <si>
    <t xml:space="preserve">  15:23:49</t>
  </si>
  <si>
    <t xml:space="preserve">  34.86KWH</t>
  </si>
  <si>
    <t xml:space="preserve"> 40.08KVAH</t>
  </si>
  <si>
    <t>19.79KVARH</t>
  </si>
  <si>
    <t xml:space="preserve">  15:23:51</t>
  </si>
  <si>
    <t xml:space="preserve">  34.89KWH</t>
  </si>
  <si>
    <t xml:space="preserve"> 40.12KVAH</t>
  </si>
  <si>
    <t>19.80KVARH</t>
  </si>
  <si>
    <t xml:space="preserve">  15:23:53</t>
  </si>
  <si>
    <t xml:space="preserve">  34.92KWH</t>
  </si>
  <si>
    <t xml:space="preserve"> 40.15KVAH</t>
  </si>
  <si>
    <t>19.82KVARH</t>
  </si>
  <si>
    <t xml:space="preserve">  15:23:55</t>
  </si>
  <si>
    <t xml:space="preserve">  34.94KWH</t>
  </si>
  <si>
    <t xml:space="preserve"> 40.18KVAH</t>
  </si>
  <si>
    <t>19.84KVARH</t>
  </si>
  <si>
    <t xml:space="preserve">  15:23:57</t>
  </si>
  <si>
    <t xml:space="preserve">  34.97KWH</t>
  </si>
  <si>
    <t xml:space="preserve"> 40.21KVAH</t>
  </si>
  <si>
    <t>19.85KVARH</t>
  </si>
  <si>
    <t xml:space="preserve">  15:23:59</t>
  </si>
  <si>
    <t xml:space="preserve">  35.00KWH</t>
  </si>
  <si>
    <t xml:space="preserve"> 40.25KVAH</t>
  </si>
  <si>
    <t>19.87KVARH</t>
  </si>
  <si>
    <t xml:space="preserve">  15:24:01</t>
  </si>
  <si>
    <t xml:space="preserve">  35.03KWH</t>
  </si>
  <si>
    <t xml:space="preserve"> 40.28KVAH</t>
  </si>
  <si>
    <t>19.89KVARH</t>
  </si>
  <si>
    <t xml:space="preserve">  15:24:03</t>
  </si>
  <si>
    <t xml:space="preserve">  35.06KWH</t>
  </si>
  <si>
    <t xml:space="preserve"> 40.31KVAH</t>
  </si>
  <si>
    <t>19.90KVARH</t>
  </si>
  <si>
    <t xml:space="preserve">  15:24:05</t>
  </si>
  <si>
    <t xml:space="preserve">  35.08KWH</t>
  </si>
  <si>
    <t xml:space="preserve"> 40.34KVAH</t>
  </si>
  <si>
    <t>19.92KVARH</t>
  </si>
  <si>
    <t xml:space="preserve">  15:24:07</t>
  </si>
  <si>
    <t xml:space="preserve">  35.11KWH</t>
  </si>
  <si>
    <t xml:space="preserve"> 40.38KVAH</t>
  </si>
  <si>
    <t>19.93KVARH</t>
  </si>
  <si>
    <t xml:space="preserve">  15:24:09</t>
  </si>
  <si>
    <t xml:space="preserve">  35.14KWH</t>
  </si>
  <si>
    <t xml:space="preserve"> 40.41KVAH</t>
  </si>
  <si>
    <t>19.95KVARH</t>
  </si>
  <si>
    <t xml:space="preserve">  15:24:11</t>
  </si>
  <si>
    <t xml:space="preserve">  35.17KWH</t>
  </si>
  <si>
    <t xml:space="preserve"> 40.44KVAH</t>
  </si>
  <si>
    <t>19.97KVARH</t>
  </si>
  <si>
    <t xml:space="preserve">  15:24:13</t>
  </si>
  <si>
    <t xml:space="preserve">  35.19KWH</t>
  </si>
  <si>
    <t xml:space="preserve"> 40.47KVAH</t>
  </si>
  <si>
    <t>19.98KVARH</t>
  </si>
  <si>
    <t xml:space="preserve">  15:24:15</t>
  </si>
  <si>
    <t xml:space="preserve">    360.3V</t>
  </si>
  <si>
    <t xml:space="preserve">    145.3A</t>
  </si>
  <si>
    <t xml:space="preserve">    149.5A</t>
  </si>
  <si>
    <t xml:space="preserve">   80.85KW</t>
  </si>
  <si>
    <t xml:space="preserve">  90.06KVA</t>
  </si>
  <si>
    <t xml:space="preserve">  35.24KWH</t>
  </si>
  <si>
    <t xml:space="preserve"> 40.52KVAH</t>
  </si>
  <si>
    <t>20.01KVARH</t>
  </si>
  <si>
    <t xml:space="preserve">  15:24:17</t>
  </si>
  <si>
    <t xml:space="preserve">   81.75KW</t>
  </si>
  <si>
    <t xml:space="preserve">  91.05KVA</t>
  </si>
  <si>
    <t xml:space="preserve">  35.29KWH</t>
  </si>
  <si>
    <t xml:space="preserve"> 40.57KVAH</t>
  </si>
  <si>
    <t>20.03KVARH</t>
  </si>
  <si>
    <t xml:space="preserve">  15:24:19</t>
  </si>
  <si>
    <t xml:space="preserve">  92.19KVA</t>
  </si>
  <si>
    <t xml:space="preserve">  35.33KWH</t>
  </si>
  <si>
    <t xml:space="preserve"> 40.62KVAH</t>
  </si>
  <si>
    <t>20.05KVARH</t>
  </si>
  <si>
    <t xml:space="preserve">  15:24:21</t>
  </si>
  <si>
    <t xml:space="preserve">   62.79KW</t>
  </si>
  <si>
    <t xml:space="preserve">  71.37KVA</t>
  </si>
  <si>
    <t>-33.99KVAR</t>
  </si>
  <si>
    <t xml:space="preserve">  35.37KWH</t>
  </si>
  <si>
    <t xml:space="preserve"> 40.66KVAH</t>
  </si>
  <si>
    <t>20.07KVARH</t>
  </si>
  <si>
    <t xml:space="preserve">  15:24:23</t>
  </si>
  <si>
    <t xml:space="preserve">    99.66A</t>
  </si>
  <si>
    <t xml:space="preserve">  35.40KWH</t>
  </si>
  <si>
    <t xml:space="preserve"> 40.70KVAH</t>
  </si>
  <si>
    <t>20.09KVARH</t>
  </si>
  <si>
    <t xml:space="preserve">  15:24:25</t>
  </si>
  <si>
    <t xml:space="preserve">  35.42KWH</t>
  </si>
  <si>
    <t xml:space="preserve"> 40.73KVAH</t>
  </si>
  <si>
    <t>20.10KVARH</t>
  </si>
  <si>
    <t xml:space="preserve">  15:24:27</t>
  </si>
  <si>
    <t xml:space="preserve">  35.45KWH</t>
  </si>
  <si>
    <t xml:space="preserve"> 40.77KVAH</t>
  </si>
  <si>
    <t>20.12KVARH</t>
  </si>
  <si>
    <t xml:space="preserve">  15:24:29</t>
  </si>
  <si>
    <t xml:space="preserve">  35.48KWH</t>
  </si>
  <si>
    <t xml:space="preserve"> 40.80KVAH</t>
  </si>
  <si>
    <t>20.14KVARH</t>
  </si>
  <si>
    <t xml:space="preserve">  15:24:31</t>
  </si>
  <si>
    <t xml:space="preserve">  35.51KWH</t>
  </si>
  <si>
    <t xml:space="preserve"> 40.83KVAH</t>
  </si>
  <si>
    <t>20.15KVARH</t>
  </si>
  <si>
    <t xml:space="preserve">  15:24:33</t>
  </si>
  <si>
    <t xml:space="preserve">  35.54KWH</t>
  </si>
  <si>
    <t xml:space="preserve"> 40.87KVAH</t>
  </si>
  <si>
    <t>20.17KVARH</t>
  </si>
  <si>
    <t xml:space="preserve">  15:24:35</t>
  </si>
  <si>
    <t xml:space="preserve">  35.57KWH</t>
  </si>
  <si>
    <t xml:space="preserve"> 40.90KVAH</t>
  </si>
  <si>
    <t>20.18KVARH</t>
  </si>
  <si>
    <t xml:space="preserve">  15:24:37</t>
  </si>
  <si>
    <t xml:space="preserve">  35.60KWH</t>
  </si>
  <si>
    <t xml:space="preserve"> 40.93KVAH</t>
  </si>
  <si>
    <t>20.20KVARH</t>
  </si>
  <si>
    <t xml:space="preserve">  15:24:39</t>
  </si>
  <si>
    <t xml:space="preserve">  35.63KWH</t>
  </si>
  <si>
    <t xml:space="preserve"> 40.96KVAH</t>
  </si>
  <si>
    <t>20.22KVARH</t>
  </si>
  <si>
    <t xml:space="preserve">  15:24:41</t>
  </si>
  <si>
    <t xml:space="preserve">  35.66KWH</t>
  </si>
  <si>
    <t xml:space="preserve"> 41.00KVAH</t>
  </si>
  <si>
    <t>20.23KVARH</t>
  </si>
  <si>
    <t xml:space="preserve">  15:24:43</t>
  </si>
  <si>
    <t xml:space="preserve">  35.68KWH</t>
  </si>
  <si>
    <t xml:space="preserve"> 41.03KVAH</t>
  </si>
  <si>
    <t>20.25KVARH</t>
  </si>
  <si>
    <t xml:space="preserve">  15:24:45</t>
  </si>
  <si>
    <t xml:space="preserve">  35.71KWH</t>
  </si>
  <si>
    <t xml:space="preserve"> 41.06KVAH</t>
  </si>
  <si>
    <t>20.27KVARH</t>
  </si>
  <si>
    <t xml:space="preserve">  15:24:47</t>
  </si>
  <si>
    <t xml:space="preserve">  35.74KWH</t>
  </si>
  <si>
    <t xml:space="preserve"> 41.10KVAH</t>
  </si>
  <si>
    <t>20.28KVARH</t>
  </si>
  <si>
    <t xml:space="preserve">  15:24:49</t>
  </si>
  <si>
    <t xml:space="preserve">  35.77KWH</t>
  </si>
  <si>
    <t xml:space="preserve"> 41.13KVAH</t>
  </si>
  <si>
    <t>20.30KVARH</t>
  </si>
  <si>
    <t xml:space="preserve">  15:24:51</t>
  </si>
  <si>
    <t xml:space="preserve">  35.80KWH</t>
  </si>
  <si>
    <t xml:space="preserve"> 41.16KVAH</t>
  </si>
  <si>
    <t>20.32KVARH</t>
  </si>
  <si>
    <t xml:space="preserve">  15:24:53</t>
  </si>
  <si>
    <t xml:space="preserve">  35.83KWH</t>
  </si>
  <si>
    <t xml:space="preserve"> 41.19KVAH</t>
  </si>
  <si>
    <t>20.33KVARH</t>
  </si>
  <si>
    <t xml:space="preserve">  15:24:55</t>
  </si>
  <si>
    <t xml:space="preserve">  35.85KWH</t>
  </si>
  <si>
    <t xml:space="preserve"> 41.23KVAH</t>
  </si>
  <si>
    <t>20.35KVARH</t>
  </si>
  <si>
    <t xml:space="preserve">  15:24:57</t>
  </si>
  <si>
    <t xml:space="preserve">  35.88KWH</t>
  </si>
  <si>
    <t xml:space="preserve"> 41.26KVAH</t>
  </si>
  <si>
    <t>20.36KVARH</t>
  </si>
  <si>
    <t xml:space="preserve">  15:24:59</t>
  </si>
  <si>
    <t xml:space="preserve">  35.91KWH</t>
  </si>
  <si>
    <t xml:space="preserve"> 41.29KVAH</t>
  </si>
  <si>
    <t>20.38KVARH</t>
  </si>
  <si>
    <t xml:space="preserve">  15:25:01</t>
  </si>
  <si>
    <t xml:space="preserve">  35.94KWH</t>
  </si>
  <si>
    <t xml:space="preserve"> 41.32KVAH</t>
  </si>
  <si>
    <t>20.40KVARH</t>
  </si>
  <si>
    <t xml:space="preserve">  15:25:03</t>
  </si>
  <si>
    <t xml:space="preserve">  35.97KWH</t>
  </si>
  <si>
    <t xml:space="preserve"> 41.36KVAH</t>
  </si>
  <si>
    <t>20.41KVARH</t>
  </si>
  <si>
    <t xml:space="preserve">  15:25:05</t>
  </si>
  <si>
    <t xml:space="preserve">  35.99KWH</t>
  </si>
  <si>
    <t xml:space="preserve"> 41.39KVAH</t>
  </si>
  <si>
    <t>20.43KVARH</t>
  </si>
  <si>
    <t xml:space="preserve">  15:25:07</t>
  </si>
  <si>
    <t xml:space="preserve">    132.9A</t>
  </si>
  <si>
    <t xml:space="preserve">   70.05KW</t>
  </si>
  <si>
    <t xml:space="preserve">  78.45KVA</t>
  </si>
  <si>
    <t>-35.34KVAR</t>
  </si>
  <si>
    <t xml:space="preserve">  36.03KWH</t>
  </si>
  <si>
    <t xml:space="preserve"> 41.43KVAH</t>
  </si>
  <si>
    <t>20.45KVARH</t>
  </si>
  <si>
    <t xml:space="preserve">  15:25:09</t>
  </si>
  <si>
    <t xml:space="preserve">   81.15KW</t>
  </si>
  <si>
    <t xml:space="preserve">  90.36KVA</t>
  </si>
  <si>
    <t>-39.75KVAR</t>
  </si>
  <si>
    <t xml:space="preserve">  36.08KWH</t>
  </si>
  <si>
    <t xml:space="preserve"> 41.48KVAH</t>
  </si>
  <si>
    <t>20.47KVARH</t>
  </si>
  <si>
    <t xml:space="preserve">  15:25:11</t>
  </si>
  <si>
    <t xml:space="preserve">  91.74KVA</t>
  </si>
  <si>
    <t xml:space="preserve">  36.12KWH</t>
  </si>
  <si>
    <t xml:space="preserve"> 41.53KVAH</t>
  </si>
  <si>
    <t>20.49KVARH</t>
  </si>
  <si>
    <t xml:space="preserve">  15:25:13</t>
  </si>
  <si>
    <t xml:space="preserve">  36.17KWH</t>
  </si>
  <si>
    <t xml:space="preserve"> 41.58KVAH</t>
  </si>
  <si>
    <t>20.52KVARH</t>
  </si>
  <si>
    <t xml:space="preserve">  15:25:15</t>
  </si>
  <si>
    <t xml:space="preserve">    107.0A</t>
  </si>
  <si>
    <t xml:space="preserve">   54.69KW</t>
  </si>
  <si>
    <t xml:space="preserve">  62.79KVA</t>
  </si>
  <si>
    <t xml:space="preserve">  36.20KWH</t>
  </si>
  <si>
    <t xml:space="preserve"> 41.62KVAH</t>
  </si>
  <si>
    <t>20.53KVARH</t>
  </si>
  <si>
    <t xml:space="preserve">  15:25:17</t>
  </si>
  <si>
    <t xml:space="preserve">  36.23KWH</t>
  </si>
  <si>
    <t xml:space="preserve"> 41.65KVAH</t>
  </si>
  <si>
    <t>20.55KVARH</t>
  </si>
  <si>
    <t xml:space="preserve">  15:25:19</t>
  </si>
  <si>
    <t xml:space="preserve">  36.26KWH</t>
  </si>
  <si>
    <t xml:space="preserve"> 41.69KVAH</t>
  </si>
  <si>
    <t>20.57KVARH</t>
  </si>
  <si>
    <t xml:space="preserve">  15:25:21</t>
  </si>
  <si>
    <t xml:space="preserve">  36.29KWH</t>
  </si>
  <si>
    <t xml:space="preserve"> 41.72KVAH</t>
  </si>
  <si>
    <t>20.58KVARH</t>
  </si>
  <si>
    <t xml:space="preserve">  15:25:23</t>
  </si>
  <si>
    <t xml:space="preserve">  36.32KWH</t>
  </si>
  <si>
    <t xml:space="preserve"> 41.75KVAH</t>
  </si>
  <si>
    <t>20.60KVARH</t>
  </si>
  <si>
    <t xml:space="preserve">  15:25:25</t>
  </si>
  <si>
    <t xml:space="preserve">  36.35KWH</t>
  </si>
  <si>
    <t xml:space="preserve"> 41.79KVAH</t>
  </si>
  <si>
    <t>20.62KVARH</t>
  </si>
  <si>
    <t xml:space="preserve">  15:25:27</t>
  </si>
  <si>
    <t xml:space="preserve">  36.37KWH</t>
  </si>
  <si>
    <t xml:space="preserve"> 41.82KVAH</t>
  </si>
  <si>
    <t>20.63KVARH</t>
  </si>
  <si>
    <t xml:space="preserve">  15:25:29</t>
  </si>
  <si>
    <t xml:space="preserve">  36.40KWH</t>
  </si>
  <si>
    <t xml:space="preserve"> 41.85KVAH</t>
  </si>
  <si>
    <t>20.65KVARH</t>
  </si>
  <si>
    <t xml:space="preserve">  15:25:31</t>
  </si>
  <si>
    <t xml:space="preserve">  36.43KWH</t>
  </si>
  <si>
    <t xml:space="preserve"> 41.89KVAH</t>
  </si>
  <si>
    <t>20.67KVARH</t>
  </si>
  <si>
    <t xml:space="preserve">  15:25:33</t>
  </si>
  <si>
    <t xml:space="preserve">  36.46KWH</t>
  </si>
  <si>
    <t xml:space="preserve"> 41.92KVAH</t>
  </si>
  <si>
    <t>20.68KVARH</t>
  </si>
  <si>
    <t xml:space="preserve">  15:25:35</t>
  </si>
  <si>
    <t xml:space="preserve">  36.49KWH</t>
  </si>
  <si>
    <t xml:space="preserve"> 41.95KVAH</t>
  </si>
  <si>
    <t>20.70KVARH</t>
  </si>
  <si>
    <t xml:space="preserve">  15:25:37</t>
  </si>
  <si>
    <t xml:space="preserve">  36.52KWH</t>
  </si>
  <si>
    <t xml:space="preserve"> 41.98KVAH</t>
  </si>
  <si>
    <t>20.71KVARH</t>
  </si>
  <si>
    <t xml:space="preserve">  15:25:39</t>
  </si>
  <si>
    <t xml:space="preserve">  36.54KWH</t>
  </si>
  <si>
    <t xml:space="preserve"> 42.02KVAH</t>
  </si>
  <si>
    <t>20.73KVARH</t>
  </si>
  <si>
    <t xml:space="preserve">  15:25:41</t>
  </si>
  <si>
    <t xml:space="preserve">  36.57KWH</t>
  </si>
  <si>
    <t xml:space="preserve"> 42.05KVAH</t>
  </si>
  <si>
    <t>20.75KVARH</t>
  </si>
  <si>
    <t xml:space="preserve">  15:25:43</t>
  </si>
  <si>
    <t xml:space="preserve">  36.60KWH</t>
  </si>
  <si>
    <t xml:space="preserve"> 42.08KVAH</t>
  </si>
  <si>
    <t>20.76KVARH</t>
  </si>
  <si>
    <t xml:space="preserve">  15:25:45</t>
  </si>
  <si>
    <t xml:space="preserve">  36.63KWH</t>
  </si>
  <si>
    <t xml:space="preserve"> 42.11KVAH</t>
  </si>
  <si>
    <t>20.78KVARH</t>
  </si>
  <si>
    <t xml:space="preserve">  15:25:47</t>
  </si>
  <si>
    <t xml:space="preserve">  36.66KWH</t>
  </si>
  <si>
    <t xml:space="preserve"> 42.15KVAH</t>
  </si>
  <si>
    <t>20.80KVARH</t>
  </si>
  <si>
    <t xml:space="preserve">  15:25:49</t>
  </si>
  <si>
    <t xml:space="preserve">    132.5A</t>
  </si>
  <si>
    <t xml:space="preserve">   78.03KW</t>
  </si>
  <si>
    <t xml:space="preserve">  86.94KVA</t>
  </si>
  <si>
    <t>-38.40KVAR</t>
  </si>
  <si>
    <t xml:space="preserve">  36.70KWH</t>
  </si>
  <si>
    <t xml:space="preserve"> 42.19KVAH</t>
  </si>
  <si>
    <t>20.82KVARH</t>
  </si>
  <si>
    <t xml:space="preserve">  15:25:51</t>
  </si>
  <si>
    <t xml:space="preserve">   81.30KW</t>
  </si>
  <si>
    <t xml:space="preserve">  90.57KVA</t>
  </si>
  <si>
    <t xml:space="preserve">  36.74KWH</t>
  </si>
  <si>
    <t xml:space="preserve"> 42.24KVAH</t>
  </si>
  <si>
    <t>20.84KVARH</t>
  </si>
  <si>
    <t xml:space="preserve">  15:25:53</t>
  </si>
  <si>
    <t xml:space="preserve">   82.53KW</t>
  </si>
  <si>
    <t xml:space="preserve">  36.79KWH</t>
  </si>
  <si>
    <t xml:space="preserve"> 42.30KVAH</t>
  </si>
  <si>
    <t>20.86KVARH</t>
  </si>
  <si>
    <t xml:space="preserve">  15:25:55</t>
  </si>
  <si>
    <t xml:space="preserve">    153.5A</t>
  </si>
  <si>
    <t xml:space="preserve">  36.84KWH</t>
  </si>
  <si>
    <t xml:space="preserve"> 42.35KVAH</t>
  </si>
  <si>
    <t>20.88KVARH</t>
  </si>
  <si>
    <t xml:space="preserve">  15:25:57</t>
  </si>
  <si>
    <t xml:space="preserve">   53.13KW</t>
  </si>
  <si>
    <t xml:space="preserve">  36.87KWH</t>
  </si>
  <si>
    <t xml:space="preserve"> 42.38KVAH</t>
  </si>
  <si>
    <t>20.90KVARH</t>
  </si>
  <si>
    <t xml:space="preserve">  15:25:59</t>
  </si>
  <si>
    <t xml:space="preserve">  36.90KWH</t>
  </si>
  <si>
    <t xml:space="preserve"> 42.41KVAH</t>
  </si>
  <si>
    <t>20.92KVARH</t>
  </si>
  <si>
    <t xml:space="preserve">  15:26:01</t>
  </si>
  <si>
    <t xml:space="preserve">  36.92KWH</t>
  </si>
  <si>
    <t xml:space="preserve"> 42.45KVAH</t>
  </si>
  <si>
    <t>20.93KVARH</t>
  </si>
  <si>
    <t xml:space="preserve">  15:26:03</t>
  </si>
  <si>
    <t xml:space="preserve">  36.95KWH</t>
  </si>
  <si>
    <t xml:space="preserve"> 42.48KVAH</t>
  </si>
  <si>
    <t>20.95KVARH</t>
  </si>
  <si>
    <t xml:space="preserve">  15:26:05</t>
  </si>
  <si>
    <t xml:space="preserve">  36.98KWH</t>
  </si>
  <si>
    <t xml:space="preserve"> 42.51KVAH</t>
  </si>
  <si>
    <t>20.97KVARH</t>
  </si>
  <si>
    <t xml:space="preserve">  15:26:07</t>
  </si>
  <si>
    <t xml:space="preserve">  37.01KWH</t>
  </si>
  <si>
    <t xml:space="preserve"> 42.55KVAH</t>
  </si>
  <si>
    <t>20.98KVARH</t>
  </si>
  <si>
    <t xml:space="preserve">  15:26:09</t>
  </si>
  <si>
    <t xml:space="preserve">  37.04KWH</t>
  </si>
  <si>
    <t xml:space="preserve"> 42.58KVAH</t>
  </si>
  <si>
    <t>21.00KVARH</t>
  </si>
  <si>
    <t xml:space="preserve">  15:26:11</t>
  </si>
  <si>
    <t xml:space="preserve">  37.07KWH</t>
  </si>
  <si>
    <t xml:space="preserve"> 42.61KVAH</t>
  </si>
  <si>
    <t>21.02KVARH</t>
  </si>
  <si>
    <t xml:space="preserve">  15:26:13</t>
  </si>
  <si>
    <t xml:space="preserve">  37.10KWH</t>
  </si>
  <si>
    <t xml:space="preserve"> 42.65KVAH</t>
  </si>
  <si>
    <t>21.03KVARH</t>
  </si>
  <si>
    <t xml:space="preserve">  15:26:15</t>
  </si>
  <si>
    <t xml:space="preserve">  37.13KWH</t>
  </si>
  <si>
    <t xml:space="preserve"> 42.68KVAH</t>
  </si>
  <si>
    <t>21.05KVARH</t>
  </si>
  <si>
    <t xml:space="preserve">  15:26:17</t>
  </si>
  <si>
    <t xml:space="preserve">  37.16KWH</t>
  </si>
  <si>
    <t xml:space="preserve"> 42.71KVAH</t>
  </si>
  <si>
    <t>21.07KVARH</t>
  </si>
  <si>
    <t xml:space="preserve">  15:26:19</t>
  </si>
  <si>
    <t xml:space="preserve">  37.18KWH</t>
  </si>
  <si>
    <t xml:space="preserve"> 42.75KVAH</t>
  </si>
  <si>
    <t>21.08KVARH</t>
  </si>
  <si>
    <t xml:space="preserve">  15:26:21</t>
  </si>
  <si>
    <t xml:space="preserve">  37.21KWH</t>
  </si>
  <si>
    <t xml:space="preserve"> 42.78KVAH</t>
  </si>
  <si>
    <t>21.10KVARH</t>
  </si>
  <si>
    <t xml:space="preserve">  15:26:23</t>
  </si>
  <si>
    <t xml:space="preserve">  37.24KWH</t>
  </si>
  <si>
    <t xml:space="preserve"> 42.81KVAH</t>
  </si>
  <si>
    <t>21.11KVARH</t>
  </si>
  <si>
    <t xml:space="preserve">  15:26:25</t>
  </si>
  <si>
    <t xml:space="preserve">  37.27KWH</t>
  </si>
  <si>
    <t xml:space="preserve"> 42.84KVAH</t>
  </si>
  <si>
    <t>21.13KVARH</t>
  </si>
  <si>
    <t xml:space="preserve">  15:26:27</t>
  </si>
  <si>
    <t xml:space="preserve">  37.30KWH</t>
  </si>
  <si>
    <t xml:space="preserve"> 42.88KVAH</t>
  </si>
  <si>
    <t>21.15KVARH</t>
  </si>
  <si>
    <t xml:space="preserve">  15:26:29</t>
  </si>
  <si>
    <t xml:space="preserve">  37.33KWH</t>
  </si>
  <si>
    <t xml:space="preserve"> 42.91KVAH</t>
  </si>
  <si>
    <t>21.16KVARH</t>
  </si>
  <si>
    <t xml:space="preserve">  15:26:31</t>
  </si>
  <si>
    <t xml:space="preserve">  37.35KWH</t>
  </si>
  <si>
    <t xml:space="preserve"> 42.94KVAH</t>
  </si>
  <si>
    <t>21.18KVARH</t>
  </si>
  <si>
    <t xml:space="preserve">  15:26:33</t>
  </si>
  <si>
    <t xml:space="preserve">  37.38KWH</t>
  </si>
  <si>
    <t xml:space="preserve"> 42.97KVAH</t>
  </si>
  <si>
    <t>21.20KVARH</t>
  </si>
  <si>
    <t xml:space="preserve">  15:26:35</t>
  </si>
  <si>
    <t xml:space="preserve">  37.41KWH</t>
  </si>
  <si>
    <t xml:space="preserve"> 43.01KVAH</t>
  </si>
  <si>
    <t>21.21KVARH</t>
  </si>
  <si>
    <t xml:space="preserve">  15:26:37</t>
  </si>
  <si>
    <t xml:space="preserve">  37.44KWH</t>
  </si>
  <si>
    <t xml:space="preserve"> 43.04KVAH</t>
  </si>
  <si>
    <t>21.23KVARH</t>
  </si>
  <si>
    <t xml:space="preserve">  15:26:39</t>
  </si>
  <si>
    <t xml:space="preserve">  37.47KWH</t>
  </si>
  <si>
    <t xml:space="preserve"> 43.07KVAH</t>
  </si>
  <si>
    <t>21.25KVARH</t>
  </si>
  <si>
    <t xml:space="preserve">  15:26:41</t>
  </si>
  <si>
    <t xml:space="preserve">  37.49KWH</t>
  </si>
  <si>
    <t xml:space="preserve"> 43.10KVAH</t>
  </si>
  <si>
    <t>21.26KVARH</t>
  </si>
  <si>
    <t xml:space="preserve">  15:26:43</t>
  </si>
  <si>
    <t xml:space="preserve">  37.52KWH</t>
  </si>
  <si>
    <t xml:space="preserve"> 43.14KVAH</t>
  </si>
  <si>
    <t>21.28KVARH</t>
  </si>
  <si>
    <t xml:space="preserve">  15:26:45</t>
  </si>
  <si>
    <t xml:space="preserve">  37.55KWH</t>
  </si>
  <si>
    <t xml:space="preserve"> 43.17KVAH</t>
  </si>
  <si>
    <t>21.29KVARH</t>
  </si>
  <si>
    <t xml:space="preserve">  15:26:47</t>
  </si>
  <si>
    <t xml:space="preserve">  37.58KWH</t>
  </si>
  <si>
    <t xml:space="preserve"> 43.20KVAH</t>
  </si>
  <si>
    <t>21.31KVARH</t>
  </si>
  <si>
    <t xml:space="preserve">  15:26:49</t>
  </si>
  <si>
    <t xml:space="preserve">    135.8A</t>
  </si>
  <si>
    <t>-39.48KVAR</t>
  </si>
  <si>
    <t xml:space="preserve">  37.62KWH</t>
  </si>
  <si>
    <t xml:space="preserve"> 43.25KVAH</t>
  </si>
  <si>
    <t>21.33KVARH</t>
  </si>
  <si>
    <t xml:space="preserve">  15:26:51</t>
  </si>
  <si>
    <t xml:space="preserve">    138.4A</t>
  </si>
  <si>
    <t xml:space="preserve">  37.67KWH</t>
  </si>
  <si>
    <t xml:space="preserve"> 43.30KVAH</t>
  </si>
  <si>
    <t>21.35KVARH</t>
  </si>
  <si>
    <t xml:space="preserve">  15:26:53</t>
  </si>
  <si>
    <t xml:space="preserve">  37.71KWH</t>
  </si>
  <si>
    <t xml:space="preserve"> 43.35KVAH</t>
  </si>
  <si>
    <t>21.38KVARH</t>
  </si>
  <si>
    <t xml:space="preserve">  15:26:55</t>
  </si>
  <si>
    <t xml:space="preserve">    144.3A</t>
  </si>
  <si>
    <t xml:space="preserve">    108.2A</t>
  </si>
  <si>
    <t xml:space="preserve">   65.58KW</t>
  </si>
  <si>
    <t xml:space="preserve">  74.31KVA</t>
  </si>
  <si>
    <t>-34.95KVAR</t>
  </si>
  <si>
    <t xml:space="preserve">  37.75KWH</t>
  </si>
  <si>
    <t xml:space="preserve"> 43.39KVAH</t>
  </si>
  <si>
    <t>21.40KVARH</t>
  </si>
  <si>
    <t xml:space="preserve">  15:26:57</t>
  </si>
  <si>
    <t xml:space="preserve">  37.78KWH</t>
  </si>
  <si>
    <t xml:space="preserve"> 43.43KVAH</t>
  </si>
  <si>
    <t>21.41KVARH</t>
  </si>
  <si>
    <t xml:space="preserve">  15:26:59</t>
  </si>
  <si>
    <t xml:space="preserve">  37.81KWH</t>
  </si>
  <si>
    <t xml:space="preserve"> 43.46KVAH</t>
  </si>
  <si>
    <t>21.43KVARH</t>
  </si>
  <si>
    <t xml:space="preserve">  15:27:01</t>
  </si>
  <si>
    <t xml:space="preserve">  37.84KWH</t>
  </si>
  <si>
    <t xml:space="preserve"> 43.50KVAH</t>
  </si>
  <si>
    <t>21.45KVARH</t>
  </si>
  <si>
    <t xml:space="preserve">  15:27:03</t>
  </si>
  <si>
    <t xml:space="preserve">  37.87KWH</t>
  </si>
  <si>
    <t xml:space="preserve"> 43.53KVAH</t>
  </si>
  <si>
    <t>21.46KVARH</t>
  </si>
  <si>
    <t xml:space="preserve">  15:27:05</t>
  </si>
  <si>
    <t xml:space="preserve">  37.90KWH</t>
  </si>
  <si>
    <t xml:space="preserve"> 43.56KVAH</t>
  </si>
  <si>
    <t>21.48KVARH</t>
  </si>
  <si>
    <t xml:space="preserve">  15:27:07</t>
  </si>
  <si>
    <t xml:space="preserve">  37.93KWH</t>
  </si>
  <si>
    <t xml:space="preserve"> 43.60KVAH</t>
  </si>
  <si>
    <t>21.50KVARH</t>
  </si>
  <si>
    <t xml:space="preserve">  15:27:09</t>
  </si>
  <si>
    <t xml:space="preserve">  37.96KWH</t>
  </si>
  <si>
    <t xml:space="preserve"> 43.63KVAH</t>
  </si>
  <si>
    <t>21.51KVARH</t>
  </si>
  <si>
    <t xml:space="preserve">  15:27:11</t>
  </si>
  <si>
    <t xml:space="preserve">  37.98KWH</t>
  </si>
  <si>
    <t xml:space="preserve"> 43.66KVAH</t>
  </si>
  <si>
    <t>21.53KVARH</t>
  </si>
  <si>
    <t xml:space="preserve">  15:27:13</t>
  </si>
  <si>
    <t xml:space="preserve">  38.01KWH</t>
  </si>
  <si>
    <t xml:space="preserve"> 43.70KVAH</t>
  </si>
  <si>
    <t>21.55KVARH</t>
  </si>
  <si>
    <t xml:space="preserve">  15:27:15</t>
  </si>
  <si>
    <t xml:space="preserve">  38.04KWH</t>
  </si>
  <si>
    <t xml:space="preserve"> 43.73KVAH</t>
  </si>
  <si>
    <t>21.56KVARH</t>
  </si>
  <si>
    <t xml:space="preserve">  15:27:17</t>
  </si>
  <si>
    <t xml:space="preserve">  38.07KWH</t>
  </si>
  <si>
    <t xml:space="preserve"> 43.76KVAH</t>
  </si>
  <si>
    <t>21.58KVARH</t>
  </si>
  <si>
    <t xml:space="preserve">  15:27:19</t>
  </si>
  <si>
    <t xml:space="preserve">  38.10KWH</t>
  </si>
  <si>
    <t xml:space="preserve"> 43.79KVAH</t>
  </si>
  <si>
    <t>21.59KVARH</t>
  </si>
  <si>
    <t xml:space="preserve">  15:27:21</t>
  </si>
  <si>
    <t xml:space="preserve">  38.13KWH</t>
  </si>
  <si>
    <t xml:space="preserve"> 43.83KVAH</t>
  </si>
  <si>
    <t>21.61KVARH</t>
  </si>
  <si>
    <t xml:space="preserve">  15:27:23</t>
  </si>
  <si>
    <t xml:space="preserve">  38.16KWH</t>
  </si>
  <si>
    <t xml:space="preserve"> 43.86KVAH</t>
  </si>
  <si>
    <t>21.63KVARH</t>
  </si>
  <si>
    <t xml:space="preserve">  15:27:25</t>
  </si>
  <si>
    <t xml:space="preserve">  38.18KWH</t>
  </si>
  <si>
    <t xml:space="preserve"> 43.89KVAH</t>
  </si>
  <si>
    <t>21.64KVARH</t>
  </si>
  <si>
    <t xml:space="preserve">  15:27:27</t>
  </si>
  <si>
    <t xml:space="preserve">  38.21KWH</t>
  </si>
  <si>
    <t xml:space="preserve"> 43.93KVAH</t>
  </si>
  <si>
    <t>21.66KVARH</t>
  </si>
  <si>
    <t xml:space="preserve">  15:27:29</t>
  </si>
  <si>
    <t xml:space="preserve">  38.24KWH</t>
  </si>
  <si>
    <t xml:space="preserve"> 43.96KVAH</t>
  </si>
  <si>
    <t>21.68KVARH</t>
  </si>
  <si>
    <t xml:space="preserve">  15:27:31</t>
  </si>
  <si>
    <t xml:space="preserve">  38.27KWH</t>
  </si>
  <si>
    <t xml:space="preserve"> 43.99KVAH</t>
  </si>
  <si>
    <t>21.69KVARH</t>
  </si>
  <si>
    <t xml:space="preserve">  15:27:33</t>
  </si>
  <si>
    <t xml:space="preserve">  38.30KWH</t>
  </si>
  <si>
    <t xml:space="preserve"> 44.02KVAH</t>
  </si>
  <si>
    <t>21.71KVARH</t>
  </si>
  <si>
    <t xml:space="preserve">  15:27:35</t>
  </si>
  <si>
    <t xml:space="preserve">  38.33KWH</t>
  </si>
  <si>
    <t xml:space="preserve"> 44.06KVAH</t>
  </si>
  <si>
    <t>21.73KVARH</t>
  </si>
  <si>
    <t xml:space="preserve">  15:27:37</t>
  </si>
  <si>
    <t xml:space="preserve">  38.35KWH</t>
  </si>
  <si>
    <t xml:space="preserve"> 44.09KVAH</t>
  </si>
  <si>
    <t>21.74KVARH</t>
  </si>
  <si>
    <t xml:space="preserve">  15:27:39</t>
  </si>
  <si>
    <t xml:space="preserve">  38.38KWH</t>
  </si>
  <si>
    <t xml:space="preserve"> 44.12KVAH</t>
  </si>
  <si>
    <t>21.76KVARH</t>
  </si>
  <si>
    <t xml:space="preserve">  15:27:41</t>
  </si>
  <si>
    <t xml:space="preserve">  38.41KWH</t>
  </si>
  <si>
    <t xml:space="preserve"> 44.15KVAH</t>
  </si>
  <si>
    <t>21.77KVARH</t>
  </si>
  <si>
    <t xml:space="preserve">  15:27:43</t>
  </si>
  <si>
    <t xml:space="preserve">  38.44KWH</t>
  </si>
  <si>
    <t xml:space="preserve"> 44.19KVAH</t>
  </si>
  <si>
    <t>21.79KVARH</t>
  </si>
  <si>
    <t xml:space="preserve">  15:27:45</t>
  </si>
  <si>
    <t xml:space="preserve">  38.47KWH</t>
  </si>
  <si>
    <t xml:space="preserve"> 44.22KVAH</t>
  </si>
  <si>
    <t>21.81KVARH</t>
  </si>
  <si>
    <t xml:space="preserve">  15:27:47</t>
  </si>
  <si>
    <t xml:space="preserve">  38.49KWH</t>
  </si>
  <si>
    <t xml:space="preserve"> 44.25KVAH</t>
  </si>
  <si>
    <t>21.82KVARH</t>
  </si>
  <si>
    <t xml:space="preserve">  15:27:49</t>
  </si>
  <si>
    <t xml:space="preserve">  38.52KWH</t>
  </si>
  <si>
    <t xml:space="preserve"> 44.28KVAH</t>
  </si>
  <si>
    <t>21.84KVARH</t>
  </si>
  <si>
    <t xml:space="preserve">  15:27:51</t>
  </si>
  <si>
    <t xml:space="preserve">    116.7A</t>
  </si>
  <si>
    <t xml:space="preserve">   66.33KW</t>
  </si>
  <si>
    <t xml:space="preserve">  74.97KVA</t>
  </si>
  <si>
    <t xml:space="preserve">  38.56KWH</t>
  </si>
  <si>
    <t xml:space="preserve"> 44.33KVAH</t>
  </si>
  <si>
    <t>21.86KVARH</t>
  </si>
  <si>
    <t xml:space="preserve">  15:27:53</t>
  </si>
  <si>
    <t xml:space="preserve">    137.8A</t>
  </si>
  <si>
    <t xml:space="preserve">  38.60KWH</t>
  </si>
  <si>
    <t xml:space="preserve"> 44.38KVAH</t>
  </si>
  <si>
    <t>21.88KVARH</t>
  </si>
  <si>
    <t xml:space="preserve">  15:27:55</t>
  </si>
  <si>
    <t xml:space="preserve">   82.47KW</t>
  </si>
  <si>
    <t xml:space="preserve">  91.86KVA</t>
  </si>
  <si>
    <t xml:space="preserve">  38.65KWH</t>
  </si>
  <si>
    <t xml:space="preserve"> 44.43KVAH</t>
  </si>
  <si>
    <t>21.90KVARH</t>
  </si>
  <si>
    <t xml:space="preserve">  15:27:57</t>
  </si>
  <si>
    <t xml:space="preserve">  38.70KWH</t>
  </si>
  <si>
    <t xml:space="preserve"> 44.48KVAH</t>
  </si>
  <si>
    <t>21.93KVARH</t>
  </si>
  <si>
    <t xml:space="preserve">  15:27:59</t>
  </si>
  <si>
    <t xml:space="preserve">    124.3A</t>
  </si>
  <si>
    <t xml:space="preserve">   58.38KW</t>
  </si>
  <si>
    <t xml:space="preserve">  66.69KVA</t>
  </si>
  <si>
    <t>-32.28KVAR</t>
  </si>
  <si>
    <t xml:space="preserve">  38.73KWH</t>
  </si>
  <si>
    <t xml:space="preserve"> 44.52KVAH</t>
  </si>
  <si>
    <t>21.94KVARH</t>
  </si>
  <si>
    <t xml:space="preserve">  15:28:01</t>
  </si>
  <si>
    <t xml:space="preserve">  38.76KWH</t>
  </si>
  <si>
    <t xml:space="preserve"> 44.55KVAH</t>
  </si>
  <si>
    <t>21.96KVARH</t>
  </si>
  <si>
    <t xml:space="preserve">  15:28:03</t>
  </si>
  <si>
    <t xml:space="preserve">  38.79KWH</t>
  </si>
  <si>
    <t xml:space="preserve"> 44.58KVAH</t>
  </si>
  <si>
    <t>21.98KVARH</t>
  </si>
  <si>
    <t xml:space="preserve">  15:28:05</t>
  </si>
  <si>
    <t xml:space="preserve">  38.82KWH</t>
  </si>
  <si>
    <t xml:space="preserve"> 44.62KVAH</t>
  </si>
  <si>
    <t>21.99KVARH</t>
  </si>
  <si>
    <t xml:space="preserve">  15:28:07</t>
  </si>
  <si>
    <t xml:space="preserve">  38.85KWH</t>
  </si>
  <si>
    <t xml:space="preserve"> 44.65KVAH</t>
  </si>
  <si>
    <t>22.01KVARH</t>
  </si>
  <si>
    <t xml:space="preserve">  15:28:09</t>
  </si>
  <si>
    <t xml:space="preserve">  38.87KWH</t>
  </si>
  <si>
    <t xml:space="preserve"> 44.68KVAH</t>
  </si>
  <si>
    <t>22.03KVARH</t>
  </si>
  <si>
    <t xml:space="preserve">  15:28:11</t>
  </si>
  <si>
    <t xml:space="preserve">  38.90KWH</t>
  </si>
  <si>
    <t xml:space="preserve"> 44.72KVAH</t>
  </si>
  <si>
    <t>22.04KVARH</t>
  </si>
  <si>
    <t xml:space="preserve">  15:28:13</t>
  </si>
  <si>
    <t xml:space="preserve">  38.93KWH</t>
  </si>
  <si>
    <t xml:space="preserve"> 44.75KVAH</t>
  </si>
  <si>
    <t>22.06KVARH</t>
  </si>
  <si>
    <t xml:space="preserve">  15:28:15</t>
  </si>
  <si>
    <t xml:space="preserve">  38.96KWH</t>
  </si>
  <si>
    <t xml:space="preserve"> 44.78KVAH</t>
  </si>
  <si>
    <t>22.08KVARH</t>
  </si>
  <si>
    <t xml:space="preserve">  15:28:17</t>
  </si>
  <si>
    <t xml:space="preserve">  38.99KWH</t>
  </si>
  <si>
    <t xml:space="preserve"> 44.82KVAH</t>
  </si>
  <si>
    <t>22.09KVARH</t>
  </si>
  <si>
    <t xml:space="preserve">  15:28:19</t>
  </si>
  <si>
    <t xml:space="preserve">  39.02KWH</t>
  </si>
  <si>
    <t xml:space="preserve"> 44.85KVAH</t>
  </si>
  <si>
    <t>22.11KVARH</t>
  </si>
  <si>
    <t xml:space="preserve">  15:28:21</t>
  </si>
  <si>
    <t xml:space="preserve">  39.05KWH</t>
  </si>
  <si>
    <t xml:space="preserve"> 44.88KVAH</t>
  </si>
  <si>
    <t>22.13KVARH</t>
  </si>
  <si>
    <t xml:space="preserve">  15:28:23</t>
  </si>
  <si>
    <t xml:space="preserve">  39.08KWH</t>
  </si>
  <si>
    <t xml:space="preserve"> 44.91KVAH</t>
  </si>
  <si>
    <t>22.14KVARH</t>
  </si>
  <si>
    <t xml:space="preserve">  15:28:25</t>
  </si>
  <si>
    <t xml:space="preserve">  39.10KWH</t>
  </si>
  <si>
    <t xml:space="preserve"> 44.95KVAH</t>
  </si>
  <si>
    <t>22.16KVARH</t>
  </si>
  <si>
    <t xml:space="preserve">  15:28:27</t>
  </si>
  <si>
    <t xml:space="preserve">  39.13KWH</t>
  </si>
  <si>
    <t xml:space="preserve"> 44.98KVAH</t>
  </si>
  <si>
    <t>22.17KVARH</t>
  </si>
  <si>
    <t xml:space="preserve">  15:28:29</t>
  </si>
  <si>
    <t xml:space="preserve">  39.16KWH</t>
  </si>
  <si>
    <t xml:space="preserve"> 45.01KVAH</t>
  </si>
  <si>
    <t>22.19KVARH</t>
  </si>
  <si>
    <t xml:space="preserve">  15:28:31</t>
  </si>
  <si>
    <t xml:space="preserve">  39.19KWH</t>
  </si>
  <si>
    <t xml:space="preserve"> 45.04KVAH</t>
  </si>
  <si>
    <t>22.21KVARH</t>
  </si>
  <si>
    <t xml:space="preserve">  15:28:33</t>
  </si>
  <si>
    <t xml:space="preserve">  39.22KWH</t>
  </si>
  <si>
    <t xml:space="preserve"> 45.08KVAH</t>
  </si>
  <si>
    <t>22.22KVARH</t>
  </si>
  <si>
    <t xml:space="preserve">  15:28:35</t>
  </si>
  <si>
    <t xml:space="preserve">  39.24KWH</t>
  </si>
  <si>
    <t xml:space="preserve"> 45.11KVAH</t>
  </si>
  <si>
    <t>22.24KVARH</t>
  </si>
  <si>
    <t xml:space="preserve">  15:28:37</t>
  </si>
  <si>
    <t xml:space="preserve">  39.27KWH</t>
  </si>
  <si>
    <t xml:space="preserve"> 45.14KVAH</t>
  </si>
  <si>
    <t>22.26KVARH</t>
  </si>
  <si>
    <t xml:space="preserve">  15:28:39</t>
  </si>
  <si>
    <t xml:space="preserve">  39.30KWH</t>
  </si>
  <si>
    <t xml:space="preserve"> 45.17KVAH</t>
  </si>
  <si>
    <t>22.27KVARH</t>
  </si>
  <si>
    <t xml:space="preserve">  15:28:41</t>
  </si>
  <si>
    <t xml:space="preserve">  39.33KWH</t>
  </si>
  <si>
    <t xml:space="preserve"> 45.21KVAH</t>
  </si>
  <si>
    <t>22.29KVARH</t>
  </si>
  <si>
    <t xml:space="preserve">  15:28:43</t>
  </si>
  <si>
    <t xml:space="preserve">  39.36KWH</t>
  </si>
  <si>
    <t xml:space="preserve"> 45.24KVAH</t>
  </si>
  <si>
    <t>22.30KVARH</t>
  </si>
  <si>
    <t xml:space="preserve">  15:28:45</t>
  </si>
  <si>
    <t xml:space="preserve">  39.38KWH</t>
  </si>
  <si>
    <t xml:space="preserve"> 45.27KVAH</t>
  </si>
  <si>
    <t>22.32KVARH</t>
  </si>
  <si>
    <t xml:space="preserve">  15:28:47</t>
  </si>
  <si>
    <t xml:space="preserve">    137.3A</t>
  </si>
  <si>
    <t xml:space="preserve">   81.51KW</t>
  </si>
  <si>
    <t xml:space="preserve">  90.78KVA</t>
  </si>
  <si>
    <t xml:space="preserve">  39.43KWH</t>
  </si>
  <si>
    <t xml:space="preserve"> 45.32KVAH</t>
  </si>
  <si>
    <t>22.34KVARH</t>
  </si>
  <si>
    <t xml:space="preserve">  15:28:49</t>
  </si>
  <si>
    <t xml:space="preserve">  92.04KVA</t>
  </si>
  <si>
    <t xml:space="preserve">  39.48KWH</t>
  </si>
  <si>
    <t xml:space="preserve"> 45.37KVAH</t>
  </si>
  <si>
    <t>22.37KVARH</t>
  </si>
  <si>
    <t xml:space="preserve">  15:28:51</t>
  </si>
  <si>
    <t xml:space="preserve">    140.0A</t>
  </si>
  <si>
    <t xml:space="preserve">  39.52KWH</t>
  </si>
  <si>
    <t xml:space="preserve"> 45.42KVAH</t>
  </si>
  <si>
    <t>22.39KVARH</t>
  </si>
  <si>
    <t xml:space="preserve">  15:28:53</t>
  </si>
  <si>
    <t xml:space="preserve">    90.75A</t>
  </si>
  <si>
    <t xml:space="preserve">    99.75A</t>
  </si>
  <si>
    <t xml:space="preserve">  60.90KVA</t>
  </si>
  <si>
    <t xml:space="preserve">  39.55KWH</t>
  </si>
  <si>
    <t xml:space="preserve"> 45.46KVAH</t>
  </si>
  <si>
    <t>22.40KVARH</t>
  </si>
  <si>
    <t xml:space="preserve">  15:28:55</t>
  </si>
  <si>
    <t xml:space="preserve">    90.00A</t>
  </si>
  <si>
    <t xml:space="preserve">  39.58KWH</t>
  </si>
  <si>
    <t xml:space="preserve"> 45.49KVAH</t>
  </si>
  <si>
    <t>22.42KVARH</t>
  </si>
  <si>
    <t xml:space="preserve">  15:28:57</t>
  </si>
  <si>
    <t xml:space="preserve">  39.61KWH</t>
  </si>
  <si>
    <t xml:space="preserve"> 45.53KVAH</t>
  </si>
  <si>
    <t>22.44KVARH</t>
  </si>
  <si>
    <t xml:space="preserve">  15:28:59</t>
  </si>
  <si>
    <t xml:space="preserve">  39.64KWH</t>
  </si>
  <si>
    <t xml:space="preserve"> 45.56KVAH</t>
  </si>
  <si>
    <t>22.45KVARH</t>
  </si>
  <si>
    <t xml:space="preserve">  15:29:01</t>
  </si>
  <si>
    <t xml:space="preserve">  39.67KWH</t>
  </si>
  <si>
    <t xml:space="preserve"> 45.59KVAH</t>
  </si>
  <si>
    <t>22.47KVARH</t>
  </si>
  <si>
    <t xml:space="preserve">  15:29:03</t>
  </si>
  <si>
    <t xml:space="preserve">  39.70KWH</t>
  </si>
  <si>
    <t xml:space="preserve"> 45.63KVAH</t>
  </si>
  <si>
    <t>22.49KVARH</t>
  </si>
  <si>
    <t xml:space="preserve">  15:29:05</t>
  </si>
  <si>
    <t xml:space="preserve">  39.73KWH</t>
  </si>
  <si>
    <t xml:space="preserve"> 45.66KVAH</t>
  </si>
  <si>
    <t>22.50KVARH</t>
  </si>
  <si>
    <t xml:space="preserve">  15:29:07</t>
  </si>
  <si>
    <t xml:space="preserve">  39.75KWH</t>
  </si>
  <si>
    <t xml:space="preserve"> 45.69KVAH</t>
  </si>
  <si>
    <t>22.52KVARH</t>
  </si>
  <si>
    <t xml:space="preserve">  15:29:09</t>
  </si>
  <si>
    <t xml:space="preserve">  39.78KWH</t>
  </si>
  <si>
    <t xml:space="preserve"> 45.72KVAH</t>
  </si>
  <si>
    <t>22.54KVARH</t>
  </si>
  <si>
    <t xml:space="preserve">  15:29:11</t>
  </si>
  <si>
    <t xml:space="preserve">  39.81KWH</t>
  </si>
  <si>
    <t xml:space="preserve"> 45.76KVAH</t>
  </si>
  <si>
    <t>22.55KVARH</t>
  </si>
  <si>
    <t xml:space="preserve">  15:29:13</t>
  </si>
  <si>
    <t xml:space="preserve">  39.84KWH</t>
  </si>
  <si>
    <t xml:space="preserve"> 45.79KVAH</t>
  </si>
  <si>
    <t>22.57KVARH</t>
  </si>
  <si>
    <t xml:space="preserve">  15:29:15</t>
  </si>
  <si>
    <t xml:space="preserve">  39.87KWH</t>
  </si>
  <si>
    <t xml:space="preserve"> 45.82KVAH</t>
  </si>
  <si>
    <t>22.59KVARH</t>
  </si>
  <si>
    <t xml:space="preserve">  15:29:17</t>
  </si>
  <si>
    <t xml:space="preserve">  39.90KWH</t>
  </si>
  <si>
    <t xml:space="preserve"> 45.86KVAH</t>
  </si>
  <si>
    <t>22.60KVARH</t>
  </si>
  <si>
    <t xml:space="preserve">  15:29:19</t>
  </si>
  <si>
    <t xml:space="preserve">  39.92KWH</t>
  </si>
  <si>
    <t xml:space="preserve"> 45.89KVAH</t>
  </si>
  <si>
    <t>22.62KVARH</t>
  </si>
  <si>
    <t xml:space="preserve">  15:29:21</t>
  </si>
  <si>
    <t xml:space="preserve">  39.95KWH</t>
  </si>
  <si>
    <t xml:space="preserve"> 45.92KVAH</t>
  </si>
  <si>
    <t>22.64KVARH</t>
  </si>
  <si>
    <t xml:space="preserve">  15:29:23</t>
  </si>
  <si>
    <t xml:space="preserve">  39.98KWH</t>
  </si>
  <si>
    <t xml:space="preserve"> 45.95KVAH</t>
  </si>
  <si>
    <t>22.65KVARH</t>
  </si>
  <si>
    <t xml:space="preserve">  15:29:25</t>
  </si>
  <si>
    <t xml:space="preserve">  40.01KWH</t>
  </si>
  <si>
    <t xml:space="preserve"> 45.99KVAH</t>
  </si>
  <si>
    <t>22.67KVARH</t>
  </si>
  <si>
    <t xml:space="preserve">  15:29:27</t>
  </si>
  <si>
    <t xml:space="preserve">  40.04KWH</t>
  </si>
  <si>
    <t xml:space="preserve"> 46.02KVAH</t>
  </si>
  <si>
    <t>22.68KVARH</t>
  </si>
  <si>
    <t xml:space="preserve">  15:29:29</t>
  </si>
  <si>
    <t xml:space="preserve">  40.06KWH</t>
  </si>
  <si>
    <t xml:space="preserve"> 46.05KVAH</t>
  </si>
  <si>
    <t>22.70KVARH</t>
  </si>
  <si>
    <t xml:space="preserve">  15:29:31</t>
  </si>
  <si>
    <t xml:space="preserve">  40.09KWH</t>
  </si>
  <si>
    <t xml:space="preserve"> 46.08KVAH</t>
  </si>
  <si>
    <t>22.72KVARH</t>
  </si>
  <si>
    <t xml:space="preserve">  15:29:33</t>
  </si>
  <si>
    <t xml:space="preserve">  40.12KWH</t>
  </si>
  <si>
    <t xml:space="preserve"> 46.11KVAH</t>
  </si>
  <si>
    <t>22.73KVARH</t>
  </si>
  <si>
    <t xml:space="preserve">  15:29:35</t>
  </si>
  <si>
    <t xml:space="preserve">  40.15KWH</t>
  </si>
  <si>
    <t xml:space="preserve"> 46.15KVAH</t>
  </si>
  <si>
    <t>22.75KVARH</t>
  </si>
  <si>
    <t xml:space="preserve">  15:29:37</t>
  </si>
  <si>
    <t xml:space="preserve">  40.18KWH</t>
  </si>
  <si>
    <t xml:space="preserve"> 46.18KVAH</t>
  </si>
  <si>
    <t>22.77KVARH</t>
  </si>
  <si>
    <t xml:space="preserve">  15:29:39</t>
  </si>
  <si>
    <t xml:space="preserve">  40.20KWH</t>
  </si>
  <si>
    <t xml:space="preserve"> 46.21KVAH</t>
  </si>
  <si>
    <t>22.78KVARH</t>
  </si>
  <si>
    <t xml:space="preserve">  15:29:41</t>
  </si>
  <si>
    <t xml:space="preserve">   81.18KW</t>
  </si>
  <si>
    <t xml:space="preserve">  40.25KWH</t>
  </si>
  <si>
    <t xml:space="preserve"> 46.26KVAH</t>
  </si>
  <si>
    <t>22.80KVARH</t>
  </si>
  <si>
    <t xml:space="preserve">  15:29:43</t>
  </si>
  <si>
    <t xml:space="preserve">  91.32KVA</t>
  </si>
  <si>
    <t xml:space="preserve">  40.29KWH</t>
  </si>
  <si>
    <t xml:space="preserve"> 46.31KVAH</t>
  </si>
  <si>
    <t>22.83KVARH</t>
  </si>
  <si>
    <t xml:space="preserve">  15:29:45</t>
  </si>
  <si>
    <t xml:space="preserve">  92.40KVA</t>
  </si>
  <si>
    <t xml:space="preserve">  40.34KWH</t>
  </si>
  <si>
    <t xml:space="preserve"> 46.36KVAH</t>
  </si>
  <si>
    <t>22.85KVARH</t>
  </si>
  <si>
    <t xml:space="preserve">  15:29:47</t>
  </si>
  <si>
    <t xml:space="preserve">    139.4A</t>
  </si>
  <si>
    <t xml:space="preserve">   81.87KW</t>
  </si>
  <si>
    <t xml:space="preserve">  40.39KWH</t>
  </si>
  <si>
    <t xml:space="preserve"> 46.41KVAH</t>
  </si>
  <si>
    <t>22.87KVARH</t>
  </si>
  <si>
    <t xml:space="preserve">  15:29:49</t>
  </si>
  <si>
    <t xml:space="preserve">  40.42KWH</t>
  </si>
  <si>
    <t xml:space="preserve"> 46.45KVAH</t>
  </si>
  <si>
    <t>22.89KVARH</t>
  </si>
  <si>
    <t xml:space="preserve">  15:29:51</t>
  </si>
  <si>
    <t xml:space="preserve">  40.45KWH</t>
  </si>
  <si>
    <t xml:space="preserve"> 46.48KVAH</t>
  </si>
  <si>
    <t>22.90KVARH</t>
  </si>
  <si>
    <t xml:space="preserve">  15:29:53</t>
  </si>
  <si>
    <t xml:space="preserve">  40.47KWH</t>
  </si>
  <si>
    <t xml:space="preserve"> 46.52KVAH</t>
  </si>
  <si>
    <t>22.92KVARH</t>
  </si>
  <si>
    <t xml:space="preserve">   54.19KW</t>
  </si>
  <si>
    <t xml:space="preserve">  62.19KVA</t>
  </si>
  <si>
    <t xml:space="preserve">  15:29:55</t>
  </si>
  <si>
    <t xml:space="preserve">  40.50KWH</t>
  </si>
  <si>
    <t xml:space="preserve"> 46.55KVAH</t>
  </si>
  <si>
    <t>22.94KVARH</t>
  </si>
  <si>
    <t xml:space="preserve">  15:29:57</t>
  </si>
  <si>
    <t xml:space="preserve">  40.53KWH</t>
  </si>
  <si>
    <t xml:space="preserve"> 46.58KVAH</t>
  </si>
  <si>
    <t>22.95KVARH</t>
  </si>
  <si>
    <t xml:space="preserve">  15:29:59</t>
  </si>
  <si>
    <t xml:space="preserve">  40.56KWH</t>
  </si>
  <si>
    <t xml:space="preserve"> 46.62KVAH</t>
  </si>
  <si>
    <t>22.97KVARH</t>
  </si>
  <si>
    <t xml:space="preserve">  15:30:01</t>
  </si>
  <si>
    <t xml:space="preserve">  40.59KWH</t>
  </si>
  <si>
    <t xml:space="preserve"> 46.65KVAH</t>
  </si>
  <si>
    <t>22.99KVARH</t>
  </si>
  <si>
    <t xml:space="preserve">  15:30:03</t>
  </si>
  <si>
    <t xml:space="preserve">  40.62KWH</t>
  </si>
  <si>
    <t xml:space="preserve"> 46.68KVAH</t>
  </si>
  <si>
    <t>23.00KVARH</t>
  </si>
  <si>
    <t xml:space="preserve">  15:30:05</t>
  </si>
  <si>
    <t xml:space="preserve">  40.65KWH</t>
  </si>
  <si>
    <t xml:space="preserve"> 46.71KVAH</t>
  </si>
  <si>
    <t>23.02KVARH</t>
  </si>
  <si>
    <t xml:space="preserve">  15:30:07</t>
  </si>
  <si>
    <t xml:space="preserve">  40.68KWH</t>
  </si>
  <si>
    <t xml:space="preserve"> 46.75KVAH</t>
  </si>
  <si>
    <t>23.04KVARH</t>
  </si>
  <si>
    <t xml:space="preserve">  15:30:09</t>
  </si>
  <si>
    <t xml:space="preserve">  40.70KWH</t>
  </si>
  <si>
    <t xml:space="preserve"> 46.78KVAH</t>
  </si>
  <si>
    <t>23.05KVARH</t>
  </si>
  <si>
    <t xml:space="preserve">  15:30:11</t>
  </si>
  <si>
    <t xml:space="preserve">  40.73KWH</t>
  </si>
  <si>
    <t xml:space="preserve"> 46.81KVAH</t>
  </si>
  <si>
    <t>23.07KVARH</t>
  </si>
  <si>
    <t xml:space="preserve">  15:30:13</t>
  </si>
  <si>
    <t xml:space="preserve">  40.76KWH</t>
  </si>
  <si>
    <t xml:space="preserve"> 46.85KVAH</t>
  </si>
  <si>
    <t>23.08KVARH</t>
  </si>
  <si>
    <t xml:space="preserve">  15:30:15</t>
  </si>
  <si>
    <t xml:space="preserve">  40.79KWH</t>
  </si>
  <si>
    <t xml:space="preserve"> 46.88KVAH</t>
  </si>
  <si>
    <t>23.10KVARH</t>
  </si>
  <si>
    <t xml:space="preserve">  15:30:17</t>
  </si>
  <si>
    <t xml:space="preserve">  40.82KWH</t>
  </si>
  <si>
    <t xml:space="preserve"> 46.91KVAH</t>
  </si>
  <si>
    <t>23.12KVARH</t>
  </si>
  <si>
    <t xml:space="preserve">  15:30:19</t>
  </si>
  <si>
    <t xml:space="preserve">  40.85KWH</t>
  </si>
  <si>
    <t xml:space="preserve"> 46.94KVAH</t>
  </si>
  <si>
    <t>23.13KVARH</t>
  </si>
  <si>
    <t xml:space="preserve">  15:30:21</t>
  </si>
  <si>
    <t xml:space="preserve">  40.87KWH</t>
  </si>
  <si>
    <t xml:space="preserve"> 46.98KVAH</t>
  </si>
  <si>
    <t>23.15KVARH</t>
  </si>
  <si>
    <t xml:space="preserve">  15:30:23</t>
  </si>
  <si>
    <t xml:space="preserve">  40.90KWH</t>
  </si>
  <si>
    <t xml:space="preserve"> 47.01KVAH</t>
  </si>
  <si>
    <t>23.17KVARH</t>
  </si>
  <si>
    <t xml:space="preserve">  15:30:25</t>
  </si>
  <si>
    <t xml:space="preserve">  40.93KWH</t>
  </si>
  <si>
    <t xml:space="preserve"> 47.04KVAH</t>
  </si>
  <si>
    <t>23.18KVARH</t>
  </si>
  <si>
    <t xml:space="preserve">  15:30:27</t>
  </si>
  <si>
    <t xml:space="preserve">    359.5V</t>
  </si>
  <si>
    <t>-28.74KVAR</t>
  </si>
  <si>
    <t xml:space="preserve">  40.96KWH</t>
  </si>
  <si>
    <t xml:space="preserve"> 47.07KVAH</t>
  </si>
  <si>
    <t>23.20KVARH</t>
  </si>
  <si>
    <t xml:space="preserve">  15:30:29</t>
  </si>
  <si>
    <t>-29.07KVAR</t>
  </si>
  <si>
    <t xml:space="preserve">  40.99KWH</t>
  </si>
  <si>
    <t xml:space="preserve"> 47.11KVAH</t>
  </si>
  <si>
    <t>23.21KVARH</t>
  </si>
  <si>
    <t xml:space="preserve">  15:30:31</t>
  </si>
  <si>
    <t xml:space="preserve">  57.81KVA</t>
  </si>
  <si>
    <t>-28.95KVAR</t>
  </si>
  <si>
    <t xml:space="preserve">  41.01KWH</t>
  </si>
  <si>
    <t xml:space="preserve"> 47.14KVAH</t>
  </si>
  <si>
    <t>23.23KVARH</t>
  </si>
  <si>
    <t xml:space="preserve">  15:30:33</t>
  </si>
  <si>
    <t xml:space="preserve">  57.87KVA</t>
  </si>
  <si>
    <t xml:space="preserve">  41.04KWH</t>
  </si>
  <si>
    <t xml:space="preserve"> 47.17KVAH</t>
  </si>
  <si>
    <t>23.25KVARH</t>
  </si>
  <si>
    <t xml:space="preserve">  15:30:35</t>
  </si>
  <si>
    <t xml:space="preserve">    359.9V</t>
  </si>
  <si>
    <t xml:space="preserve">    144.9A</t>
  </si>
  <si>
    <t xml:space="preserve">  89.67KVA</t>
  </si>
  <si>
    <t xml:space="preserve">  41.09KWH</t>
  </si>
  <si>
    <t xml:space="preserve"> 47.22KVAH</t>
  </si>
  <si>
    <t>23.27KVARH</t>
  </si>
  <si>
    <t xml:space="preserve">  15:30:37</t>
  </si>
  <si>
    <t xml:space="preserve">    359.6V</t>
  </si>
  <si>
    <t xml:space="preserve">    359.3V</t>
  </si>
  <si>
    <t xml:space="preserve">    152.4A</t>
  </si>
  <si>
    <t xml:space="preserve">   82.20KW</t>
  </si>
  <si>
    <t xml:space="preserve">  91.50KVA</t>
  </si>
  <si>
    <t xml:space="preserve">  41.13KWH</t>
  </si>
  <si>
    <t xml:space="preserve"> 47.27KVAH</t>
  </si>
  <si>
    <t>23.29KVARH</t>
  </si>
  <si>
    <t xml:space="preserve">  15:30:39</t>
  </si>
  <si>
    <t xml:space="preserve">    359.4V</t>
  </si>
  <si>
    <t xml:space="preserve">  41.18KWH</t>
  </si>
  <si>
    <t xml:space="preserve"> 47.32KVAH</t>
  </si>
  <si>
    <t>23.31KVARH</t>
  </si>
  <si>
    <t xml:space="preserve">  15:30:41</t>
  </si>
  <si>
    <t xml:space="preserve">    123.2A</t>
  </si>
  <si>
    <t xml:space="preserve">    102.5A</t>
  </si>
  <si>
    <t xml:space="preserve">   69.54KW</t>
  </si>
  <si>
    <t xml:space="preserve">  78.39KVA</t>
  </si>
  <si>
    <t>-36.21KVAR</t>
  </si>
  <si>
    <t xml:space="preserve">  41.22KWH</t>
  </si>
  <si>
    <t xml:space="preserve"> 47.37KVAH</t>
  </si>
  <si>
    <t>23.33KVARH</t>
  </si>
  <si>
    <t xml:space="preserve">  15:30:43</t>
  </si>
  <si>
    <t xml:space="preserve">  41.25KWH</t>
  </si>
  <si>
    <t xml:space="preserve"> 47.40KVAH</t>
  </si>
  <si>
    <t>23.35KVARH</t>
  </si>
  <si>
    <t xml:space="preserve">  15:30:45</t>
  </si>
  <si>
    <t xml:space="preserve">  41.28KWH</t>
  </si>
  <si>
    <t xml:space="preserve"> 47.43KVAH</t>
  </si>
  <si>
    <t>23.37KVARH</t>
  </si>
  <si>
    <t xml:space="preserve">  15:30:47</t>
  </si>
  <si>
    <t xml:space="preserve">  41.30KWH</t>
  </si>
  <si>
    <t xml:space="preserve"> 47.47KVAH</t>
  </si>
  <si>
    <t>23.38KVARH</t>
  </si>
  <si>
    <t xml:space="preserve">  15:30:49</t>
  </si>
  <si>
    <t xml:space="preserve">  41.33KWH</t>
  </si>
  <si>
    <t xml:space="preserve"> 47.50KVAH</t>
  </si>
  <si>
    <t>23.40KVARH</t>
  </si>
  <si>
    <t xml:space="preserve">  15:30:51</t>
  </si>
  <si>
    <t xml:space="preserve">  41.36KWH</t>
  </si>
  <si>
    <t xml:space="preserve"> 47.53KVAH</t>
  </si>
  <si>
    <t>23.42KVARH</t>
  </si>
  <si>
    <t xml:space="preserve">  15:30:53</t>
  </si>
  <si>
    <t xml:space="preserve">    359.8V</t>
  </si>
  <si>
    <t xml:space="preserve">    359.2V</t>
  </si>
  <si>
    <t>-28.89KVAR</t>
  </si>
  <si>
    <t xml:space="preserve">  41.39KWH</t>
  </si>
  <si>
    <t xml:space="preserve"> 47.57KVAH</t>
  </si>
  <si>
    <t>23.43KVARH</t>
  </si>
  <si>
    <t xml:space="preserve">  15:30:55</t>
  </si>
  <si>
    <t xml:space="preserve">  41.42KWH</t>
  </si>
  <si>
    <t xml:space="preserve"> 47.60KVAH</t>
  </si>
  <si>
    <t>23.45KVARH</t>
  </si>
  <si>
    <t xml:space="preserve">  15:30:57</t>
  </si>
  <si>
    <t xml:space="preserve">  41.45KWH</t>
  </si>
  <si>
    <t xml:space="preserve"> 47.63KVAH</t>
  </si>
  <si>
    <t>23.46KVARH</t>
  </si>
  <si>
    <t xml:space="preserve">  15:30:59</t>
  </si>
  <si>
    <t xml:space="preserve">  41.48KWH</t>
  </si>
  <si>
    <t xml:space="preserve"> 47.66KVAH</t>
  </si>
  <si>
    <t>23.48KVARH</t>
  </si>
  <si>
    <t xml:space="preserve">  15:31:01</t>
  </si>
  <si>
    <t xml:space="preserve">  41.51KWH</t>
  </si>
  <si>
    <t xml:space="preserve"> 47.70KVAH</t>
  </si>
  <si>
    <t>23.50KVARH</t>
  </si>
  <si>
    <t xml:space="preserve">  15:31:03</t>
  </si>
  <si>
    <t xml:space="preserve">  41.54KWH</t>
  </si>
  <si>
    <t xml:space="preserve"> 47.73KVAH</t>
  </si>
  <si>
    <t>23.51KVARH</t>
  </si>
  <si>
    <t xml:space="preserve">  15:31:05</t>
  </si>
  <si>
    <t xml:space="preserve">  41.56KWH</t>
  </si>
  <si>
    <t xml:space="preserve"> 47.76KVAH</t>
  </si>
  <si>
    <t>23.53KVARH</t>
  </si>
  <si>
    <t xml:space="preserve">  15:31:07</t>
  </si>
  <si>
    <t xml:space="preserve">  41.59KWH</t>
  </si>
  <si>
    <t xml:space="preserve"> 47.80KVAH</t>
  </si>
  <si>
    <t>23.55KVARH</t>
  </si>
  <si>
    <t xml:space="preserve">  15:31:09</t>
  </si>
  <si>
    <t xml:space="preserve">  41.62KWH</t>
  </si>
  <si>
    <t xml:space="preserve"> 47.83KVAH</t>
  </si>
  <si>
    <t>23.56KVARH</t>
  </si>
  <si>
    <t xml:space="preserve">  15:31:11</t>
  </si>
  <si>
    <t xml:space="preserve">  41.65KWH</t>
  </si>
  <si>
    <t xml:space="preserve"> 47.86KVAH</t>
  </si>
  <si>
    <t>23.58KVARH</t>
  </si>
  <si>
    <t xml:space="preserve">  15:31:13</t>
  </si>
  <si>
    <t xml:space="preserve">  41.68KWH</t>
  </si>
  <si>
    <t xml:space="preserve"> 47.90KVAH</t>
  </si>
  <si>
    <t>23.59KVARH</t>
  </si>
  <si>
    <t xml:space="preserve">  15:31:15</t>
  </si>
  <si>
    <t xml:space="preserve">  41.71KWH</t>
  </si>
  <si>
    <t xml:space="preserve"> 47.93KVAH</t>
  </si>
  <si>
    <t>23.61KVARH</t>
  </si>
  <si>
    <t xml:space="preserve">  15:31:17</t>
  </si>
  <si>
    <t>-29.10KVAR</t>
  </si>
  <si>
    <t xml:space="preserve">  41.74KWH</t>
  </si>
  <si>
    <t xml:space="preserve"> 47.96KVAH</t>
  </si>
  <si>
    <t>23.63KVARH</t>
  </si>
  <si>
    <t xml:space="preserve">  15:31:19</t>
  </si>
  <si>
    <t xml:space="preserve">  41.76KWH</t>
  </si>
  <si>
    <t xml:space="preserve"> 47.99KVAH</t>
  </si>
  <si>
    <t>23.64KVARH</t>
  </si>
  <si>
    <t xml:space="preserve">  15:31:21</t>
  </si>
  <si>
    <t xml:space="preserve">  41.79KWH</t>
  </si>
  <si>
    <t xml:space="preserve"> 48.03KVAH</t>
  </si>
  <si>
    <t>23.66KVARH</t>
  </si>
  <si>
    <t xml:space="preserve">  15:31:23</t>
  </si>
  <si>
    <t xml:space="preserve">  41.82KWH</t>
  </si>
  <si>
    <t xml:space="preserve"> 48.06KVAH</t>
  </si>
  <si>
    <t>23.67KVARH</t>
  </si>
  <si>
    <t xml:space="preserve">  15:31:25</t>
  </si>
  <si>
    <t>-29.04KVAR</t>
  </si>
  <si>
    <t xml:space="preserve">  41.85KWH</t>
  </si>
  <si>
    <t xml:space="preserve"> 48.09KVAH</t>
  </si>
  <si>
    <t>23.69KVARH</t>
  </si>
  <si>
    <t xml:space="preserve">  15:31:27</t>
  </si>
  <si>
    <t xml:space="preserve">  41.88KWH</t>
  </si>
  <si>
    <t xml:space="preserve"> 48.12KVAH</t>
  </si>
  <si>
    <t>23.71KVARH</t>
  </si>
  <si>
    <t xml:space="preserve">  15:31:29</t>
  </si>
  <si>
    <t xml:space="preserve">  41.91KWH</t>
  </si>
  <si>
    <t xml:space="preserve"> 48.16KVAH</t>
  </si>
  <si>
    <t>23.72KVARH</t>
  </si>
  <si>
    <t xml:space="preserve">  15:31:31</t>
  </si>
  <si>
    <t>-29.01KVAR</t>
  </si>
  <si>
    <t xml:space="preserve">  41.93KWH</t>
  </si>
  <si>
    <t xml:space="preserve"> 48.19KVAH</t>
  </si>
  <si>
    <t>23.74KVARH</t>
  </si>
  <si>
    <t xml:space="preserve">  15:31:33</t>
  </si>
  <si>
    <t xml:space="preserve">  41.96KWH</t>
  </si>
  <si>
    <t xml:space="preserve"> 48.22KVAH</t>
  </si>
  <si>
    <t>23.76KVARH</t>
  </si>
  <si>
    <t xml:space="preserve">  15:31:35</t>
  </si>
  <si>
    <t xml:space="preserve">  41.99KWH</t>
  </si>
  <si>
    <t xml:space="preserve"> 48.25KVAH</t>
  </si>
  <si>
    <t>23.77KVARH</t>
  </si>
  <si>
    <t xml:space="preserve">  15:31:37</t>
  </si>
  <si>
    <t>-28.86KVAR</t>
  </si>
  <si>
    <t xml:space="preserve">  42.02KWH</t>
  </si>
  <si>
    <t xml:space="preserve"> 48.29KVAH</t>
  </si>
  <si>
    <t>23.79KVARH</t>
  </si>
  <si>
    <t xml:space="preserve">  15:31:39</t>
  </si>
  <si>
    <t>-28.92KVAR</t>
  </si>
  <si>
    <t xml:space="preserve">  42.05KWH</t>
  </si>
  <si>
    <t xml:space="preserve"> 48.32KVAH</t>
  </si>
  <si>
    <t>23.80KVARH</t>
  </si>
  <si>
    <t xml:space="preserve">  15:31:41</t>
  </si>
  <si>
    <t>-28.83KVAR</t>
  </si>
  <si>
    <t xml:space="preserve">  42.07KWH</t>
  </si>
  <si>
    <t xml:space="preserve"> 48.35KVAH</t>
  </si>
  <si>
    <t>23.82KVARH</t>
  </si>
  <si>
    <t xml:space="preserve">  15:31:43</t>
  </si>
  <si>
    <t>-28.71KVAR</t>
  </si>
  <si>
    <t xml:space="preserve">  42.10KWH</t>
  </si>
  <si>
    <t xml:space="preserve"> 48.38KVAH</t>
  </si>
  <si>
    <t>23.84KVARH</t>
  </si>
  <si>
    <t xml:space="preserve">  15:31:45</t>
  </si>
  <si>
    <t xml:space="preserve">  57.84KVA</t>
  </si>
  <si>
    <t xml:space="preserve">  42.13KWH</t>
  </si>
  <si>
    <t xml:space="preserve"> 48.41KVAH</t>
  </si>
  <si>
    <t>23.85KVARH</t>
  </si>
  <si>
    <t xml:space="preserve">  15:31:47</t>
  </si>
  <si>
    <t xml:space="preserve">  42.16KWH</t>
  </si>
  <si>
    <t xml:space="preserve"> 48.45KVAH</t>
  </si>
  <si>
    <t>23.87KVARH</t>
  </si>
  <si>
    <t xml:space="preserve">  15:31:49</t>
  </si>
  <si>
    <t xml:space="preserve">  42.19KWH</t>
  </si>
  <si>
    <t xml:space="preserve"> 48.48KVAH</t>
  </si>
  <si>
    <t>23.88KVARH</t>
  </si>
  <si>
    <t xml:space="preserve">  15:31:51</t>
  </si>
  <si>
    <t xml:space="preserve">    111.7A</t>
  </si>
  <si>
    <t xml:space="preserve">  42.22KWH</t>
  </si>
  <si>
    <t xml:space="preserve"> 48.51KVAH</t>
  </si>
  <si>
    <t>23.90KVARH</t>
  </si>
  <si>
    <t xml:space="preserve">  15:31:53</t>
  </si>
  <si>
    <t xml:space="preserve">    358.9V</t>
  </si>
  <si>
    <t xml:space="preserve">    358.2V</t>
  </si>
  <si>
    <t xml:space="preserve">   81.69KW</t>
  </si>
  <si>
    <t xml:space="preserve">  90.90KVA</t>
  </si>
  <si>
    <t xml:space="preserve">  42.26KWH</t>
  </si>
  <si>
    <t xml:space="preserve"> 48.56KVAH</t>
  </si>
  <si>
    <t>23.92KVARH</t>
  </si>
  <si>
    <t xml:space="preserve">  15:31:55</t>
  </si>
  <si>
    <t xml:space="preserve">    358.3V</t>
  </si>
  <si>
    <t xml:space="preserve">    358.5V</t>
  </si>
  <si>
    <t xml:space="preserve">    153.9A</t>
  </si>
  <si>
    <t xml:space="preserve">  42.31KWH</t>
  </si>
  <si>
    <t xml:space="preserve"> 48.61KVAH</t>
  </si>
  <si>
    <t>23.94KVARH</t>
  </si>
  <si>
    <t xml:space="preserve">  15:31:57</t>
  </si>
  <si>
    <t xml:space="preserve">    357.8V</t>
  </si>
  <si>
    <t xml:space="preserve">    358.4V</t>
  </si>
  <si>
    <t xml:space="preserve">    141.1A</t>
  </si>
  <si>
    <t xml:space="preserve">    154.3A</t>
  </si>
  <si>
    <t xml:space="preserve">   83.22KW</t>
  </si>
  <si>
    <t xml:space="preserve">  42.35KWH</t>
  </si>
  <si>
    <t xml:space="preserve"> 48.67KVAH</t>
  </si>
  <si>
    <t>23.97KVARH</t>
  </si>
  <si>
    <t xml:space="preserve">  15:31:59</t>
  </si>
  <si>
    <t xml:space="preserve">    91.35A</t>
  </si>
  <si>
    <t xml:space="preserve">    100.3A</t>
  </si>
  <si>
    <t xml:space="preserve">  42.38KWH</t>
  </si>
  <si>
    <t xml:space="preserve"> 48.70KVAH</t>
  </si>
  <si>
    <t>23.98KVARH</t>
  </si>
  <si>
    <t xml:space="preserve">  15:32:01</t>
  </si>
  <si>
    <t xml:space="preserve">  42.41KWH</t>
  </si>
  <si>
    <t xml:space="preserve"> 48.73KVAH</t>
  </si>
  <si>
    <t>24.00KVARH</t>
  </si>
  <si>
    <t xml:space="preserve">  15:32:03</t>
  </si>
  <si>
    <t xml:space="preserve">  42.44KWH</t>
  </si>
  <si>
    <t xml:space="preserve"> 48.77KVAH</t>
  </si>
  <si>
    <t>24.02KVARH</t>
  </si>
  <si>
    <t xml:space="preserve">  15:32:05</t>
  </si>
  <si>
    <t xml:space="preserve">  42.47KWH</t>
  </si>
  <si>
    <t xml:space="preserve"> 48.80KVAH</t>
  </si>
  <si>
    <t>24.03KVARH</t>
  </si>
  <si>
    <t xml:space="preserve">  15:32:07</t>
  </si>
  <si>
    <t xml:space="preserve">  42.50KWH</t>
  </si>
  <si>
    <t xml:space="preserve"> 48.83KVAH</t>
  </si>
  <si>
    <t>24.05KVARH</t>
  </si>
  <si>
    <t xml:space="preserve">  15:32:09</t>
  </si>
  <si>
    <t xml:space="preserve">  42.53KWH</t>
  </si>
  <si>
    <t xml:space="preserve"> 48.87KVAH</t>
  </si>
  <si>
    <t>24.07KVARH</t>
  </si>
  <si>
    <t xml:space="preserve">  15:32:11</t>
  </si>
  <si>
    <t xml:space="preserve">  42.56KWH</t>
  </si>
  <si>
    <t xml:space="preserve"> 48.90KVAH</t>
  </si>
  <si>
    <t>24.08KVARH</t>
  </si>
  <si>
    <t xml:space="preserve">  15:32:13</t>
  </si>
  <si>
    <t xml:space="preserve">  42.59KWH</t>
  </si>
  <si>
    <t xml:space="preserve"> 48.93KVAH</t>
  </si>
  <si>
    <t>24.10KVARH</t>
  </si>
  <si>
    <t xml:space="preserve">  15:32:15</t>
  </si>
  <si>
    <t xml:space="preserve">  42.62KWH</t>
  </si>
  <si>
    <t xml:space="preserve"> 48.97KVAH</t>
  </si>
  <si>
    <t>24.11KVARH</t>
  </si>
  <si>
    <t xml:space="preserve">  15:32:17</t>
  </si>
  <si>
    <t xml:space="preserve">  42.64KWH</t>
  </si>
  <si>
    <t xml:space="preserve"> 49.00KVAH</t>
  </si>
  <si>
    <t>24.13KVARH</t>
  </si>
  <si>
    <t xml:space="preserve">  15:32:19</t>
  </si>
  <si>
    <t xml:space="preserve">  42.67KWH</t>
  </si>
  <si>
    <t xml:space="preserve"> 49.03KVAH</t>
  </si>
  <si>
    <t>24.15KVARH</t>
  </si>
  <si>
    <t xml:space="preserve">  15:32:21</t>
  </si>
  <si>
    <t xml:space="preserve">  42.70KWH</t>
  </si>
  <si>
    <t xml:space="preserve"> 49.07KVAH</t>
  </si>
  <si>
    <t>24.16KVARH</t>
  </si>
  <si>
    <t xml:space="preserve">  15:32:23</t>
  </si>
  <si>
    <t xml:space="preserve">  42.73KWH</t>
  </si>
  <si>
    <t xml:space="preserve"> 49.10KVAH</t>
  </si>
  <si>
    <t>24.18KVARH</t>
  </si>
  <si>
    <t xml:space="preserve">  15:32:25</t>
  </si>
  <si>
    <t xml:space="preserve">  42.76KWH</t>
  </si>
  <si>
    <t xml:space="preserve"> 49.13KVAH</t>
  </si>
  <si>
    <t>24.20KVARH</t>
  </si>
  <si>
    <t xml:space="preserve">  15:32:27</t>
  </si>
  <si>
    <t xml:space="preserve">  42.79KWH</t>
  </si>
  <si>
    <t xml:space="preserve"> 49.16KVAH</t>
  </si>
  <si>
    <t>24.21KVARH</t>
  </si>
  <si>
    <t xml:space="preserve">  15:32:29</t>
  </si>
  <si>
    <t xml:space="preserve">  42.82KWH</t>
  </si>
  <si>
    <t xml:space="preserve"> 49.20KVAH</t>
  </si>
  <si>
    <t>24.23KVARH</t>
  </si>
  <si>
    <t xml:space="preserve">  15:32:31</t>
  </si>
  <si>
    <t xml:space="preserve">  42.84KWH</t>
  </si>
  <si>
    <t xml:space="preserve"> 49.23KVAH</t>
  </si>
  <si>
    <t>24.24KVARH</t>
  </si>
  <si>
    <t xml:space="preserve">  15:32:33</t>
  </si>
  <si>
    <t xml:space="preserve">  42.87KWH</t>
  </si>
  <si>
    <t xml:space="preserve"> 49.26KVAH</t>
  </si>
  <si>
    <t>24.26KVARH</t>
  </si>
  <si>
    <t xml:space="preserve">  15:32:35</t>
  </si>
  <si>
    <t xml:space="preserve">  42.90KWH</t>
  </si>
  <si>
    <t xml:space="preserve"> 49.30KVAH</t>
  </si>
  <si>
    <t>24.28KVARH</t>
  </si>
  <si>
    <t xml:space="preserve">  15:32:37</t>
  </si>
  <si>
    <t xml:space="preserve">  42.93KWH</t>
  </si>
  <si>
    <t xml:space="preserve"> 49.33KVAH</t>
  </si>
  <si>
    <t>24.29KVARH</t>
  </si>
  <si>
    <t xml:space="preserve">  15:32:39</t>
  </si>
  <si>
    <t xml:space="preserve">  42.96KWH</t>
  </si>
  <si>
    <t xml:space="preserve"> 49.36KVAH</t>
  </si>
  <si>
    <t>24.31KVARH</t>
  </si>
  <si>
    <t xml:space="preserve">  15:32:41</t>
  </si>
  <si>
    <t xml:space="preserve">  42.99KWH</t>
  </si>
  <si>
    <t xml:space="preserve"> 49.39KVAH</t>
  </si>
  <si>
    <t>24.32KVARH</t>
  </si>
  <si>
    <t xml:space="preserve">  15:32:43</t>
  </si>
  <si>
    <t xml:space="preserve">  43.01KWH</t>
  </si>
  <si>
    <t xml:space="preserve"> 49.43KVAH</t>
  </si>
  <si>
    <t>24.34KVARH</t>
  </si>
  <si>
    <t xml:space="preserve">  15:32:45</t>
  </si>
  <si>
    <t xml:space="preserve">  43.04KWH</t>
  </si>
  <si>
    <t xml:space="preserve"> 49.46KVAH</t>
  </si>
  <si>
    <t>24.36KVARH</t>
  </si>
  <si>
    <t xml:space="preserve">  15:32:47</t>
  </si>
  <si>
    <t xml:space="preserve">  43.07KWH</t>
  </si>
  <si>
    <t xml:space="preserve"> 49.49KVAH</t>
  </si>
  <si>
    <t>24.37KVARH</t>
  </si>
  <si>
    <t xml:space="preserve">  15:32:49</t>
  </si>
  <si>
    <t xml:space="preserve">  57.96KVA</t>
  </si>
  <si>
    <t xml:space="preserve">  43.10KWH</t>
  </si>
  <si>
    <t xml:space="preserve"> 49.52KVAH</t>
  </si>
  <si>
    <t>24.39KVARH</t>
  </si>
  <si>
    <t xml:space="preserve">  15:32:51</t>
  </si>
  <si>
    <t xml:space="preserve">  57.78KVA</t>
  </si>
  <si>
    <t>-28.80KVAR</t>
  </si>
  <si>
    <t xml:space="preserve">  43.13KWH</t>
  </si>
  <si>
    <t xml:space="preserve"> 49.55KVAH</t>
  </si>
  <si>
    <t>24.40KVARH</t>
  </si>
  <si>
    <t xml:space="preserve">  15:32:53</t>
  </si>
  <si>
    <t xml:space="preserve">  57.75KVA</t>
  </si>
  <si>
    <t xml:space="preserve">  43.15KWH</t>
  </si>
  <si>
    <t xml:space="preserve"> 49.59KVAH</t>
  </si>
  <si>
    <t>24.42KVARH</t>
  </si>
  <si>
    <t xml:space="preserve">  15:32:55</t>
  </si>
  <si>
    <t xml:space="preserve">    360.2V</t>
  </si>
  <si>
    <t xml:space="preserve">    108.4A</t>
  </si>
  <si>
    <t xml:space="preserve">   64.38KW</t>
  </si>
  <si>
    <t xml:space="preserve">  72.84KVA</t>
  </si>
  <si>
    <t>-34.11KVAR</t>
  </si>
  <si>
    <t xml:space="preserve">  43.19KWH</t>
  </si>
  <si>
    <t xml:space="preserve"> 49.63KVAH</t>
  </si>
  <si>
    <t>24.44KVARH</t>
  </si>
  <si>
    <t xml:space="preserve">  15:32:57</t>
  </si>
  <si>
    <t xml:space="preserve">    357.9V</t>
  </si>
  <si>
    <t xml:space="preserve">  91.08KVA</t>
  </si>
  <si>
    <t>-39.93KVAR</t>
  </si>
  <si>
    <t xml:space="preserve">  43.24KWH</t>
  </si>
  <si>
    <t xml:space="preserve"> 49.68KVAH</t>
  </si>
  <si>
    <t>24.46KVARH</t>
  </si>
  <si>
    <t xml:space="preserve">  15:32:59</t>
  </si>
  <si>
    <t xml:space="preserve">    153.4A</t>
  </si>
  <si>
    <t xml:space="preserve">  91.80KVA</t>
  </si>
  <si>
    <t xml:space="preserve">  43.28KWH</t>
  </si>
  <si>
    <t xml:space="preserve"> 49.73KVAH</t>
  </si>
  <si>
    <t>24.48KVARH</t>
  </si>
  <si>
    <t xml:space="preserve">  15:33:01</t>
  </si>
  <si>
    <t xml:space="preserve">    358.1V</t>
  </si>
  <si>
    <t xml:space="preserve">    358.7V</t>
  </si>
  <si>
    <t xml:space="preserve">    151.4A</t>
  </si>
  <si>
    <t xml:space="preserve">    140.9A</t>
  </si>
  <si>
    <t xml:space="preserve">  43.33KWH</t>
  </si>
  <si>
    <t xml:space="preserve"> 49.78KVAH</t>
  </si>
  <si>
    <t>24.51KVARH</t>
  </si>
  <si>
    <t xml:space="preserve">  15:33:03</t>
  </si>
  <si>
    <t xml:space="preserve">    129.9A</t>
  </si>
  <si>
    <t xml:space="preserve">    100.7A</t>
  </si>
  <si>
    <t xml:space="preserve">   59.82KW</t>
  </si>
  <si>
    <t xml:space="preserve">  68.07KVA</t>
  </si>
  <si>
    <t>-32.52KVAR</t>
  </si>
  <si>
    <t xml:space="preserve">  43.36KWH</t>
  </si>
  <si>
    <t xml:space="preserve"> 49.82KVAH</t>
  </si>
  <si>
    <t>24.52KVARH</t>
  </si>
  <si>
    <t xml:space="preserve">  15:33:05</t>
  </si>
  <si>
    <t xml:space="preserve">    99.81A</t>
  </si>
  <si>
    <t xml:space="preserve">  43.39KWH</t>
  </si>
  <si>
    <t xml:space="preserve"> 49.85KVAH</t>
  </si>
  <si>
    <t>24.54KVARH</t>
  </si>
  <si>
    <t xml:space="preserve">  15:33:07</t>
  </si>
  <si>
    <t xml:space="preserve">  43.42KWH</t>
  </si>
  <si>
    <t xml:space="preserve"> 49.88KVAH</t>
  </si>
  <si>
    <t>24.56KVARH</t>
  </si>
  <si>
    <t xml:space="preserve">  15:33:09</t>
  </si>
  <si>
    <t xml:space="preserve">  43.45KWH</t>
  </si>
  <si>
    <t xml:space="preserve"> 49.92KVAH</t>
  </si>
  <si>
    <t>24.57KVARH</t>
  </si>
  <si>
    <t xml:space="preserve">  15:33:11</t>
  </si>
  <si>
    <t xml:space="preserve">  43.48KWH</t>
  </si>
  <si>
    <t xml:space="preserve"> 49.95KVAH</t>
  </si>
  <si>
    <t>24.59KVARH</t>
  </si>
  <si>
    <t xml:space="preserve">  15:33:13</t>
  </si>
  <si>
    <t xml:space="preserve">  43.51KWH</t>
  </si>
  <si>
    <t xml:space="preserve"> 49.98KVAH</t>
  </si>
  <si>
    <t>24.61KVARH</t>
  </si>
  <si>
    <t xml:space="preserve">  15:33:15</t>
  </si>
  <si>
    <t xml:space="preserve">  43.53KWH</t>
  </si>
  <si>
    <t xml:space="preserve"> 50.02KVAH</t>
  </si>
  <si>
    <t>24.62KVARH</t>
  </si>
  <si>
    <t xml:space="preserve">  15:33:17</t>
  </si>
  <si>
    <t xml:space="preserve">  43.56KWH</t>
  </si>
  <si>
    <t xml:space="preserve"> 50.05KVAH</t>
  </si>
  <si>
    <t>24.64KVARH</t>
  </si>
  <si>
    <t xml:space="preserve">  15:33:19</t>
  </si>
  <si>
    <t xml:space="preserve">  43.59KWH</t>
  </si>
  <si>
    <t xml:space="preserve"> 50.08KVAH</t>
  </si>
  <si>
    <t>24.66KVARH</t>
  </si>
  <si>
    <t xml:space="preserve">  15:33:21</t>
  </si>
  <si>
    <t xml:space="preserve">  43.62KWH</t>
  </si>
  <si>
    <t xml:space="preserve"> 50.12KVAH</t>
  </si>
  <si>
    <t>24.67KVARH</t>
  </si>
  <si>
    <t xml:space="preserve">  15:33:23</t>
  </si>
  <si>
    <t xml:space="preserve">  43.65KWH</t>
  </si>
  <si>
    <t xml:space="preserve"> 50.15KVAH</t>
  </si>
  <si>
    <t>24.69KVARH</t>
  </si>
  <si>
    <t xml:space="preserve">  15:33:25</t>
  </si>
  <si>
    <t xml:space="preserve">  43.68KWH</t>
  </si>
  <si>
    <t xml:space="preserve"> 50.18KVAH</t>
  </si>
  <si>
    <t>24.70KVARH</t>
  </si>
  <si>
    <t xml:space="preserve">  15:33:27</t>
  </si>
  <si>
    <t xml:space="preserve">  43.71KWH</t>
  </si>
  <si>
    <t xml:space="preserve"> 50.22KVAH</t>
  </si>
  <si>
    <t>24.72KVARH</t>
  </si>
  <si>
    <t xml:space="preserve">  15:33:29</t>
  </si>
  <si>
    <t xml:space="preserve">  43.74KWH</t>
  </si>
  <si>
    <t xml:space="preserve"> 50.25KVAH</t>
  </si>
  <si>
    <t>24.74KVARH</t>
  </si>
  <si>
    <t xml:space="preserve">  15:33:31</t>
  </si>
  <si>
    <t xml:space="preserve">  43.76KWH</t>
  </si>
  <si>
    <t xml:space="preserve"> 50.28KVAH</t>
  </si>
  <si>
    <t>24.75KVARH</t>
  </si>
  <si>
    <t xml:space="preserve">  15:33:33</t>
  </si>
  <si>
    <t xml:space="preserve">  43.79KWH</t>
  </si>
  <si>
    <t xml:space="preserve"> 50.31KVAH</t>
  </si>
  <si>
    <t>24.77KVARH</t>
  </si>
  <si>
    <t xml:space="preserve">  15:33:35</t>
  </si>
  <si>
    <t xml:space="preserve">  43.82KWH</t>
  </si>
  <si>
    <t xml:space="preserve"> 50.35KVAH</t>
  </si>
  <si>
    <t>24.79KVARH</t>
  </si>
  <si>
    <t xml:space="preserve">  15:33:37</t>
  </si>
  <si>
    <t xml:space="preserve">  43.85KWH</t>
  </si>
  <si>
    <t xml:space="preserve"> 50.38KVAH</t>
  </si>
  <si>
    <t>24.80KVARH</t>
  </si>
  <si>
    <t xml:space="preserve">  15:33:39</t>
  </si>
  <si>
    <t xml:space="preserve">  43.88KWH</t>
  </si>
  <si>
    <t xml:space="preserve"> 50.41KVAH</t>
  </si>
  <si>
    <t>24.82KVARH</t>
  </si>
  <si>
    <t xml:space="preserve">  15:33:41</t>
  </si>
  <si>
    <t xml:space="preserve">  43.91KWH</t>
  </si>
  <si>
    <t xml:space="preserve"> 50.45KVAH</t>
  </si>
  <si>
    <t>24.83KVARH</t>
  </si>
  <si>
    <t xml:space="preserve">  15:33:43</t>
  </si>
  <si>
    <t xml:space="preserve">  43.93KWH</t>
  </si>
  <si>
    <t xml:space="preserve"> 50.48KVAH</t>
  </si>
  <si>
    <t>24.85KVARH</t>
  </si>
  <si>
    <t xml:space="preserve">  15:33:45</t>
  </si>
  <si>
    <t xml:space="preserve">  43.96KWH</t>
  </si>
  <si>
    <t xml:space="preserve"> 50.51KVAH</t>
  </si>
  <si>
    <t>24.87KVARH</t>
  </si>
  <si>
    <t xml:space="preserve">  15:33:47</t>
  </si>
  <si>
    <t xml:space="preserve">  43.99KWH</t>
  </si>
  <si>
    <t xml:space="preserve"> 50.54KVAH</t>
  </si>
  <si>
    <t>24.88KVARH</t>
  </si>
  <si>
    <t xml:space="preserve">  15:33:49</t>
  </si>
  <si>
    <t xml:space="preserve">  44.02KWH</t>
  </si>
  <si>
    <t xml:space="preserve"> 50.58KVAH</t>
  </si>
  <si>
    <t>24.90KVARH</t>
  </si>
  <si>
    <t xml:space="preserve">  15:33:51</t>
  </si>
  <si>
    <t xml:space="preserve">  44.05KWH</t>
  </si>
  <si>
    <t xml:space="preserve"> 50.61KVAH</t>
  </si>
  <si>
    <t>24.92KVARH</t>
  </si>
  <si>
    <t xml:space="preserve">  15:33:53</t>
  </si>
  <si>
    <t xml:space="preserve">  44.08KWH</t>
  </si>
  <si>
    <t xml:space="preserve"> 50.64KVAH</t>
  </si>
  <si>
    <t>24.93KVARH</t>
  </si>
  <si>
    <t xml:space="preserve">  15:33:55</t>
  </si>
  <si>
    <t xml:space="preserve">  44.10KWH</t>
  </si>
  <si>
    <t xml:space="preserve"> 50.67KVAH</t>
  </si>
  <si>
    <t>24.95KVARH</t>
  </si>
  <si>
    <t xml:space="preserve">  15:33:57</t>
  </si>
  <si>
    <t xml:space="preserve">  44.13KWH</t>
  </si>
  <si>
    <t xml:space="preserve"> 50.70KVAH</t>
  </si>
  <si>
    <t>24.96KVARH</t>
  </si>
  <si>
    <t xml:space="preserve">  15:33:59</t>
  </si>
  <si>
    <t xml:space="preserve">  44.16KWH</t>
  </si>
  <si>
    <t xml:space="preserve"> 50.74KVAH</t>
  </si>
  <si>
    <t>24.98KVARH</t>
  </si>
  <si>
    <t xml:space="preserve">  15:34:01</t>
  </si>
  <si>
    <t xml:space="preserve">  44.19KWH</t>
  </si>
  <si>
    <t xml:space="preserve"> 50.77KVAH</t>
  </si>
  <si>
    <t>25.00KVARH</t>
  </si>
  <si>
    <t xml:space="preserve">  15:34:03</t>
  </si>
  <si>
    <t xml:space="preserve">  44.22KWH</t>
  </si>
  <si>
    <t xml:space="preserve"> 50.80KVAH</t>
  </si>
  <si>
    <t>25.01KVARH</t>
  </si>
  <si>
    <t xml:space="preserve">  15:34:05</t>
  </si>
  <si>
    <t xml:space="preserve">  44.24KWH</t>
  </si>
  <si>
    <t xml:space="preserve"> 50.83KVAH</t>
  </si>
  <si>
    <t>25.03KVARH</t>
  </si>
  <si>
    <t xml:space="preserve">  15:34:07</t>
  </si>
  <si>
    <t xml:space="preserve">  44.27KWH</t>
  </si>
  <si>
    <t xml:space="preserve"> 50.87KVAH</t>
  </si>
  <si>
    <t>25.04KVARH</t>
  </si>
  <si>
    <t xml:space="preserve">  15:34:09</t>
  </si>
  <si>
    <t xml:space="preserve">   76.05KW</t>
  </si>
  <si>
    <t xml:space="preserve">  84.99KVA</t>
  </si>
  <si>
    <t>-37.95KVAR</t>
  </si>
  <si>
    <t xml:space="preserve">  44.31KWH</t>
  </si>
  <si>
    <t xml:space="preserve"> 50.91KVAH</t>
  </si>
  <si>
    <t>25.07KVARH</t>
  </si>
  <si>
    <t xml:space="preserve">  15:34:11</t>
  </si>
  <si>
    <t>-39.72KVAR</t>
  </si>
  <si>
    <t xml:space="preserve">  44.36KWH</t>
  </si>
  <si>
    <t xml:space="preserve"> 50.96KVAH</t>
  </si>
  <si>
    <t>25.09KVARH</t>
  </si>
  <si>
    <t xml:space="preserve">  15:34:13</t>
  </si>
  <si>
    <t xml:space="preserve">  44.40KWH</t>
  </si>
  <si>
    <t xml:space="preserve"> 51.01KVAH</t>
  </si>
  <si>
    <t>25.11KVARH</t>
  </si>
  <si>
    <t xml:space="preserve">  15:34:15</t>
  </si>
  <si>
    <t xml:space="preserve">    358.8V</t>
  </si>
  <si>
    <t xml:space="preserve">    140.5A</t>
  </si>
  <si>
    <t xml:space="preserve">    154.0A</t>
  </si>
  <si>
    <t xml:space="preserve">  44.45KWH</t>
  </si>
  <si>
    <t xml:space="preserve"> 51.07KVAH</t>
  </si>
  <si>
    <t>25.13KVARH</t>
  </si>
  <si>
    <t xml:space="preserve">  15:34:17</t>
  </si>
  <si>
    <t xml:space="preserve">    90.93A</t>
  </si>
  <si>
    <t xml:space="preserve">  44.48KWH</t>
  </si>
  <si>
    <t xml:space="preserve"> 51.10KVAH</t>
  </si>
  <si>
    <t>25.15KVARH</t>
  </si>
  <si>
    <t xml:space="preserve">  15:34:19</t>
  </si>
  <si>
    <t xml:space="preserve">  44.51KWH</t>
  </si>
  <si>
    <t xml:space="preserve"> 51.13KVAH</t>
  </si>
  <si>
    <t>25.17KVARH</t>
  </si>
  <si>
    <t xml:space="preserve">  15:34:21</t>
  </si>
  <si>
    <t xml:space="preserve">  44.54KWH</t>
  </si>
  <si>
    <t xml:space="preserve"> 51.17KVAH</t>
  </si>
  <si>
    <t>25.18KVARH</t>
  </si>
  <si>
    <t xml:space="preserve">  15:34:23</t>
  </si>
  <si>
    <t xml:space="preserve">  44.57KWH</t>
  </si>
  <si>
    <t xml:space="preserve"> 51.20KVAH</t>
  </si>
  <si>
    <t>25.20KVARH</t>
  </si>
  <si>
    <t xml:space="preserve">  15:34:25</t>
  </si>
  <si>
    <t xml:space="preserve">  44.60KWH</t>
  </si>
  <si>
    <t xml:space="preserve"> 51.23KVAH</t>
  </si>
  <si>
    <t>25.21KVARH</t>
  </si>
  <si>
    <t xml:space="preserve">  15:34:27</t>
  </si>
  <si>
    <t xml:space="preserve">  44.63KWH</t>
  </si>
  <si>
    <t xml:space="preserve"> 51.27KVAH</t>
  </si>
  <si>
    <t>25.23KVARH</t>
  </si>
  <si>
    <t xml:space="preserve">  15:34:29</t>
  </si>
  <si>
    <t xml:space="preserve">  44.65KWH</t>
  </si>
  <si>
    <t xml:space="preserve"> 51.30KVAH</t>
  </si>
  <si>
    <t>25.25KVARH</t>
  </si>
  <si>
    <t xml:space="preserve">  15:34:31</t>
  </si>
  <si>
    <t xml:space="preserve">  44.68KWH</t>
  </si>
  <si>
    <t xml:space="preserve"> 51.33KVAH</t>
  </si>
  <si>
    <t>25.26KVARH</t>
  </si>
  <si>
    <t xml:space="preserve">  15:34:33</t>
  </si>
  <si>
    <t xml:space="preserve">  44.71KWH</t>
  </si>
  <si>
    <t xml:space="preserve"> 51.37KVAH</t>
  </si>
  <si>
    <t>25.28KVARH</t>
  </si>
  <si>
    <t xml:space="preserve">  15:34:35</t>
  </si>
  <si>
    <t xml:space="preserve">  44.74KWH</t>
  </si>
  <si>
    <t xml:space="preserve"> 51.40KVAH</t>
  </si>
  <si>
    <t>25.30KVARH</t>
  </si>
  <si>
    <t xml:space="preserve">  15:34:37</t>
  </si>
  <si>
    <t xml:space="preserve">  44.77KWH</t>
  </si>
  <si>
    <t xml:space="preserve"> 51.43KVAH</t>
  </si>
  <si>
    <t>25.31KVARH</t>
  </si>
  <si>
    <t xml:space="preserve">  15:34:39</t>
  </si>
  <si>
    <t xml:space="preserve">  44.80KWH</t>
  </si>
  <si>
    <t xml:space="preserve"> 51.46KVAH</t>
  </si>
  <si>
    <t>25.33KVARH</t>
  </si>
  <si>
    <t xml:space="preserve">  15:34:41</t>
  </si>
  <si>
    <t xml:space="preserve">  44.83KWH</t>
  </si>
  <si>
    <t xml:space="preserve"> 51.50KVAH</t>
  </si>
  <si>
    <t>25.34KVARH</t>
  </si>
  <si>
    <t xml:space="preserve">  15:34:43</t>
  </si>
  <si>
    <t xml:space="preserve">  44.85KWH</t>
  </si>
  <si>
    <t xml:space="preserve"> 51.53KVAH</t>
  </si>
  <si>
    <t>25.36KVARH</t>
  </si>
  <si>
    <t xml:space="preserve">  15:34:45</t>
  </si>
  <si>
    <t xml:space="preserve">  44.88KWH</t>
  </si>
  <si>
    <t xml:space="preserve"> 51.56KVAH</t>
  </si>
  <si>
    <t>25.38KVARH</t>
  </si>
  <si>
    <t xml:space="preserve">  15:34:47</t>
  </si>
  <si>
    <t xml:space="preserve">  44.91KWH</t>
  </si>
  <si>
    <t xml:space="preserve"> 51.59KVAH</t>
  </si>
  <si>
    <t>25.39KVARH</t>
  </si>
  <si>
    <t xml:space="preserve">  15:34:49</t>
  </si>
  <si>
    <t xml:space="preserve">  44.94KWH</t>
  </si>
  <si>
    <t xml:space="preserve"> 51.63KVAH</t>
  </si>
  <si>
    <t>25.41KVARH</t>
  </si>
  <si>
    <t xml:space="preserve">  15:34:51</t>
  </si>
  <si>
    <t xml:space="preserve">  44.97KWH</t>
  </si>
  <si>
    <t xml:space="preserve"> 51.66KVAH</t>
  </si>
  <si>
    <t>25.43KVARH</t>
  </si>
  <si>
    <t xml:space="preserve">  15:34:53</t>
  </si>
  <si>
    <t xml:space="preserve">  45.00KWH</t>
  </si>
  <si>
    <t xml:space="preserve"> 51.69KVAH</t>
  </si>
  <si>
    <t>25.44KVARH</t>
  </si>
  <si>
    <t xml:space="preserve">  15:34:55</t>
  </si>
  <si>
    <t xml:space="preserve">  45.02KWH</t>
  </si>
  <si>
    <t xml:space="preserve"> 51.72KVAH</t>
  </si>
  <si>
    <t>25.46KVARH</t>
  </si>
  <si>
    <t xml:space="preserve">  15:34:57</t>
  </si>
  <si>
    <t xml:space="preserve">  45.05KWH</t>
  </si>
  <si>
    <t xml:space="preserve"> 51.76KVAH</t>
  </si>
  <si>
    <t>25.47KVARH</t>
  </si>
  <si>
    <t xml:space="preserve">  15:34:59</t>
  </si>
  <si>
    <t xml:space="preserve">  45.08KWH</t>
  </si>
  <si>
    <t xml:space="preserve"> 51.79KVAH</t>
  </si>
  <si>
    <t>25.49KVARH</t>
  </si>
  <si>
    <t xml:space="preserve">  15:35:01</t>
  </si>
  <si>
    <t xml:space="preserve">  45.11KWH</t>
  </si>
  <si>
    <t xml:space="preserve"> 51.82KVAH</t>
  </si>
  <si>
    <t>25.51KVARH</t>
  </si>
  <si>
    <t xml:space="preserve">  15:35:03</t>
  </si>
  <si>
    <t xml:space="preserve">  45.14KWH</t>
  </si>
  <si>
    <t xml:space="preserve"> 51.85KVAH</t>
  </si>
  <si>
    <t>25.52KVARH</t>
  </si>
  <si>
    <t xml:space="preserve">  15:35:05</t>
  </si>
  <si>
    <t xml:space="preserve">   70.92KW</t>
  </si>
  <si>
    <t xml:space="preserve">  79.32KVA</t>
  </si>
  <si>
    <t>-35.58KVAR</t>
  </si>
  <si>
    <t xml:space="preserve">  45.17KWH</t>
  </si>
  <si>
    <t xml:space="preserve"> 51.90KVAH</t>
  </si>
  <si>
    <t>25.54KVARH</t>
  </si>
  <si>
    <t xml:space="preserve">  15:35:07</t>
  </si>
  <si>
    <t xml:space="preserve">    358.6V</t>
  </si>
  <si>
    <t xml:space="preserve">  90.45KVA</t>
  </si>
  <si>
    <t>-39.66KVAR</t>
  </si>
  <si>
    <t xml:space="preserve">  45.22KWH</t>
  </si>
  <si>
    <t xml:space="preserve"> 51.95KVAH</t>
  </si>
  <si>
    <t>25.56KVARH</t>
  </si>
  <si>
    <t xml:space="preserve">  15:35:09</t>
  </si>
  <si>
    <t xml:space="preserve">  45.27KWH</t>
  </si>
  <si>
    <t xml:space="preserve"> 52.00KVAH</t>
  </si>
  <si>
    <t>25.59KVARH</t>
  </si>
  <si>
    <t xml:space="preserve">  15:35:11</t>
  </si>
  <si>
    <t xml:space="preserve">    140.4A</t>
  </si>
  <si>
    <t xml:space="preserve">    147.0A</t>
  </si>
  <si>
    <t xml:space="preserve">  45.31KWH</t>
  </si>
  <si>
    <t xml:space="preserve"> 52.05KVAH</t>
  </si>
  <si>
    <t>25.61KVARH</t>
  </si>
  <si>
    <t xml:space="preserve">  15:35:13</t>
  </si>
  <si>
    <t xml:space="preserve">    100.4A</t>
  </si>
  <si>
    <t xml:space="preserve">   54.24KW</t>
  </si>
  <si>
    <t xml:space="preserve">  62.13KVA</t>
  </si>
  <si>
    <t xml:space="preserve">  45.34KWH</t>
  </si>
  <si>
    <t xml:space="preserve"> 52.08KVAH</t>
  </si>
  <si>
    <t>25.63KVARH</t>
  </si>
  <si>
    <t xml:space="preserve">  15:35:15</t>
  </si>
  <si>
    <t xml:space="preserve">    90.36A</t>
  </si>
  <si>
    <t xml:space="preserve">  45.37KWH</t>
  </si>
  <si>
    <t xml:space="preserve"> 52.12KVAH</t>
  </si>
  <si>
    <t>25.64KVARH</t>
  </si>
  <si>
    <t xml:space="preserve">  15:35:17</t>
  </si>
  <si>
    <t xml:space="preserve">  45.40KWH</t>
  </si>
  <si>
    <t xml:space="preserve"> 52.15KVAH</t>
  </si>
  <si>
    <t>25.66KVARH</t>
  </si>
  <si>
    <t xml:space="preserve">  15:35:19</t>
  </si>
  <si>
    <t xml:space="preserve">  45.43KWH</t>
  </si>
  <si>
    <t xml:space="preserve"> 52.18KVAH</t>
  </si>
  <si>
    <t>25.67KVARH</t>
  </si>
  <si>
    <t xml:space="preserve">  15:35:21</t>
  </si>
  <si>
    <t xml:space="preserve">  45.46KWH</t>
  </si>
  <si>
    <t xml:space="preserve"> 52.22KVAH</t>
  </si>
  <si>
    <t>25.69KVARH</t>
  </si>
  <si>
    <t xml:space="preserve">  15:35:23</t>
  </si>
  <si>
    <t xml:space="preserve">  45.49KWH</t>
  </si>
  <si>
    <t xml:space="preserve"> 52.25KVAH</t>
  </si>
  <si>
    <t>25.71KVARH</t>
  </si>
  <si>
    <t xml:space="preserve">  15:35:25</t>
  </si>
  <si>
    <t xml:space="preserve">  45.52KWH</t>
  </si>
  <si>
    <t xml:space="preserve"> 52.28KVAH</t>
  </si>
  <si>
    <t>25.72KVARH</t>
  </si>
  <si>
    <t xml:space="preserve">  15:35:27</t>
  </si>
  <si>
    <t xml:space="preserve">  45.54KWH</t>
  </si>
  <si>
    <t xml:space="preserve"> 52.32KVAH</t>
  </si>
  <si>
    <t>25.74KVARH</t>
  </si>
  <si>
    <t xml:space="preserve">  15:35:29</t>
  </si>
  <si>
    <t xml:space="preserve">  45.57KWH</t>
  </si>
  <si>
    <t xml:space="preserve"> 52.35KVAH</t>
  </si>
  <si>
    <t>25.76KVARH</t>
  </si>
  <si>
    <t xml:space="preserve">  15:35:31</t>
  </si>
  <si>
    <t xml:space="preserve">  45.60KWH</t>
  </si>
  <si>
    <t xml:space="preserve"> 52.38KVAH</t>
  </si>
  <si>
    <t>25.77KVARH</t>
  </si>
  <si>
    <t xml:space="preserve">  15:35:33</t>
  </si>
  <si>
    <t xml:space="preserve">  45.63KWH</t>
  </si>
  <si>
    <t xml:space="preserve"> 52.42KVAH</t>
  </si>
  <si>
    <t>25.79KVARH</t>
  </si>
  <si>
    <t xml:space="preserve">  15:35:35</t>
  </si>
  <si>
    <t xml:space="preserve">  45.66KWH</t>
  </si>
  <si>
    <t xml:space="preserve"> 52.45KVAH</t>
  </si>
  <si>
    <t>25.80KVARH</t>
  </si>
  <si>
    <t xml:space="preserve">  15:35:37</t>
  </si>
  <si>
    <t xml:space="preserve">  45.69KWH</t>
  </si>
  <si>
    <t xml:space="preserve"> 52.48KVAH</t>
  </si>
  <si>
    <t>25.82KVARH</t>
  </si>
  <si>
    <t xml:space="preserve">  15:35:39</t>
  </si>
  <si>
    <t xml:space="preserve">  45.72KWH</t>
  </si>
  <si>
    <t xml:space="preserve"> 52.51KVAH</t>
  </si>
  <si>
    <t>25.84KVARH</t>
  </si>
  <si>
    <t xml:space="preserve">  15:35:41</t>
  </si>
  <si>
    <t xml:space="preserve">  45.75KWH</t>
  </si>
  <si>
    <t xml:space="preserve"> 52.55KVAH</t>
  </si>
  <si>
    <t>25.85KVARH</t>
  </si>
  <si>
    <t xml:space="preserve">  15:35:43</t>
  </si>
  <si>
    <t xml:space="preserve">  45.77KWH</t>
  </si>
  <si>
    <t xml:space="preserve"> 52.58KVAH</t>
  </si>
  <si>
    <t>25.87KVARH</t>
  </si>
  <si>
    <t xml:space="preserve">  15:35:45</t>
  </si>
  <si>
    <t xml:space="preserve">  45.80KWH</t>
  </si>
  <si>
    <t xml:space="preserve"> 52.61KVAH</t>
  </si>
  <si>
    <t>25.89KVARH</t>
  </si>
  <si>
    <t xml:space="preserve">  15:35:47</t>
  </si>
  <si>
    <t xml:space="preserve">  45.83KWH</t>
  </si>
  <si>
    <t xml:space="preserve"> 52.65KVAH</t>
  </si>
  <si>
    <t>25.90KVARH</t>
  </si>
  <si>
    <t xml:space="preserve">  15:35:49</t>
  </si>
  <si>
    <t xml:space="preserve">  45.86KWH</t>
  </si>
  <si>
    <t xml:space="preserve"> 52.68KVAH</t>
  </si>
  <si>
    <t>25.92KVARH</t>
  </si>
  <si>
    <t xml:space="preserve">  15:35:51</t>
  </si>
  <si>
    <t xml:space="preserve">  45.89KWH</t>
  </si>
  <si>
    <t xml:space="preserve"> 52.71KVAH</t>
  </si>
  <si>
    <t>25.93KVARH</t>
  </si>
  <si>
    <t xml:space="preserve">  15:35:53</t>
  </si>
  <si>
    <t xml:space="preserve">  45.91KWH</t>
  </si>
  <si>
    <t xml:space="preserve"> 52.74KVAH</t>
  </si>
  <si>
    <t>25.95KVARH</t>
  </si>
  <si>
    <t xml:space="preserve">  15:35:55</t>
  </si>
  <si>
    <t xml:space="preserve">  45.94KWH</t>
  </si>
  <si>
    <t xml:space="preserve"> 52.78KVAH</t>
  </si>
  <si>
    <t>25.97KVARH</t>
  </si>
  <si>
    <t xml:space="preserve">  15:35:57</t>
  </si>
  <si>
    <t xml:space="preserve">  45.97KWH</t>
  </si>
  <si>
    <t xml:space="preserve"> 52.81KVAH</t>
  </si>
  <si>
    <t>25.98KVARH</t>
  </si>
  <si>
    <t xml:space="preserve">  15:35:59</t>
  </si>
  <si>
    <t xml:space="preserve">  46.00KWH</t>
  </si>
  <si>
    <t xml:space="preserve"> 52.84KVAH</t>
  </si>
  <si>
    <t>26.00KVARH</t>
  </si>
  <si>
    <t xml:space="preserve">  15:36:01</t>
  </si>
  <si>
    <t xml:space="preserve">  46.03KWH</t>
  </si>
  <si>
    <t xml:space="preserve"> 52.87KVAH</t>
  </si>
  <si>
    <t>26.01KVARH</t>
  </si>
  <si>
    <t xml:space="preserve">  15:36:03</t>
  </si>
  <si>
    <t xml:space="preserve">  46.05KWH</t>
  </si>
  <si>
    <t xml:space="preserve"> 52.90KVAH</t>
  </si>
  <si>
    <t>26.03KVARH</t>
  </si>
  <si>
    <t xml:space="preserve">  15:36:05</t>
  </si>
  <si>
    <t xml:space="preserve">  46.08KWH</t>
  </si>
  <si>
    <t xml:space="preserve"> 52.94KVAH</t>
  </si>
  <si>
    <t>26.05KVARH</t>
  </si>
  <si>
    <t xml:space="preserve">  15:36:07</t>
  </si>
  <si>
    <t xml:space="preserve">   81.06KW</t>
  </si>
  <si>
    <t>-39.60KVAR</t>
  </si>
  <si>
    <t xml:space="preserve">  46.13KWH</t>
  </si>
  <si>
    <t xml:space="preserve"> 52.99KVAH</t>
  </si>
  <si>
    <t>26.07KVARH</t>
  </si>
  <si>
    <t xml:space="preserve">  15:36:09</t>
  </si>
  <si>
    <t xml:space="preserve">  46.17KWH</t>
  </si>
  <si>
    <t xml:space="preserve"> 53.04KVAH</t>
  </si>
  <si>
    <t>26.09KVARH</t>
  </si>
  <si>
    <t xml:space="preserve">  15:36:11</t>
  </si>
  <si>
    <t xml:space="preserve">    153.6A</t>
  </si>
  <si>
    <t xml:space="preserve">  92.22KVA</t>
  </si>
  <si>
    <t xml:space="preserve">  46.22KWH</t>
  </si>
  <si>
    <t xml:space="preserve"> 53.09KVAH</t>
  </si>
  <si>
    <t>26.11KVARH</t>
  </si>
  <si>
    <t xml:space="preserve">  15:36:13</t>
  </si>
  <si>
    <t xml:space="preserve">    129.4A</t>
  </si>
  <si>
    <t xml:space="preserve">   59.61KW</t>
  </si>
  <si>
    <t>-32.55KVAR</t>
  </si>
  <si>
    <t xml:space="preserve">  46.25KWH</t>
  </si>
  <si>
    <t xml:space="preserve"> 53.13KVAH</t>
  </si>
  <si>
    <t>26.13KVARH</t>
  </si>
  <si>
    <t xml:space="preserve">  15:36:15</t>
  </si>
  <si>
    <t xml:space="preserve">  46.28KWH</t>
  </si>
  <si>
    <t xml:space="preserve"> 53.16KVAH</t>
  </si>
  <si>
    <t>26.15KVARH</t>
  </si>
  <si>
    <t xml:space="preserve">  15:36:17</t>
  </si>
  <si>
    <t xml:space="preserve">  46.31KWH</t>
  </si>
  <si>
    <t xml:space="preserve"> 53.19KVAH</t>
  </si>
  <si>
    <t>26.16KVARH</t>
  </si>
  <si>
    <t xml:space="preserve">  15:36:19</t>
  </si>
  <si>
    <t xml:space="preserve">  46.34KWH</t>
  </si>
  <si>
    <t xml:space="preserve"> 53.23KVAH</t>
  </si>
  <si>
    <t>26.18KVARH</t>
  </si>
  <si>
    <t xml:space="preserve">  15:36:21</t>
  </si>
  <si>
    <t xml:space="preserve">  46.37KWH</t>
  </si>
  <si>
    <t xml:space="preserve"> 53.26KVAH</t>
  </si>
  <si>
    <t>26.20KVARH</t>
  </si>
  <si>
    <t xml:space="preserve">  15:36:23</t>
  </si>
  <si>
    <t xml:space="preserve">  46.40KWH</t>
  </si>
  <si>
    <t xml:space="preserve"> 53.29KVAH</t>
  </si>
  <si>
    <t>26.21KVARH</t>
  </si>
  <si>
    <t xml:space="preserve">  15:36:25</t>
  </si>
  <si>
    <t xml:space="preserve">  46.43KWH</t>
  </si>
  <si>
    <t xml:space="preserve"> 53.33KVAH</t>
  </si>
  <si>
    <t>26.23KVARH</t>
  </si>
  <si>
    <t xml:space="preserve">  15:36:27</t>
  </si>
  <si>
    <t xml:space="preserve">  46.46KWH</t>
  </si>
  <si>
    <t xml:space="preserve"> 53.36KVAH</t>
  </si>
  <si>
    <t>26.25KVARH</t>
  </si>
  <si>
    <t xml:space="preserve">  15:36:29</t>
  </si>
  <si>
    <t xml:space="preserve">  46.48KWH</t>
  </si>
  <si>
    <t xml:space="preserve"> 53.39KVAH</t>
  </si>
  <si>
    <t>26.26KVARH</t>
  </si>
  <si>
    <t xml:space="preserve">  15:36:31</t>
  </si>
  <si>
    <t xml:space="preserve">  46.51KWH</t>
  </si>
  <si>
    <t xml:space="preserve"> 53.43KVAH</t>
  </si>
  <si>
    <t>26.28KVARH</t>
  </si>
  <si>
    <t xml:space="preserve">  15:36:33</t>
  </si>
  <si>
    <t xml:space="preserve">  46.54KWH</t>
  </si>
  <si>
    <t xml:space="preserve"> 53.46KVAH</t>
  </si>
  <si>
    <t>26.30KVARH</t>
  </si>
  <si>
    <t xml:space="preserve">  15:36:35</t>
  </si>
  <si>
    <t xml:space="preserve">  46.57KWH</t>
  </si>
  <si>
    <t xml:space="preserve"> 53.49KVAH</t>
  </si>
  <si>
    <t>26.31KVARH</t>
  </si>
  <si>
    <t xml:space="preserve">  15:36:37</t>
  </si>
  <si>
    <t xml:space="preserve">  46.60KWH</t>
  </si>
  <si>
    <t xml:space="preserve"> 53.53KVAH</t>
  </si>
  <si>
    <t>26.33KVARH</t>
  </si>
  <si>
    <t xml:space="preserve">  15:36:39</t>
  </si>
  <si>
    <t xml:space="preserve">  46.63KWH</t>
  </si>
  <si>
    <t xml:space="preserve"> 53.56KVAH</t>
  </si>
  <si>
    <t>26.34KVARH</t>
  </si>
  <si>
    <t xml:space="preserve">  15:36:41</t>
  </si>
  <si>
    <t xml:space="preserve">  46.66KWH</t>
  </si>
  <si>
    <t xml:space="preserve"> 53.59KVAH</t>
  </si>
  <si>
    <t>26.36KVARH</t>
  </si>
  <si>
    <t xml:space="preserve">  15:36:43</t>
  </si>
  <si>
    <t xml:space="preserve">  46.69KWH</t>
  </si>
  <si>
    <t xml:space="preserve"> 53.62KVAH</t>
  </si>
  <si>
    <t>26.38KVARH</t>
  </si>
  <si>
    <t xml:space="preserve">  15:36:45</t>
  </si>
  <si>
    <t xml:space="preserve">  46.71KWH</t>
  </si>
  <si>
    <t xml:space="preserve"> 53.66KVAH</t>
  </si>
  <si>
    <t>26.39KVARH</t>
  </si>
  <si>
    <t xml:space="preserve">  15:36:47</t>
  </si>
  <si>
    <t xml:space="preserve">  46.74KWH</t>
  </si>
  <si>
    <t xml:space="preserve"> 53.69KVAH</t>
  </si>
  <si>
    <t>26.41KVARH</t>
  </si>
  <si>
    <t xml:space="preserve">  15:36:49</t>
  </si>
  <si>
    <t xml:space="preserve">  46.77KWH</t>
  </si>
  <si>
    <t xml:space="preserve"> 53.72KVAH</t>
  </si>
  <si>
    <t>26.43KVARH</t>
  </si>
  <si>
    <t xml:space="preserve">  15:36:51</t>
  </si>
  <si>
    <t xml:space="preserve">  46.80KWH</t>
  </si>
  <si>
    <t xml:space="preserve"> 53.75KVAH</t>
  </si>
  <si>
    <t>26.44KVARH</t>
  </si>
  <si>
    <t xml:space="preserve">  15:36:53</t>
  </si>
  <si>
    <t xml:space="preserve">  46.83KWH</t>
  </si>
  <si>
    <t xml:space="preserve"> 53.79KVAH</t>
  </si>
  <si>
    <t>26.46KVARH</t>
  </si>
  <si>
    <t xml:space="preserve">  15:36:55</t>
  </si>
  <si>
    <t xml:space="preserve">  46.86KWH</t>
  </si>
  <si>
    <t xml:space="preserve"> 53.82KVAH</t>
  </si>
  <si>
    <t>26.47KVARH</t>
  </si>
  <si>
    <t xml:space="preserve">  15:36:57</t>
  </si>
  <si>
    <t xml:space="preserve">  46.88KWH</t>
  </si>
  <si>
    <t xml:space="preserve"> 53.85KVAH</t>
  </si>
  <si>
    <t>26.49KVARH</t>
  </si>
  <si>
    <t xml:space="preserve">  15:36:59</t>
  </si>
  <si>
    <t xml:space="preserve">  46.91KWH</t>
  </si>
  <si>
    <t xml:space="preserve"> 53.88KVAH</t>
  </si>
  <si>
    <t>26.51KVARH</t>
  </si>
  <si>
    <t xml:space="preserve">  15:37:01</t>
  </si>
  <si>
    <t xml:space="preserve">  46.94KWH</t>
  </si>
  <si>
    <t xml:space="preserve"> 53.92KVAH</t>
  </si>
  <si>
    <t>26.52KVARH</t>
  </si>
  <si>
    <t xml:space="preserve">  15:37:03</t>
  </si>
  <si>
    <t xml:space="preserve">  46.97KWH</t>
  </si>
  <si>
    <t xml:space="preserve"> 53.95KVAH</t>
  </si>
  <si>
    <t>26.54KVARH</t>
  </si>
  <si>
    <t xml:space="preserve">  15:37:05</t>
  </si>
  <si>
    <t xml:space="preserve">  47.00KWH</t>
  </si>
  <si>
    <t xml:space="preserve"> 53.98KVAH</t>
  </si>
  <si>
    <t>26.55KVARH</t>
  </si>
  <si>
    <t xml:space="preserve">  15:37:07</t>
  </si>
  <si>
    <t xml:space="preserve">  47.02KWH</t>
  </si>
  <si>
    <t xml:space="preserve"> 54.01KVAH</t>
  </si>
  <si>
    <t>26.57KVARH</t>
  </si>
  <si>
    <t xml:space="preserve">  15:37:09</t>
  </si>
  <si>
    <t xml:space="preserve">   50.01KW</t>
  </si>
  <si>
    <t xml:space="preserve">  57.72KVA</t>
  </si>
  <si>
    <t xml:space="preserve">  47.05KWH</t>
  </si>
  <si>
    <t xml:space="preserve"> 54.05KVAH</t>
  </si>
  <si>
    <t>26.59KVARH</t>
  </si>
  <si>
    <t xml:space="preserve">  15:37:11</t>
  </si>
  <si>
    <t xml:space="preserve">   80.37KW</t>
  </si>
  <si>
    <t xml:space="preserve">  89.37KVA</t>
  </si>
  <si>
    <t>-39.12KVAR</t>
  </si>
  <si>
    <t xml:space="preserve">  47.10KWH</t>
  </si>
  <si>
    <t xml:space="preserve"> 54.09KVAH</t>
  </si>
  <si>
    <t>26.61KVARH</t>
  </si>
  <si>
    <t xml:space="preserve">  15:37:13</t>
  </si>
  <si>
    <t xml:space="preserve">    359.0V</t>
  </si>
  <si>
    <t xml:space="preserve">   82.14KW</t>
  </si>
  <si>
    <t xml:space="preserve">  47.14KWH</t>
  </si>
  <si>
    <t xml:space="preserve"> 54.15KVAH</t>
  </si>
  <si>
    <t>26.63KVARH</t>
  </si>
  <si>
    <t xml:space="preserve">  15:37:15</t>
  </si>
  <si>
    <t xml:space="preserve">  47.19KWH</t>
  </si>
  <si>
    <t xml:space="preserve"> 54.20KVAH</t>
  </si>
  <si>
    <t>26.65KVARH</t>
  </si>
  <si>
    <t xml:space="preserve">  15:37:17</t>
  </si>
  <si>
    <t xml:space="preserve">   76.44KW</t>
  </si>
  <si>
    <t xml:space="preserve">  85.71KVA</t>
  </si>
  <si>
    <t>-38.79KVAR</t>
  </si>
  <si>
    <t xml:space="preserve">  47.23KWH</t>
  </si>
  <si>
    <t xml:space="preserve"> 54.24KVAH</t>
  </si>
  <si>
    <t>26.67KVARH</t>
  </si>
  <si>
    <t xml:space="preserve">  15:37:19</t>
  </si>
  <si>
    <t xml:space="preserve">  47.26KWH</t>
  </si>
  <si>
    <t xml:space="preserve"> 54.28KVAH</t>
  </si>
  <si>
    <t>26.69KVARH</t>
  </si>
  <si>
    <t xml:space="preserve">  15:37:21</t>
  </si>
  <si>
    <t xml:space="preserve">  47.29KWH</t>
  </si>
  <si>
    <t xml:space="preserve"> 54.31KVAH</t>
  </si>
  <si>
    <t>26.71KVARH</t>
  </si>
  <si>
    <t xml:space="preserve">  15:37:23</t>
  </si>
  <si>
    <t xml:space="preserve">  47.32KWH</t>
  </si>
  <si>
    <t xml:space="preserve"> 54.34KVAH</t>
  </si>
  <si>
    <t>26.72KVARH</t>
  </si>
  <si>
    <t xml:space="preserve">  15:37:25</t>
  </si>
  <si>
    <t xml:space="preserve">  47.35KWH</t>
  </si>
  <si>
    <t xml:space="preserve"> 54.38KVAH</t>
  </si>
  <si>
    <t>26.74KVARH</t>
  </si>
  <si>
    <t xml:space="preserve">  15:37:27</t>
  </si>
  <si>
    <t xml:space="preserve">  47.38KWH</t>
  </si>
  <si>
    <t xml:space="preserve"> 54.41KVAH</t>
  </si>
  <si>
    <t>26.76KVARH</t>
  </si>
  <si>
    <t xml:space="preserve">  15:37:29</t>
  </si>
  <si>
    <t xml:space="preserve">  47.40KWH</t>
  </si>
  <si>
    <t xml:space="preserve"> 54.44KVAH</t>
  </si>
  <si>
    <t>26.77KVARH</t>
  </si>
  <si>
    <t xml:space="preserve">  15:37:31</t>
  </si>
  <si>
    <t xml:space="preserve">  47.43KWH</t>
  </si>
  <si>
    <t xml:space="preserve"> 54.48KVAH</t>
  </si>
  <si>
    <t>26.79KVARH</t>
  </si>
  <si>
    <t xml:space="preserve">  15:37:33</t>
  </si>
  <si>
    <t xml:space="preserve">  47.46KWH</t>
  </si>
  <si>
    <t xml:space="preserve"> 54.51KVAH</t>
  </si>
  <si>
    <t>26.81KVARH</t>
  </si>
  <si>
    <t xml:space="preserve">  15:37:35</t>
  </si>
  <si>
    <t xml:space="preserve">  47.49KWH</t>
  </si>
  <si>
    <t xml:space="preserve"> 54.54KVAH</t>
  </si>
  <si>
    <t>26.82KVARH</t>
  </si>
  <si>
    <t xml:space="preserve">  15:37:37</t>
  </si>
  <si>
    <t xml:space="preserve">  47.52KWH</t>
  </si>
  <si>
    <t xml:space="preserve"> 54.58KVAH</t>
  </si>
  <si>
    <t>26.84KVARH</t>
  </si>
  <si>
    <t xml:space="preserve">  15:37:39</t>
  </si>
  <si>
    <t xml:space="preserve">  47.55KWH</t>
  </si>
  <si>
    <t xml:space="preserve"> 54.61KVAH</t>
  </si>
  <si>
    <t>26.85KVARH</t>
  </si>
  <si>
    <t xml:space="preserve">  15:37:41</t>
  </si>
  <si>
    <t xml:space="preserve">  47.58KWH</t>
  </si>
  <si>
    <t xml:space="preserve"> 54.64KVAH</t>
  </si>
  <si>
    <t>26.87KVARH</t>
  </si>
  <si>
    <t xml:space="preserve">  15:37:43</t>
  </si>
  <si>
    <t xml:space="preserve">  47.61KWH</t>
  </si>
  <si>
    <t xml:space="preserve"> 54.68KVAH</t>
  </si>
  <si>
    <t>26.89KVARH</t>
  </si>
  <si>
    <t xml:space="preserve">  15:37:45</t>
  </si>
  <si>
    <t xml:space="preserve">  47.63KWH</t>
  </si>
  <si>
    <t xml:space="preserve"> 54.71KVAH</t>
  </si>
  <si>
    <t>26.90KVARH</t>
  </si>
  <si>
    <t xml:space="preserve">  15:37:47</t>
  </si>
  <si>
    <t xml:space="preserve">  47.66KWH</t>
  </si>
  <si>
    <t xml:space="preserve"> 54.74KVAH</t>
  </si>
  <si>
    <t>26.92KVARH</t>
  </si>
  <si>
    <t xml:space="preserve">  15:37:49</t>
  </si>
  <si>
    <t xml:space="preserve">  47.69KWH</t>
  </si>
  <si>
    <t xml:space="preserve"> 54.77KVAH</t>
  </si>
  <si>
    <t>26.94KVARH</t>
  </si>
  <si>
    <t xml:space="preserve">  15:37:51</t>
  </si>
  <si>
    <t xml:space="preserve">  47.72KWH</t>
  </si>
  <si>
    <t xml:space="preserve"> 54.81KVAH</t>
  </si>
  <si>
    <t>26.95KVARH</t>
  </si>
  <si>
    <t xml:space="preserve">  15:37:53</t>
  </si>
  <si>
    <t xml:space="preserve">  47.75KWH</t>
  </si>
  <si>
    <t xml:space="preserve"> 54.84KVAH</t>
  </si>
  <si>
    <t>26.97KVARH</t>
  </si>
  <si>
    <t xml:space="preserve">  15:37:55</t>
  </si>
  <si>
    <t xml:space="preserve">  47.78KWH</t>
  </si>
  <si>
    <t xml:space="preserve"> 54.87KVAH</t>
  </si>
  <si>
    <t>26.98KVARH</t>
  </si>
  <si>
    <t xml:space="preserve">  15:37:57</t>
  </si>
  <si>
    <t xml:space="preserve">  47.80KWH</t>
  </si>
  <si>
    <t xml:space="preserve"> 54.90KVAH</t>
  </si>
  <si>
    <t>27.00KVARH</t>
  </si>
  <si>
    <t xml:space="preserve">  15:37:59</t>
  </si>
  <si>
    <t xml:space="preserve">  47.83KWH</t>
  </si>
  <si>
    <t xml:space="preserve"> 54.94KVAH</t>
  </si>
  <si>
    <t>27.02KVARH</t>
  </si>
  <si>
    <t xml:space="preserve">  15:38:01</t>
  </si>
  <si>
    <t xml:space="preserve">  47.86KWH</t>
  </si>
  <si>
    <t xml:space="preserve"> 54.97KVAH</t>
  </si>
  <si>
    <t>27.03KVARH</t>
  </si>
  <si>
    <t xml:space="preserve">  15:38:03</t>
  </si>
  <si>
    <t xml:space="preserve">  47.89KWH</t>
  </si>
  <si>
    <t xml:space="preserve"> 55.00KVAH</t>
  </si>
  <si>
    <t>27.05KVARH</t>
  </si>
  <si>
    <t xml:space="preserve">  15:38:05</t>
  </si>
  <si>
    <t xml:space="preserve">  47.92KWH</t>
  </si>
  <si>
    <t xml:space="preserve"> 55.03KVAH</t>
  </si>
  <si>
    <t>27.07KVARH</t>
  </si>
  <si>
    <t xml:space="preserve">  15:38:07</t>
  </si>
  <si>
    <t xml:space="preserve">  47.94KWH</t>
  </si>
  <si>
    <t xml:space="preserve"> 55.07KVAH</t>
  </si>
  <si>
    <t>27.08KVARH</t>
  </si>
  <si>
    <t xml:space="preserve">  15:38:09</t>
  </si>
  <si>
    <t xml:space="preserve">  47.97KWH</t>
  </si>
  <si>
    <t xml:space="preserve"> 55.10KVAH</t>
  </si>
  <si>
    <t>27.10KVARH</t>
  </si>
  <si>
    <t xml:space="preserve">  15:38:11</t>
  </si>
  <si>
    <t xml:space="preserve">   49.95KW</t>
  </si>
  <si>
    <t xml:space="preserve">  48.00KWH</t>
  </si>
  <si>
    <t xml:space="preserve"> 55.13KVAH</t>
  </si>
  <si>
    <t>27.12KVARH</t>
  </si>
  <si>
    <t xml:space="preserve">  15:38:13</t>
  </si>
  <si>
    <t xml:space="preserve">    124.8A</t>
  </si>
  <si>
    <t xml:space="preserve">   55.77KW</t>
  </si>
  <si>
    <t xml:space="preserve">  64.17KVA</t>
  </si>
  <si>
    <t>-31.77KVAR</t>
  </si>
  <si>
    <t xml:space="preserve">  48.03KWH</t>
  </si>
  <si>
    <t xml:space="preserve"> 55.17KVAH</t>
  </si>
  <si>
    <t>27.13KVARH</t>
  </si>
  <si>
    <t xml:space="preserve">  15:38:15</t>
  </si>
  <si>
    <t xml:space="preserve">  48.08KWH</t>
  </si>
  <si>
    <t xml:space="preserve"> 55.22KVAH</t>
  </si>
  <si>
    <t>27.15KVARH</t>
  </si>
  <si>
    <t xml:space="preserve">  15:38:17</t>
  </si>
  <si>
    <t xml:space="preserve">   82.32KW</t>
  </si>
  <si>
    <t xml:space="preserve">  48.12KWH</t>
  </si>
  <si>
    <t xml:space="preserve"> 55.27KVAH</t>
  </si>
  <si>
    <t>27.18KVARH</t>
  </si>
  <si>
    <t xml:space="preserve">  15:38:19</t>
  </si>
  <si>
    <t xml:space="preserve">   83.16KW</t>
  </si>
  <si>
    <t xml:space="preserve">  92.64KVA</t>
  </si>
  <si>
    <t>-40.83KVAR</t>
  </si>
  <si>
    <t xml:space="preserve">  48.17KWH</t>
  </si>
  <si>
    <t xml:space="preserve"> 55.32KVAH</t>
  </si>
  <si>
    <t>27.20KVARH</t>
  </si>
  <si>
    <t xml:space="preserve">  15:38:21</t>
  </si>
  <si>
    <t xml:space="preserve">  48.20KWH</t>
  </si>
  <si>
    <t xml:space="preserve"> 55.35KVAH</t>
  </si>
  <si>
    <t>27.22KVARH</t>
  </si>
  <si>
    <t xml:space="preserve">  15:38:23</t>
  </si>
  <si>
    <t xml:space="preserve">  48.23KWH</t>
  </si>
  <si>
    <t xml:space="preserve"> 55.39KVAH</t>
  </si>
  <si>
    <t>27.23KVARH</t>
  </si>
  <si>
    <t xml:space="preserve">  15:38:25</t>
  </si>
  <si>
    <t xml:space="preserve">  48.26KWH</t>
  </si>
  <si>
    <t xml:space="preserve"> 55.42KVAH</t>
  </si>
  <si>
    <t>27.25KVARH</t>
  </si>
  <si>
    <t xml:space="preserve">  15:38:27</t>
  </si>
  <si>
    <t xml:space="preserve">  48.29KWH</t>
  </si>
  <si>
    <t xml:space="preserve"> 55.45KVAH</t>
  </si>
  <si>
    <t>27.27KVARH</t>
  </si>
  <si>
    <t xml:space="preserve">  15:38:29</t>
  </si>
  <si>
    <t xml:space="preserve">  48.31KWH</t>
  </si>
  <si>
    <t xml:space="preserve"> 55.49KVAH</t>
  </si>
  <si>
    <t>27.28KVARH</t>
  </si>
  <si>
    <t xml:space="preserve">  15:38:31</t>
  </si>
  <si>
    <t xml:space="preserve">  48.34KWH</t>
  </si>
  <si>
    <t xml:space="preserve"> 55.52KVAH</t>
  </si>
  <si>
    <t>27.30KVARH</t>
  </si>
  <si>
    <t xml:space="preserve">  15:38:33</t>
  </si>
  <si>
    <t xml:space="preserve">  48.37KWH</t>
  </si>
  <si>
    <t xml:space="preserve"> 55.56KVAH</t>
  </si>
  <si>
    <t>27.32KVARH</t>
  </si>
  <si>
    <t xml:space="preserve">  15:38:35</t>
  </si>
  <si>
    <t xml:space="preserve">  48.40KWH</t>
  </si>
  <si>
    <t xml:space="preserve"> 55.59KVAH</t>
  </si>
  <si>
    <t>27.33KVARH</t>
  </si>
  <si>
    <t xml:space="preserve">  15:38:37</t>
  </si>
  <si>
    <t xml:space="preserve">  48.43KWH</t>
  </si>
  <si>
    <t xml:space="preserve"> 55.62KVAH</t>
  </si>
  <si>
    <t>27.35KVARH</t>
  </si>
  <si>
    <t xml:space="preserve">  15:38:39</t>
  </si>
  <si>
    <t xml:space="preserve">  48.46KWH</t>
  </si>
  <si>
    <t xml:space="preserve"> 55.65KVAH</t>
  </si>
  <si>
    <t>27.37KVARH</t>
  </si>
  <si>
    <t xml:space="preserve">  15:38:41</t>
  </si>
  <si>
    <t xml:space="preserve">  48.49KWH</t>
  </si>
  <si>
    <t xml:space="preserve"> 55.69KVAH</t>
  </si>
  <si>
    <t>27.38KVARH</t>
  </si>
  <si>
    <t xml:space="preserve">  15:38:43</t>
  </si>
  <si>
    <t xml:space="preserve">  48.52KWH</t>
  </si>
  <si>
    <t xml:space="preserve"> 55.72KVAH</t>
  </si>
  <si>
    <t>27.40KVARH</t>
  </si>
  <si>
    <t xml:space="preserve">  15:38:45</t>
  </si>
  <si>
    <t xml:space="preserve">  48.55KWH</t>
  </si>
  <si>
    <t xml:space="preserve"> 55.75KVAH</t>
  </si>
  <si>
    <t>27.42KVARH</t>
  </si>
  <si>
    <t xml:space="preserve">  15:38:47</t>
  </si>
  <si>
    <t xml:space="preserve">  48.57KWH</t>
  </si>
  <si>
    <t xml:space="preserve"> 55.79KVAH</t>
  </si>
  <si>
    <t>27.43KVARH</t>
  </si>
  <si>
    <t xml:space="preserve">  15:38:49</t>
  </si>
  <si>
    <t xml:space="preserve">  48.60KWH</t>
  </si>
  <si>
    <t xml:space="preserve"> 55.82KVAH</t>
  </si>
  <si>
    <t>27.45KVARH</t>
  </si>
  <si>
    <t xml:space="preserve">  15:38:51</t>
  </si>
  <si>
    <t xml:space="preserve">  48.63KWH</t>
  </si>
  <si>
    <t xml:space="preserve"> 55.85KVAH</t>
  </si>
  <si>
    <t>27.47KVARH</t>
  </si>
  <si>
    <t xml:space="preserve">  15:38:53</t>
  </si>
  <si>
    <t xml:space="preserve">  48.66KWH</t>
  </si>
  <si>
    <t xml:space="preserve"> 55.89KVAH</t>
  </si>
  <si>
    <t>27.48KVARH</t>
  </si>
  <si>
    <t xml:space="preserve">  15:38:55</t>
  </si>
  <si>
    <t xml:space="preserve">  48.69KWH</t>
  </si>
  <si>
    <t xml:space="preserve"> 55.92KVAH</t>
  </si>
  <si>
    <t>27.50KVARH</t>
  </si>
  <si>
    <t xml:space="preserve">  15:38:57</t>
  </si>
  <si>
    <t xml:space="preserve">  48.72KWH</t>
  </si>
  <si>
    <t xml:space="preserve"> 55.95KVAH</t>
  </si>
  <si>
    <t>27.51KVARH</t>
  </si>
  <si>
    <t xml:space="preserve">  15:38:59</t>
  </si>
  <si>
    <t xml:space="preserve">  48.74KWH</t>
  </si>
  <si>
    <t xml:space="preserve"> 55.98KVAH</t>
  </si>
  <si>
    <t>27.53KVARH</t>
  </si>
  <si>
    <t xml:space="preserve">  15:39:01</t>
  </si>
  <si>
    <t xml:space="preserve">  48.77KWH</t>
  </si>
  <si>
    <t xml:space="preserve"> 56.02KVAH</t>
  </si>
  <si>
    <t>27.55KVARH</t>
  </si>
  <si>
    <t xml:space="preserve">  15:39:03</t>
  </si>
  <si>
    <t xml:space="preserve">    133.9A</t>
  </si>
  <si>
    <t xml:space="preserve">   70.74KW</t>
  </si>
  <si>
    <t xml:space="preserve">  79.29KVA</t>
  </si>
  <si>
    <t>-35.82KVAR</t>
  </si>
  <si>
    <t xml:space="preserve">  48.81KWH</t>
  </si>
  <si>
    <t xml:space="preserve"> 56.06KVAH</t>
  </si>
  <si>
    <t>27.57KVARH</t>
  </si>
  <si>
    <t xml:space="preserve">  15:39:05</t>
  </si>
  <si>
    <t xml:space="preserve">  48.86KWH</t>
  </si>
  <si>
    <t xml:space="preserve"> 56.11KVAH</t>
  </si>
  <si>
    <t>27.59KVARH</t>
  </si>
  <si>
    <t xml:space="preserve">  15:39:07</t>
  </si>
  <si>
    <t xml:space="preserve">  48.90KWH</t>
  </si>
  <si>
    <t xml:space="preserve"> 56.16KVAH</t>
  </si>
  <si>
    <t>27.61KVARH</t>
  </si>
  <si>
    <t xml:space="preserve">  15:39:09</t>
  </si>
  <si>
    <t xml:space="preserve">  48.95KWH</t>
  </si>
  <si>
    <t xml:space="preserve"> 56.21KVAH</t>
  </si>
  <si>
    <t>27.64KVARH</t>
  </si>
  <si>
    <t xml:space="preserve">  15:39:11</t>
  </si>
  <si>
    <t xml:space="preserve">  48.98KWH</t>
  </si>
  <si>
    <t xml:space="preserve"> 56.25KVAH</t>
  </si>
  <si>
    <t>27.65KVARH</t>
  </si>
  <si>
    <t xml:space="preserve">  15:39:13</t>
  </si>
  <si>
    <t xml:space="preserve">  49.01KWH</t>
  </si>
  <si>
    <t xml:space="preserve"> 56.28KVAH</t>
  </si>
  <si>
    <t>27.67KVARH</t>
  </si>
  <si>
    <t xml:space="preserve">  15:39:15</t>
  </si>
  <si>
    <t xml:space="preserve">  49.04KWH</t>
  </si>
  <si>
    <t xml:space="preserve"> 56.31KVAH</t>
  </si>
  <si>
    <t>27.69KVARH</t>
  </si>
  <si>
    <t xml:space="preserve">  15:39:17</t>
  </si>
  <si>
    <t xml:space="preserve">  49.06KWH</t>
  </si>
  <si>
    <t xml:space="preserve"> 56.35KVAH</t>
  </si>
  <si>
    <t>27.70KVARH</t>
  </si>
  <si>
    <t xml:space="preserve">  15:39:19</t>
  </si>
  <si>
    <t xml:space="preserve">  49.09KWH</t>
  </si>
  <si>
    <t xml:space="preserve"> 56.38KVAH</t>
  </si>
  <si>
    <t>27.72KVARH</t>
  </si>
  <si>
    <t xml:space="preserve">  15:39:21</t>
  </si>
  <si>
    <t xml:space="preserve">  49.12KWH</t>
  </si>
  <si>
    <t xml:space="preserve"> 56.41KVAH</t>
  </si>
  <si>
    <t>27.74KVARH</t>
  </si>
  <si>
    <t xml:space="preserve">  15:39:23</t>
  </si>
  <si>
    <t xml:space="preserve">  49.15KWH</t>
  </si>
  <si>
    <t xml:space="preserve"> 56.45KVAH</t>
  </si>
  <si>
    <t>27.75KVARH</t>
  </si>
  <si>
    <t xml:space="preserve">  15:39:25</t>
  </si>
  <si>
    <t xml:space="preserve">  49.18KWH</t>
  </si>
  <si>
    <t xml:space="preserve"> 56.48KVAH</t>
  </si>
  <si>
    <t>27.77KVARH</t>
  </si>
  <si>
    <t xml:space="preserve">  15:39:27</t>
  </si>
  <si>
    <t xml:space="preserve">  49.21KWH</t>
  </si>
  <si>
    <t xml:space="preserve"> 56.51KVAH</t>
  </si>
  <si>
    <t>27.79KVARH</t>
  </si>
  <si>
    <t xml:space="preserve">  15:39:29</t>
  </si>
  <si>
    <t xml:space="preserve">  49.24KWH</t>
  </si>
  <si>
    <t xml:space="preserve"> 56.55KVAH</t>
  </si>
  <si>
    <t>27.80KVARH</t>
  </si>
  <si>
    <t xml:space="preserve">  15:39:31</t>
  </si>
  <si>
    <t xml:space="preserve">  49.27KWH</t>
  </si>
  <si>
    <t xml:space="preserve"> 56.58KVAH</t>
  </si>
  <si>
    <t>27.82KVARH</t>
  </si>
  <si>
    <t xml:space="preserve">  15:39:33</t>
  </si>
  <si>
    <t xml:space="preserve">  49.30KWH</t>
  </si>
  <si>
    <t xml:space="preserve"> 56.61KVAH</t>
  </si>
  <si>
    <t>27.83KVARH</t>
  </si>
  <si>
    <t xml:space="preserve">  15:39:35</t>
  </si>
  <si>
    <t xml:space="preserve">  49.33KWH</t>
  </si>
  <si>
    <t xml:space="preserve"> 56.65KVAH</t>
  </si>
  <si>
    <t>27.85KVARH</t>
  </si>
  <si>
    <t xml:space="preserve">  15:39:37</t>
  </si>
  <si>
    <t xml:space="preserve">  49.35KWH</t>
  </si>
  <si>
    <t xml:space="preserve"> 56.68KVAH</t>
  </si>
  <si>
    <t>27.87KVARH</t>
  </si>
  <si>
    <t xml:space="preserve">  15:39:39</t>
  </si>
  <si>
    <t xml:space="preserve">  49.38KWH</t>
  </si>
  <si>
    <t xml:space="preserve"> 56.71KVAH</t>
  </si>
  <si>
    <t>27.88KVARH</t>
  </si>
  <si>
    <t xml:space="preserve">  15:39:41</t>
  </si>
  <si>
    <t xml:space="preserve">  49.41KWH</t>
  </si>
  <si>
    <t xml:space="preserve"> 56.75KVAH</t>
  </si>
  <si>
    <t>27.90KVARH</t>
  </si>
  <si>
    <t xml:space="preserve">  15:39:43</t>
  </si>
  <si>
    <t xml:space="preserve">  49.44KWH</t>
  </si>
  <si>
    <t xml:space="preserve"> 56.78KVAH</t>
  </si>
  <si>
    <t>27.92KVARH</t>
  </si>
  <si>
    <t xml:space="preserve">  15:39:45</t>
  </si>
  <si>
    <t xml:space="preserve">  49.47KWH</t>
  </si>
  <si>
    <t xml:space="preserve"> 56.81KVAH</t>
  </si>
  <si>
    <t>27.93KVARH</t>
  </si>
  <si>
    <t xml:space="preserve">  15:39:47</t>
  </si>
  <si>
    <t xml:space="preserve">  49.50KWH</t>
  </si>
  <si>
    <t xml:space="preserve"> 56.85KVAH</t>
  </si>
  <si>
    <t>27.95KVARH</t>
  </si>
  <si>
    <t xml:space="preserve">  15:39:49</t>
  </si>
  <si>
    <t xml:space="preserve">  49.52KWH</t>
  </si>
  <si>
    <t xml:space="preserve"> 56.88KVAH</t>
  </si>
  <si>
    <t>27.97KVARH</t>
  </si>
  <si>
    <t xml:space="preserve">  15:39:51</t>
  </si>
  <si>
    <t xml:space="preserve">  49.55KWH</t>
  </si>
  <si>
    <t xml:space="preserve"> 56.91KVAH</t>
  </si>
  <si>
    <t>27.98KVARH</t>
  </si>
  <si>
    <t xml:space="preserve">  15:39:53</t>
  </si>
  <si>
    <t xml:space="preserve">  49.58KWH</t>
  </si>
  <si>
    <t xml:space="preserve"> 56.94KVAH</t>
  </si>
  <si>
    <t>28.00KVARH</t>
  </si>
  <si>
    <t xml:space="preserve">  15:39:55</t>
  </si>
  <si>
    <t xml:space="preserve">  49.61KWH</t>
  </si>
  <si>
    <t xml:space="preserve"> 56.98KVAH</t>
  </si>
  <si>
    <t>28.02KVARH</t>
  </si>
  <si>
    <t xml:space="preserve">  15:39:57</t>
  </si>
  <si>
    <t xml:space="preserve">  49.64KWH</t>
  </si>
  <si>
    <t xml:space="preserve"> 57.01KVAH</t>
  </si>
  <si>
    <t>28.03KVARH</t>
  </si>
  <si>
    <t xml:space="preserve">  15:39:59</t>
  </si>
  <si>
    <t xml:space="preserve">  49.67KWH</t>
  </si>
  <si>
    <t xml:space="preserve"> 57.04KVAH</t>
  </si>
  <si>
    <t>28.05KVARH</t>
  </si>
  <si>
    <t xml:space="preserve">  15:40:01</t>
  </si>
  <si>
    <t xml:space="preserve">  49.69KWH</t>
  </si>
  <si>
    <t xml:space="preserve"> 57.07KVAH</t>
  </si>
  <si>
    <t>28.07KVARH</t>
  </si>
  <si>
    <t xml:space="preserve">  15:40:03</t>
  </si>
  <si>
    <t xml:space="preserve">  49.72KWH</t>
  </si>
  <si>
    <t xml:space="preserve"> 57.11KVAH</t>
  </si>
  <si>
    <t>28.08KVARH</t>
  </si>
  <si>
    <t xml:space="preserve">  15:40:05</t>
  </si>
  <si>
    <t xml:space="preserve">  49.75KWH</t>
  </si>
  <si>
    <t xml:space="preserve"> 57.14KVAH</t>
  </si>
  <si>
    <t>28.10KVARH</t>
  </si>
  <si>
    <t xml:space="preserve">  15:40:07</t>
  </si>
  <si>
    <t xml:space="preserve">  49.78KWH</t>
  </si>
  <si>
    <t xml:space="preserve"> 57.17KVAH</t>
  </si>
  <si>
    <t>28.11KVARH</t>
  </si>
  <si>
    <t xml:space="preserve">  15:40:09</t>
  </si>
  <si>
    <t xml:space="preserve">  49.81KWH</t>
  </si>
  <si>
    <t xml:space="preserve"> 57.20KVAH</t>
  </si>
  <si>
    <t>28.13KVARH</t>
  </si>
  <si>
    <t xml:space="preserve">  15:40:11</t>
  </si>
  <si>
    <t xml:space="preserve">  49.83KWH</t>
  </si>
  <si>
    <t xml:space="preserve"> 57.24KVAH</t>
  </si>
  <si>
    <t>28.15KVARH</t>
  </si>
  <si>
    <t xml:space="preserve">  15:40:13</t>
  </si>
  <si>
    <t xml:space="preserve">  49.86KWH</t>
  </si>
  <si>
    <t xml:space="preserve"> 57.27KVAH</t>
  </si>
  <si>
    <t>28.16KVARH</t>
  </si>
  <si>
    <t xml:space="preserve">  15:40:15</t>
  </si>
  <si>
    <t xml:space="preserve">  49.89KWH</t>
  </si>
  <si>
    <t xml:space="preserve"> 57.30KVAH</t>
  </si>
  <si>
    <t>28.18KVARH</t>
  </si>
  <si>
    <t xml:space="preserve">  15:40:17</t>
  </si>
  <si>
    <t xml:space="preserve">   58.17KW</t>
  </si>
  <si>
    <t xml:space="preserve">  66.39KVA</t>
  </si>
  <si>
    <t xml:space="preserve">  49.92KWH</t>
  </si>
  <si>
    <t xml:space="preserve"> 57.34KVAH</t>
  </si>
  <si>
    <t>28.20KVARH</t>
  </si>
  <si>
    <t xml:space="preserve">  15:40:19</t>
  </si>
  <si>
    <t xml:space="preserve">  49.97KWH</t>
  </si>
  <si>
    <t xml:space="preserve"> 57.39KVAH</t>
  </si>
  <si>
    <t>28.22KVARH</t>
  </si>
  <si>
    <t xml:space="preserve">  15:40:21</t>
  </si>
  <si>
    <t xml:space="preserve">    151.7A</t>
  </si>
  <si>
    <t xml:space="preserve">  50.01KWH</t>
  </si>
  <si>
    <t xml:space="preserve"> 57.44KVAH</t>
  </si>
  <si>
    <t>28.24KVARH</t>
  </si>
  <si>
    <t xml:space="preserve">  15:40:23</t>
  </si>
  <si>
    <t xml:space="preserve">  92.70KVA</t>
  </si>
  <si>
    <t xml:space="preserve">  50.06KWH</t>
  </si>
  <si>
    <t xml:space="preserve"> 57.49KVAH</t>
  </si>
  <si>
    <t>28.27KVARH</t>
  </si>
  <si>
    <t xml:space="preserve">  15:40:25</t>
  </si>
  <si>
    <t xml:space="preserve">    98.82A</t>
  </si>
  <si>
    <t xml:space="preserve">    90.87A</t>
  </si>
  <si>
    <t xml:space="preserve">   53.28KW</t>
  </si>
  <si>
    <t xml:space="preserve">  61.23KVA</t>
  </si>
  <si>
    <t xml:space="preserve">  50.09KWH</t>
  </si>
  <si>
    <t xml:space="preserve"> 57.53KVAH</t>
  </si>
  <si>
    <t>28.28KVARH</t>
  </si>
  <si>
    <t xml:space="preserve">  15:40:27</t>
  </si>
  <si>
    <t xml:space="preserve">  50.12KWH</t>
  </si>
  <si>
    <t xml:space="preserve"> 57.56KVAH</t>
  </si>
  <si>
    <t>28.30KVARH</t>
  </si>
  <si>
    <t xml:space="preserve">  15:40:29</t>
  </si>
  <si>
    <t xml:space="preserve">  50.15KWH</t>
  </si>
  <si>
    <t xml:space="preserve"> 57.59KVAH</t>
  </si>
  <si>
    <t>28.32KVARH</t>
  </si>
  <si>
    <t xml:space="preserve">  15:40:31</t>
  </si>
  <si>
    <t xml:space="preserve">  50.18KWH</t>
  </si>
  <si>
    <t xml:space="preserve"> 57.63KVAH</t>
  </si>
  <si>
    <t>28.33KVARH</t>
  </si>
  <si>
    <t xml:space="preserve">  15:40:33</t>
  </si>
  <si>
    <t xml:space="preserve">  50.21KWH</t>
  </si>
  <si>
    <t xml:space="preserve"> 57.66KVAH</t>
  </si>
  <si>
    <t>28.35KVARH</t>
  </si>
  <si>
    <t xml:space="preserve">  15:40:35</t>
  </si>
  <si>
    <t xml:space="preserve">  50.24KWH</t>
  </si>
  <si>
    <t xml:space="preserve"> 57.69KVAH</t>
  </si>
  <si>
    <t>28.37KVARH</t>
  </si>
  <si>
    <t xml:space="preserve">  15:40:37</t>
  </si>
  <si>
    <t xml:space="preserve">  50.26KWH</t>
  </si>
  <si>
    <t xml:space="preserve"> 57.73KVAH</t>
  </si>
  <si>
    <t>28.38KVARH</t>
  </si>
  <si>
    <t xml:space="preserve">  15:40:39</t>
  </si>
  <si>
    <t xml:space="preserve">  50.29KWH</t>
  </si>
  <si>
    <t xml:space="preserve"> 57.76KVAH</t>
  </si>
  <si>
    <t>28.40KVARH</t>
  </si>
  <si>
    <t xml:space="preserve">  15:40:41</t>
  </si>
  <si>
    <t xml:space="preserve">  50.32KWH</t>
  </si>
  <si>
    <t xml:space="preserve"> 57.79KVAH</t>
  </si>
  <si>
    <t>28.42KVARH</t>
  </si>
  <si>
    <t xml:space="preserve">  15:40:43</t>
  </si>
  <si>
    <t xml:space="preserve">  50.35KWH</t>
  </si>
  <si>
    <t xml:space="preserve"> 57.83KVAH</t>
  </si>
  <si>
    <t>28.43KVARH</t>
  </si>
  <si>
    <t xml:space="preserve">  15:40:45</t>
  </si>
  <si>
    <t xml:space="preserve">  50.38KWH</t>
  </si>
  <si>
    <t xml:space="preserve"> 57.86KVAH</t>
  </si>
  <si>
    <t>28.45KVARH</t>
  </si>
  <si>
    <t xml:space="preserve">  15:40:47</t>
  </si>
  <si>
    <t xml:space="preserve">  50.41KWH</t>
  </si>
  <si>
    <t xml:space="preserve"> 57.89KVAH</t>
  </si>
  <si>
    <t>28.46KVARH</t>
  </si>
  <si>
    <t xml:space="preserve">  15:40:49</t>
  </si>
  <si>
    <t xml:space="preserve">  50.44KWH</t>
  </si>
  <si>
    <t xml:space="preserve"> 57.93KVAH</t>
  </si>
  <si>
    <t>28.48KVARH</t>
  </si>
  <si>
    <t xml:space="preserve">  15:40:51</t>
  </si>
  <si>
    <t xml:space="preserve">  50.47KWH</t>
  </si>
  <si>
    <t xml:space="preserve"> 57.96KVAH</t>
  </si>
  <si>
    <t>28.50KVARH</t>
  </si>
  <si>
    <t xml:space="preserve">  15:40:53</t>
  </si>
  <si>
    <t xml:space="preserve">  50.49KWH</t>
  </si>
  <si>
    <t xml:space="preserve"> 57.99KVAH</t>
  </si>
  <si>
    <t>28.51KVARH</t>
  </si>
  <si>
    <t xml:space="preserve">  15:40:55</t>
  </si>
  <si>
    <t xml:space="preserve">  50.52KWH</t>
  </si>
  <si>
    <t xml:space="preserve"> 58.03KVAH</t>
  </si>
  <si>
    <t>28.53KVARH</t>
  </si>
  <si>
    <t xml:space="preserve">  15:40:57</t>
  </si>
  <si>
    <t xml:space="preserve">  50.55KWH</t>
  </si>
  <si>
    <t xml:space="preserve"> 58.06KVAH</t>
  </si>
  <si>
    <t>28.55KVARH</t>
  </si>
  <si>
    <t xml:space="preserve">  15:40:59</t>
  </si>
  <si>
    <t xml:space="preserve">  50.58KWH</t>
  </si>
  <si>
    <t xml:space="preserve"> 58.09KVAH</t>
  </si>
  <si>
    <t>28.56KVARH</t>
  </si>
  <si>
    <t xml:space="preserve">  15:41:01</t>
  </si>
  <si>
    <t xml:space="preserve">  50.61KWH</t>
  </si>
  <si>
    <t xml:space="preserve"> 58.12KVAH</t>
  </si>
  <si>
    <t>28.58KVARH</t>
  </si>
  <si>
    <t xml:space="preserve">  15:41:03</t>
  </si>
  <si>
    <t xml:space="preserve">  50.64KWH</t>
  </si>
  <si>
    <t xml:space="preserve"> 58.16KVAH</t>
  </si>
  <si>
    <t>28.60KVARH</t>
  </si>
  <si>
    <t xml:space="preserve">  15:41:05</t>
  </si>
  <si>
    <t xml:space="preserve">  50.67KWH</t>
  </si>
  <si>
    <t xml:space="preserve"> 58.19KVAH</t>
  </si>
  <si>
    <t>28.61KVARH</t>
  </si>
  <si>
    <t xml:space="preserve">  15:41:07</t>
  </si>
  <si>
    <t xml:space="preserve">  50.69KWH</t>
  </si>
  <si>
    <t xml:space="preserve"> 58.22KVAH</t>
  </si>
  <si>
    <t>28.63KVARH</t>
  </si>
  <si>
    <t xml:space="preserve">  15:41:09</t>
  </si>
  <si>
    <t xml:space="preserve">  50.72KWH</t>
  </si>
  <si>
    <t xml:space="preserve"> 58.26KVAH</t>
  </si>
  <si>
    <t>28.65KVARH</t>
  </si>
  <si>
    <t xml:space="preserve">  15:41:11</t>
  </si>
  <si>
    <t xml:space="preserve">  50.75KWH</t>
  </si>
  <si>
    <t xml:space="preserve"> 58.29KVAH</t>
  </si>
  <si>
    <t>28.66KVARH</t>
  </si>
  <si>
    <t xml:space="preserve">  15:41:13</t>
  </si>
  <si>
    <t xml:space="preserve">  50.78KWH</t>
  </si>
  <si>
    <t xml:space="preserve"> 58.32KVAH</t>
  </si>
  <si>
    <t>28.68KVARH</t>
  </si>
  <si>
    <t xml:space="preserve">  15:41:15</t>
  </si>
  <si>
    <t xml:space="preserve">  50.81KWH</t>
  </si>
  <si>
    <t xml:space="preserve"> 58.35KVAH</t>
  </si>
  <si>
    <t>28.70KVARH</t>
  </si>
  <si>
    <t xml:space="preserve">  15:41:17</t>
  </si>
  <si>
    <t xml:space="preserve">  50.84KWH</t>
  </si>
  <si>
    <t xml:space="preserve"> 58.39KVAH</t>
  </si>
  <si>
    <t>28.71KVARH</t>
  </si>
  <si>
    <t xml:space="preserve">  15:41:19</t>
  </si>
  <si>
    <t xml:space="preserve">  50.86KWH</t>
  </si>
  <si>
    <t xml:space="preserve"> 58.42KVAH</t>
  </si>
  <si>
    <t>28.73KVARH</t>
  </si>
  <si>
    <t xml:space="preserve">  15:41:21</t>
  </si>
  <si>
    <t xml:space="preserve">  50.89KWH</t>
  </si>
  <si>
    <t xml:space="preserve"> 58.45KVAH</t>
  </si>
  <si>
    <t>28.74KVARH</t>
  </si>
  <si>
    <t xml:space="preserve">  15:41:23</t>
  </si>
  <si>
    <t xml:space="preserve">  50.92KWH</t>
  </si>
  <si>
    <t xml:space="preserve"> 58.48KVAH</t>
  </si>
  <si>
    <t>28.76KVARH</t>
  </si>
  <si>
    <t xml:space="preserve">  15:41:25</t>
  </si>
  <si>
    <t xml:space="preserve">  50.95KWH</t>
  </si>
  <si>
    <t xml:space="preserve"> 58.52KVAH</t>
  </si>
  <si>
    <t>28.78KVARH</t>
  </si>
  <si>
    <t xml:space="preserve">  15:41:27</t>
  </si>
  <si>
    <t xml:space="preserve">  50.98KWH</t>
  </si>
  <si>
    <t xml:space="preserve"> 58.55KVAH</t>
  </si>
  <si>
    <t>28.79KVARH</t>
  </si>
  <si>
    <t xml:space="preserve">  15:41:29</t>
  </si>
  <si>
    <t xml:space="preserve">  51.00KWH</t>
  </si>
  <si>
    <t xml:space="preserve"> 58.58KVAH</t>
  </si>
  <si>
    <t>28.81KVARH</t>
  </si>
  <si>
    <t xml:space="preserve">  15:41:31</t>
  </si>
  <si>
    <t xml:space="preserve">  51.03KWH</t>
  </si>
  <si>
    <t xml:space="preserve"> 58.61KVAH</t>
  </si>
  <si>
    <t>28.83KVARH</t>
  </si>
  <si>
    <t xml:space="preserve">  15:41:33</t>
  </si>
  <si>
    <t xml:space="preserve">  51.06KWH</t>
  </si>
  <si>
    <t xml:space="preserve"> 58.65KVAH</t>
  </si>
  <si>
    <t>28.84KVARH</t>
  </si>
  <si>
    <t xml:space="preserve">  15:41:35</t>
  </si>
  <si>
    <t xml:space="preserve">  51.09KWH</t>
  </si>
  <si>
    <t xml:space="preserve"> 58.68KVAH</t>
  </si>
  <si>
    <t>28.86KVARH</t>
  </si>
  <si>
    <t xml:space="preserve">  15:41:37</t>
  </si>
  <si>
    <t xml:space="preserve">  51.12KWH</t>
  </si>
  <si>
    <t xml:space="preserve"> 58.71KVAH</t>
  </si>
  <si>
    <t>28.87KVARH</t>
  </si>
  <si>
    <t xml:space="preserve">  15:41:39</t>
  </si>
  <si>
    <t>-39.51KVAR</t>
  </si>
  <si>
    <t xml:space="preserve">  51.16KWH</t>
  </si>
  <si>
    <t xml:space="preserve"> 58.76KVAH</t>
  </si>
  <si>
    <t>28.90KVARH</t>
  </si>
  <si>
    <t xml:space="preserve">  15:41:41</t>
  </si>
  <si>
    <t xml:space="preserve">  51.21KWH</t>
  </si>
  <si>
    <t xml:space="preserve"> 58.81KVAH</t>
  </si>
  <si>
    <t>28.92KVARH</t>
  </si>
  <si>
    <t xml:space="preserve">  15:41:43</t>
  </si>
  <si>
    <t xml:space="preserve">    139.1A</t>
  </si>
  <si>
    <t xml:space="preserve">  51.25KWH</t>
  </si>
  <si>
    <t xml:space="preserve"> 58.86KVAH</t>
  </si>
  <si>
    <t>28.94KVARH</t>
  </si>
  <si>
    <t xml:space="preserve">  15:41:45</t>
  </si>
  <si>
    <t xml:space="preserve">    117.5A</t>
  </si>
  <si>
    <t xml:space="preserve">   75.24KW</t>
  </si>
  <si>
    <t xml:space="preserve">  84.51KVA</t>
  </si>
  <si>
    <t>-38.49KVAR</t>
  </si>
  <si>
    <t xml:space="preserve">  51.29KWH</t>
  </si>
  <si>
    <t xml:space="preserve"> 58.91KVAH</t>
  </si>
  <si>
    <t>28.96KVARH</t>
  </si>
  <si>
    <t xml:space="preserve">  15:41:47</t>
  </si>
  <si>
    <t xml:space="preserve">  51.32KWH</t>
  </si>
  <si>
    <t xml:space="preserve"> 58.94KVAH</t>
  </si>
  <si>
    <t>28.98KVARH</t>
  </si>
  <si>
    <t xml:space="preserve">  15:41:49</t>
  </si>
  <si>
    <t xml:space="preserve">  51.35KWH</t>
  </si>
  <si>
    <t xml:space="preserve"> 58.98KVAH</t>
  </si>
  <si>
    <t>29.00KVARH</t>
  </si>
  <si>
    <t xml:space="preserve">  15:41:51</t>
  </si>
  <si>
    <t xml:space="preserve">  51.38KWH</t>
  </si>
  <si>
    <t xml:space="preserve"> 59.01KVAH</t>
  </si>
  <si>
    <t>29.01KVARH</t>
  </si>
  <si>
    <t xml:space="preserve">  15:41:53</t>
  </si>
  <si>
    <t xml:space="preserve">  51.41KWH</t>
  </si>
  <si>
    <t xml:space="preserve"> 59.04KVAH</t>
  </si>
  <si>
    <t>29.03KVARH</t>
  </si>
  <si>
    <t xml:space="preserve">  15:41:55</t>
  </si>
  <si>
    <t xml:space="preserve">  51.44KWH</t>
  </si>
  <si>
    <t xml:space="preserve"> 59.08KVAH</t>
  </si>
  <si>
    <t>29.05KVARH</t>
  </si>
  <si>
    <t xml:space="preserve">  15:41:57</t>
  </si>
  <si>
    <t xml:space="preserve">  51.47KWH</t>
  </si>
  <si>
    <t xml:space="preserve"> 59.11KVAH</t>
  </si>
  <si>
    <t>29.06KVARH</t>
  </si>
  <si>
    <t xml:space="preserve">  15:41:59</t>
  </si>
  <si>
    <t xml:space="preserve">  51.50KWH</t>
  </si>
  <si>
    <t xml:space="preserve"> 59.14KVAH</t>
  </si>
  <si>
    <t>29.08KVARH</t>
  </si>
  <si>
    <t xml:space="preserve">  15:42:01</t>
  </si>
  <si>
    <t xml:space="preserve">  51.53KWH</t>
  </si>
  <si>
    <t xml:space="preserve"> 59.18KVAH</t>
  </si>
  <si>
    <t>29.10KVARH</t>
  </si>
  <si>
    <t xml:space="preserve">  15:42:03</t>
  </si>
  <si>
    <t xml:space="preserve">  51.56KWH</t>
  </si>
  <si>
    <t xml:space="preserve"> 59.21KVAH</t>
  </si>
  <si>
    <t>29.11KVARH</t>
  </si>
  <si>
    <t xml:space="preserve">  15:42:05</t>
  </si>
  <si>
    <t xml:space="preserve">  51.58KWH</t>
  </si>
  <si>
    <t xml:space="preserve"> 59.24KVAH</t>
  </si>
  <si>
    <t>29.13KVARH</t>
  </si>
  <si>
    <t xml:space="preserve">  15:42:07</t>
  </si>
  <si>
    <t xml:space="preserve">  51.61KWH</t>
  </si>
  <si>
    <t xml:space="preserve"> 59.28KVAH</t>
  </si>
  <si>
    <t>29.15KVARH</t>
  </si>
  <si>
    <t xml:space="preserve">  15:42:09</t>
  </si>
  <si>
    <t xml:space="preserve">  51.64KWH</t>
  </si>
  <si>
    <t xml:space="preserve"> 59.31KVAH</t>
  </si>
  <si>
    <t>29.16KVARH</t>
  </si>
  <si>
    <t xml:space="preserve">  15:42:11</t>
  </si>
  <si>
    <t xml:space="preserve">  51.67KWH</t>
  </si>
  <si>
    <t xml:space="preserve"> 59.34KVAH</t>
  </si>
  <si>
    <t>29.18KVARH</t>
  </si>
  <si>
    <t xml:space="preserve">  15:42:13</t>
  </si>
  <si>
    <t xml:space="preserve">  51.70KWH</t>
  </si>
  <si>
    <t xml:space="preserve"> 59.38KVAH</t>
  </si>
  <si>
    <t>29.20KVARH</t>
  </si>
  <si>
    <t xml:space="preserve">  15:42:15</t>
  </si>
  <si>
    <t xml:space="preserve">  51.73KWH</t>
  </si>
  <si>
    <t xml:space="preserve"> 59.41KVAH</t>
  </si>
  <si>
    <t>29.21KVARH</t>
  </si>
  <si>
    <t xml:space="preserve">  15:42:17</t>
  </si>
  <si>
    <t xml:space="preserve">  51.76KWH</t>
  </si>
  <si>
    <t xml:space="preserve"> 59.44KVAH</t>
  </si>
  <si>
    <t>29.23KVARH</t>
  </si>
  <si>
    <t xml:space="preserve">  15:42:19</t>
  </si>
  <si>
    <t xml:space="preserve">  51.79KWH</t>
  </si>
  <si>
    <t xml:space="preserve"> 59.48KVAH</t>
  </si>
  <si>
    <t>29.24KVARH</t>
  </si>
  <si>
    <t xml:space="preserve">  15:42:21</t>
  </si>
  <si>
    <t xml:space="preserve">  51.81KWH</t>
  </si>
  <si>
    <t xml:space="preserve"> 59.51KVAH</t>
  </si>
  <si>
    <t>29.26KVARH</t>
  </si>
  <si>
    <t xml:space="preserve">  15:42:23</t>
  </si>
  <si>
    <t xml:space="preserve">  51.84KWH</t>
  </si>
  <si>
    <t xml:space="preserve"> 59.54KVAH</t>
  </si>
  <si>
    <t>29.28KVARH</t>
  </si>
  <si>
    <t xml:space="preserve">  15:42:25</t>
  </si>
  <si>
    <t xml:space="preserve">  51.87KWH</t>
  </si>
  <si>
    <t xml:space="preserve"> 59.57KVAH</t>
  </si>
  <si>
    <t>29.29KVARH</t>
  </si>
  <si>
    <t xml:space="preserve">  15:42:27</t>
  </si>
  <si>
    <t xml:space="preserve">  51.90KWH</t>
  </si>
  <si>
    <t xml:space="preserve"> 59.61KVAH</t>
  </si>
  <si>
    <t>29.31KVARH</t>
  </si>
  <si>
    <t xml:space="preserve">  15:42:29</t>
  </si>
  <si>
    <t xml:space="preserve">  51.93KWH</t>
  </si>
  <si>
    <t xml:space="preserve"> 59.64KVAH</t>
  </si>
  <si>
    <t>29.33KVARH</t>
  </si>
  <si>
    <t xml:space="preserve">  15:42:31</t>
  </si>
  <si>
    <t xml:space="preserve">  51.96KWH</t>
  </si>
  <si>
    <t xml:space="preserve"> 59.67KVAH</t>
  </si>
  <si>
    <t>29.34KVARH</t>
  </si>
  <si>
    <t xml:space="preserve">  15:42:33</t>
  </si>
  <si>
    <t xml:space="preserve">  51.98KWH</t>
  </si>
  <si>
    <t xml:space="preserve"> 59.71KVAH</t>
  </si>
  <si>
    <t>29.36KVARH</t>
  </si>
  <si>
    <t xml:space="preserve">  15:42:35</t>
  </si>
  <si>
    <t xml:space="preserve">  52.01KWH</t>
  </si>
  <si>
    <t xml:space="preserve"> 59.74KVAH</t>
  </si>
  <si>
    <t>29.38KVARH</t>
  </si>
  <si>
    <t xml:space="preserve">  15:42:37</t>
  </si>
  <si>
    <t xml:space="preserve">  52.04KWH</t>
  </si>
  <si>
    <t xml:space="preserve"> 59.77KVAH</t>
  </si>
  <si>
    <t>29.39KVARH</t>
  </si>
  <si>
    <t xml:space="preserve">  15:42:39</t>
  </si>
  <si>
    <t xml:space="preserve">  52.07KWH</t>
  </si>
  <si>
    <t xml:space="preserve"> 59.80KVAH</t>
  </si>
  <si>
    <t>29.41KVARH</t>
  </si>
  <si>
    <t xml:space="preserve">  15:42:41</t>
  </si>
  <si>
    <t xml:space="preserve">  52.10KWH</t>
  </si>
  <si>
    <t xml:space="preserve"> 59.84KVAH</t>
  </si>
  <si>
    <t>29.43KVARH</t>
  </si>
  <si>
    <t xml:space="preserve">  15:42:43</t>
  </si>
  <si>
    <t xml:space="preserve">  52.13KWH</t>
  </si>
  <si>
    <t xml:space="preserve"> 59.87KVAH</t>
  </si>
  <si>
    <t>29.44KVARH</t>
  </si>
  <si>
    <t xml:space="preserve">  15:42:45</t>
  </si>
  <si>
    <t xml:space="preserve">  52.15KWH</t>
  </si>
  <si>
    <t xml:space="preserve"> 59.90KVAH</t>
  </si>
  <si>
    <t>29.46KVARH</t>
  </si>
  <si>
    <t xml:space="preserve">  15:42:47</t>
  </si>
  <si>
    <t xml:space="preserve">  52.18KWH</t>
  </si>
  <si>
    <t xml:space="preserve"> 59.93KVAH</t>
  </si>
  <si>
    <t>29.47KVARH</t>
  </si>
  <si>
    <t xml:space="preserve">  15:42:49</t>
  </si>
  <si>
    <t xml:space="preserve">  52.21KWH</t>
  </si>
  <si>
    <t xml:space="preserve"> 59.97KVAH</t>
  </si>
  <si>
    <t>29.49KVARH</t>
  </si>
  <si>
    <t xml:space="preserve">  15:42:51</t>
  </si>
  <si>
    <t xml:space="preserve">  52.24KWH</t>
  </si>
  <si>
    <t xml:space="preserve"> 60.00KVAH</t>
  </si>
  <si>
    <t>29.51KVARH</t>
  </si>
  <si>
    <t xml:space="preserve">  15:42:53</t>
  </si>
  <si>
    <t xml:space="preserve">  52.27KWH</t>
  </si>
  <si>
    <t xml:space="preserve"> 60.03KVAH</t>
  </si>
  <si>
    <t>29.52KVARH</t>
  </si>
  <si>
    <t xml:space="preserve">  15:42:55</t>
  </si>
  <si>
    <t xml:space="preserve">  52.29KWH</t>
  </si>
  <si>
    <t xml:space="preserve"> 60.06KVAH</t>
  </si>
  <si>
    <t>29.54KVARH</t>
  </si>
  <si>
    <t xml:space="preserve">  15:42:57</t>
  </si>
  <si>
    <t xml:space="preserve">  52.32KWH</t>
  </si>
  <si>
    <t xml:space="preserve"> 60.10KVAH</t>
  </si>
  <si>
    <t>29.56KVARH</t>
  </si>
  <si>
    <t xml:space="preserve">  15:42:59</t>
  </si>
  <si>
    <t xml:space="preserve">  52.35KWH</t>
  </si>
  <si>
    <t xml:space="preserve"> 60.13KVAH</t>
  </si>
  <si>
    <t>29.57KVARH</t>
  </si>
  <si>
    <t xml:space="preserve">  15:43:01</t>
  </si>
  <si>
    <t xml:space="preserve">    114.9A</t>
  </si>
  <si>
    <t xml:space="preserve">   53.82KW</t>
  </si>
  <si>
    <t xml:space="preserve">  62.10KVA</t>
  </si>
  <si>
    <t>-31.02KVAR</t>
  </si>
  <si>
    <t xml:space="preserve">  52.38KWH</t>
  </si>
  <si>
    <t xml:space="preserve"> 60.16KVAH</t>
  </si>
  <si>
    <t>29.59KVARH</t>
  </si>
  <si>
    <t xml:space="preserve">  15:43:03</t>
  </si>
  <si>
    <t xml:space="preserve">  90.99KVA</t>
  </si>
  <si>
    <t xml:space="preserve">  52.43KWH</t>
  </si>
  <si>
    <t xml:space="preserve"> 60.21KVAH</t>
  </si>
  <si>
    <t>29.61KVARH</t>
  </si>
  <si>
    <t xml:space="preserve">  15:43:05</t>
  </si>
  <si>
    <t xml:space="preserve">  52.47KWH</t>
  </si>
  <si>
    <t xml:space="preserve"> 60.26KVAH</t>
  </si>
  <si>
    <t>29.63KVARH</t>
  </si>
  <si>
    <t xml:space="preserve">  15:43:07</t>
  </si>
  <si>
    <t>-40.86KVAR</t>
  </si>
  <si>
    <t xml:space="preserve">  52.52KWH</t>
  </si>
  <si>
    <t xml:space="preserve"> 60.32KVAH</t>
  </si>
  <si>
    <t>29.66KVARH</t>
  </si>
  <si>
    <t xml:space="preserve">  15:43:09</t>
  </si>
  <si>
    <t xml:space="preserve">  52.55KWH</t>
  </si>
  <si>
    <t xml:space="preserve"> 60.35KVAH</t>
  </si>
  <si>
    <t>29.67KVARH</t>
  </si>
  <si>
    <t xml:space="preserve">  15:43:11</t>
  </si>
  <si>
    <t xml:space="preserve">  52.58KWH</t>
  </si>
  <si>
    <t xml:space="preserve"> 60.38KVAH</t>
  </si>
  <si>
    <t>29.69KVARH</t>
  </si>
  <si>
    <t xml:space="preserve">  15:43:13</t>
  </si>
  <si>
    <t xml:space="preserve">  52.61KWH</t>
  </si>
  <si>
    <t xml:space="preserve"> 60.42KVAH</t>
  </si>
  <si>
    <t>29.71KVARH</t>
  </si>
  <si>
    <t xml:space="preserve">  15:43:15</t>
  </si>
  <si>
    <t xml:space="preserve">  52.63KWH</t>
  </si>
  <si>
    <t xml:space="preserve"> 60.45KVAH</t>
  </si>
  <si>
    <t>29.72KVARH</t>
  </si>
  <si>
    <t xml:space="preserve">  15:43:17</t>
  </si>
  <si>
    <t xml:space="preserve">  52.66KWH</t>
  </si>
  <si>
    <t xml:space="preserve"> 60.48KVAH</t>
  </si>
  <si>
    <t>29.74KVARH</t>
  </si>
  <si>
    <t xml:space="preserve">  15:43:19</t>
  </si>
  <si>
    <t xml:space="preserve">  52.69KWH</t>
  </si>
  <si>
    <t xml:space="preserve"> 60.52KVAH</t>
  </si>
  <si>
    <t>29.76KVARH</t>
  </si>
  <si>
    <t xml:space="preserve">  15:43:21</t>
  </si>
  <si>
    <t xml:space="preserve">  52.72KWH</t>
  </si>
  <si>
    <t xml:space="preserve"> 60.55KVAH</t>
  </si>
  <si>
    <t>29.77KVARH</t>
  </si>
  <si>
    <t xml:space="preserve">  15:43:23</t>
  </si>
  <si>
    <t xml:space="preserve">  52.75KWH</t>
  </si>
  <si>
    <t xml:space="preserve"> 60.58KVAH</t>
  </si>
  <si>
    <t>29.79KVARH</t>
  </si>
  <si>
    <t xml:space="preserve">  15:43:25</t>
  </si>
  <si>
    <t xml:space="preserve">  52.78KWH</t>
  </si>
  <si>
    <t xml:space="preserve"> 60.62KVAH</t>
  </si>
  <si>
    <t>29.81KVARH</t>
  </si>
  <si>
    <t xml:space="preserve">  15:43:27</t>
  </si>
  <si>
    <t xml:space="preserve">  52.81KWH</t>
  </si>
  <si>
    <t xml:space="preserve"> 60.65KVAH</t>
  </si>
  <si>
    <t>29.82KVARH</t>
  </si>
  <si>
    <t xml:space="preserve">  15:43:29</t>
  </si>
  <si>
    <t xml:space="preserve">  52.84KWH</t>
  </si>
  <si>
    <t xml:space="preserve"> 60.68KVAH</t>
  </si>
  <si>
    <t>29.84KVARH</t>
  </si>
  <si>
    <t xml:space="preserve">  15:43:31</t>
  </si>
  <si>
    <t xml:space="preserve">  52.87KWH</t>
  </si>
  <si>
    <t xml:space="preserve"> 60.72KVAH</t>
  </si>
  <si>
    <t>29.86KVARH</t>
  </si>
  <si>
    <t xml:space="preserve">  15:43:33</t>
  </si>
  <si>
    <t xml:space="preserve">  52.90KWH</t>
  </si>
  <si>
    <t xml:space="preserve"> 60.75KVAH</t>
  </si>
  <si>
    <t>29.87KVARH</t>
  </si>
  <si>
    <t xml:space="preserve">  15:43:35</t>
  </si>
  <si>
    <t xml:space="preserve">  52.92KWH</t>
  </si>
  <si>
    <t xml:space="preserve"> 60.78KVAH</t>
  </si>
  <si>
    <t>29.89KVARH</t>
  </si>
  <si>
    <t xml:space="preserve">  15:43:37</t>
  </si>
  <si>
    <t xml:space="preserve">  52.95KWH</t>
  </si>
  <si>
    <t xml:space="preserve"> 60.82KVAH</t>
  </si>
  <si>
    <t>29.91KVARH</t>
  </si>
  <si>
    <t xml:space="preserve">  15:43:39</t>
  </si>
  <si>
    <t xml:space="preserve">  52.98KWH</t>
  </si>
  <si>
    <t xml:space="preserve"> 60.85KVAH</t>
  </si>
  <si>
    <t>29.92KVARH</t>
  </si>
  <si>
    <t xml:space="preserve">  15:43:41</t>
  </si>
  <si>
    <t xml:space="preserve">  53.01KWH</t>
  </si>
  <si>
    <t xml:space="preserve"> 60.88KVAH</t>
  </si>
  <si>
    <t>29.94KVARH</t>
  </si>
  <si>
    <t xml:space="preserve">  15:43:43</t>
  </si>
  <si>
    <t xml:space="preserve">  53.04KWH</t>
  </si>
  <si>
    <t xml:space="preserve"> 60.92KVAH</t>
  </si>
  <si>
    <t>29.96KVARH</t>
  </si>
  <si>
    <t xml:space="preserve">  15:43:45</t>
  </si>
  <si>
    <t xml:space="preserve">  53.07KWH</t>
  </si>
  <si>
    <t xml:space="preserve"> 60.95KVAH</t>
  </si>
  <si>
    <t>29.97KVARH</t>
  </si>
  <si>
    <t xml:space="preserve">  15:43:47</t>
  </si>
  <si>
    <t xml:space="preserve">  53.10KWH</t>
  </si>
  <si>
    <t xml:space="preserve"> 60.98KVAH</t>
  </si>
  <si>
    <t>29.99KVARH</t>
  </si>
  <si>
    <t xml:space="preserve">  15:43:49</t>
  </si>
  <si>
    <t xml:space="preserve">  53.13KWH</t>
  </si>
  <si>
    <t xml:space="preserve"> 61.02KVAH</t>
  </si>
  <si>
    <t>30.01KVARH</t>
  </si>
  <si>
    <t xml:space="preserve">  15:43:51</t>
  </si>
  <si>
    <t xml:space="preserve">  53.15KWH</t>
  </si>
  <si>
    <t xml:space="preserve"> 61.05KVAH</t>
  </si>
  <si>
    <t>30.02KVARH</t>
  </si>
  <si>
    <t xml:space="preserve">  15:43:53</t>
  </si>
  <si>
    <t xml:space="preserve">  53.18KWH</t>
  </si>
  <si>
    <t xml:space="preserve"> 61.08KVAH</t>
  </si>
  <si>
    <t>30.04KVARH</t>
  </si>
  <si>
    <t xml:space="preserve">  15:43:55</t>
  </si>
  <si>
    <t xml:space="preserve">  53.21KWH</t>
  </si>
  <si>
    <t xml:space="preserve"> 61.12KVAH</t>
  </si>
  <si>
    <t>30.05KVARH</t>
  </si>
  <si>
    <t xml:space="preserve">  15:43:57</t>
  </si>
  <si>
    <t xml:space="preserve">  53.24KWH</t>
  </si>
  <si>
    <t xml:space="preserve"> 61.15KVAH</t>
  </si>
  <si>
    <t>30.07KVARH</t>
  </si>
  <si>
    <t xml:space="preserve">  15:43:59</t>
  </si>
  <si>
    <t xml:space="preserve">  53.27KWH</t>
  </si>
  <si>
    <t xml:space="preserve"> 61.18KVAH</t>
  </si>
  <si>
    <t>30.09KVARH</t>
  </si>
  <si>
    <t xml:space="preserve">  15:44:01</t>
  </si>
  <si>
    <t xml:space="preserve">  53.30KWH</t>
  </si>
  <si>
    <t xml:space="preserve"> 61.21KVAH</t>
  </si>
  <si>
    <t>30.10KVARH</t>
  </si>
  <si>
    <t xml:space="preserve">  15:44:03</t>
  </si>
  <si>
    <t xml:space="preserve">  53.33KWH</t>
  </si>
  <si>
    <t xml:space="preserve"> 61.25KVAH</t>
  </si>
  <si>
    <t>30.12KVARH</t>
  </si>
  <si>
    <t xml:space="preserve">  15:44:05</t>
  </si>
  <si>
    <t xml:space="preserve">  53.35KWH</t>
  </si>
  <si>
    <t xml:space="preserve"> 61.28KVAH</t>
  </si>
  <si>
    <t>30.14KVARH</t>
  </si>
  <si>
    <t xml:space="preserve">  15:44:07</t>
  </si>
  <si>
    <t xml:space="preserve">  53.38KWH</t>
  </si>
  <si>
    <t xml:space="preserve"> 61.31KVAH</t>
  </si>
  <si>
    <t>30.15KVARH</t>
  </si>
  <si>
    <t xml:space="preserve">  15:44:09</t>
  </si>
  <si>
    <t xml:space="preserve">  53.41KWH</t>
  </si>
  <si>
    <t xml:space="preserve"> 61.34KVAH</t>
  </si>
  <si>
    <t>30.17KVARH</t>
  </si>
  <si>
    <t xml:space="preserve">  15:44:11</t>
  </si>
  <si>
    <t xml:space="preserve">  53.44KWH</t>
  </si>
  <si>
    <t xml:space="preserve"> 61.38KVAH</t>
  </si>
  <si>
    <t>30.19KVARH</t>
  </si>
  <si>
    <t xml:space="preserve">  15:44:13</t>
  </si>
  <si>
    <t xml:space="preserve">  53.47KWH</t>
  </si>
  <si>
    <t xml:space="preserve"> 61.41KVAH</t>
  </si>
  <si>
    <t>30.20KVARH</t>
  </si>
  <si>
    <t xml:space="preserve">  15:44:15</t>
  </si>
  <si>
    <t xml:space="preserve">  53.49KWH</t>
  </si>
  <si>
    <t xml:space="preserve"> 61.44KVAH</t>
  </si>
  <si>
    <t>30.22KVARH</t>
  </si>
  <si>
    <t xml:space="preserve">  15:44:17</t>
  </si>
  <si>
    <t xml:space="preserve">  53.52KWH</t>
  </si>
  <si>
    <t xml:space="preserve"> 61.47KVAH</t>
  </si>
  <si>
    <t>30.24KVARH</t>
  </si>
  <si>
    <t xml:space="preserve">  15:44:19</t>
  </si>
  <si>
    <t xml:space="preserve">    93.21A</t>
  </si>
  <si>
    <t xml:space="preserve">    134.2A</t>
  </si>
  <si>
    <t xml:space="preserve">   57.75KW</t>
  </si>
  <si>
    <t xml:space="preserve">  66.00KVA</t>
  </si>
  <si>
    <t>-32.01KVAR</t>
  </si>
  <si>
    <t xml:space="preserve">  53.55KWH</t>
  </si>
  <si>
    <t xml:space="preserve"> 61.51KVAH</t>
  </si>
  <si>
    <t>30.25KVARH</t>
  </si>
  <si>
    <t xml:space="preserve">  15:44:21</t>
  </si>
  <si>
    <t xml:space="preserve">   81.78KW</t>
  </si>
  <si>
    <t xml:space="preserve">  53.60KWH</t>
  </si>
  <si>
    <t xml:space="preserve"> 61.56KVAH</t>
  </si>
  <si>
    <t>30.28KVARH</t>
  </si>
  <si>
    <t xml:space="preserve">  15:44:23</t>
  </si>
  <si>
    <t xml:space="preserve">  53.65KWH</t>
  </si>
  <si>
    <t xml:space="preserve"> 61.61KVAH</t>
  </si>
  <si>
    <t>30.30KVARH</t>
  </si>
  <si>
    <t xml:space="preserve">  15:44:25</t>
  </si>
  <si>
    <t xml:space="preserve">    139.9A</t>
  </si>
  <si>
    <t xml:space="preserve">  53.69KWH</t>
  </si>
  <si>
    <t xml:space="preserve"> 61.66KVAH</t>
  </si>
  <si>
    <t>30.32KVARH</t>
  </si>
  <si>
    <t xml:space="preserve">  15:44:27</t>
  </si>
  <si>
    <t xml:space="preserve">  53.72KWH</t>
  </si>
  <si>
    <t xml:space="preserve"> 61.70KVAH</t>
  </si>
  <si>
    <t>30.34KVARH</t>
  </si>
  <si>
    <t xml:space="preserve">  15:44:29</t>
  </si>
  <si>
    <t xml:space="preserve">  53.75KWH</t>
  </si>
  <si>
    <t xml:space="preserve"> 61.73KVAH</t>
  </si>
  <si>
    <t>30.35KVARH</t>
  </si>
  <si>
    <t xml:space="preserve">  15:44:31</t>
  </si>
  <si>
    <t xml:space="preserve">  53.78KWH</t>
  </si>
  <si>
    <t xml:space="preserve"> 61.76KVAH</t>
  </si>
  <si>
    <t>30.37KVARH</t>
  </si>
  <si>
    <t xml:space="preserve">  15:44:33</t>
  </si>
  <si>
    <t xml:space="preserve">  53.81KWH</t>
  </si>
  <si>
    <t xml:space="preserve"> 61.80KVAH</t>
  </si>
  <si>
    <t>30.39KVARH</t>
  </si>
  <si>
    <t xml:space="preserve">  15:44:35</t>
  </si>
  <si>
    <t xml:space="preserve">  53.84KWH</t>
  </si>
  <si>
    <t xml:space="preserve"> 61.83KVAH</t>
  </si>
  <si>
    <t>30.40KVARH</t>
  </si>
  <si>
    <t xml:space="preserve">  15:44:37</t>
  </si>
  <si>
    <t xml:space="preserve">  53.87KWH</t>
  </si>
  <si>
    <t xml:space="preserve"> 61.86KVAH</t>
  </si>
  <si>
    <t>30.42KVARH</t>
  </si>
  <si>
    <t xml:space="preserve">  15:44:39</t>
  </si>
  <si>
    <t xml:space="preserve">  53.89KWH</t>
  </si>
  <si>
    <t xml:space="preserve"> 61.90KVAH</t>
  </si>
  <si>
    <t>30.44KVARH</t>
  </si>
  <si>
    <t xml:space="preserve">  15:44:41</t>
  </si>
  <si>
    <t xml:space="preserve">  53.92KWH</t>
  </si>
  <si>
    <t xml:space="preserve"> 61.93KVAH</t>
  </si>
  <si>
    <t>30.45KVARH</t>
  </si>
  <si>
    <t xml:space="preserve">  15:44:43</t>
  </si>
  <si>
    <t xml:space="preserve">  53.95KWH</t>
  </si>
  <si>
    <t xml:space="preserve"> 61.96KVAH</t>
  </si>
  <si>
    <t>30.47KVARH</t>
  </si>
  <si>
    <t xml:space="preserve">  15:44:45</t>
  </si>
  <si>
    <t xml:space="preserve">  53.98KWH</t>
  </si>
  <si>
    <t xml:space="preserve"> 62.00KVAH</t>
  </si>
  <si>
    <t>30.49KVARH</t>
  </si>
  <si>
    <t xml:space="preserve">  15:44:47</t>
  </si>
  <si>
    <t xml:space="preserve">  54.01KWH</t>
  </si>
  <si>
    <t xml:space="preserve"> 62.03KVAH</t>
  </si>
  <si>
    <t>30.50KVARH</t>
  </si>
  <si>
    <t xml:space="preserve">  15:44:49</t>
  </si>
  <si>
    <t xml:space="preserve">  54.04KWH</t>
  </si>
  <si>
    <t xml:space="preserve"> 62.06KVAH</t>
  </si>
  <si>
    <t>30.52KVARH</t>
  </si>
  <si>
    <t xml:space="preserve">  15:44:51</t>
  </si>
  <si>
    <t xml:space="preserve">  54.07KWH</t>
  </si>
  <si>
    <t xml:space="preserve"> 62.09KVAH</t>
  </si>
  <si>
    <t>30.53KVARH</t>
  </si>
  <si>
    <t xml:space="preserve">  15:44:53</t>
  </si>
  <si>
    <t xml:space="preserve">  54.09KWH</t>
  </si>
  <si>
    <t xml:space="preserve"> 62.13KVAH</t>
  </si>
  <si>
    <t>30.55KVARH</t>
  </si>
  <si>
    <t xml:space="preserve">   54.48KW</t>
  </si>
  <si>
    <t xml:space="preserve">  62.45KVA</t>
  </si>
  <si>
    <t xml:space="preserve">  15:44:55</t>
  </si>
  <si>
    <t xml:space="preserve">  54.12KWH</t>
  </si>
  <si>
    <t xml:space="preserve"> 62.16KVAH</t>
  </si>
  <si>
    <t>30.57KVARH</t>
  </si>
  <si>
    <t xml:space="preserve">  15:44:57</t>
  </si>
  <si>
    <t xml:space="preserve">  54.15KWH</t>
  </si>
  <si>
    <t xml:space="preserve"> 62.19KVAH</t>
  </si>
  <si>
    <t>30.58KVARH</t>
  </si>
  <si>
    <t xml:space="preserve">  15:44:59</t>
  </si>
  <si>
    <t xml:space="preserve">  54.18KWH</t>
  </si>
  <si>
    <t xml:space="preserve"> 62.22KVAH</t>
  </si>
  <si>
    <t>30.60KVARH</t>
  </si>
  <si>
    <t xml:space="preserve">  15:45:01</t>
  </si>
  <si>
    <t xml:space="preserve">  54.21KWH</t>
  </si>
  <si>
    <t xml:space="preserve"> 62.26KVAH</t>
  </si>
  <si>
    <t>30.62KVARH</t>
  </si>
  <si>
    <t xml:space="preserve">  15:45:03</t>
  </si>
  <si>
    <t xml:space="preserve">    145.5A</t>
  </si>
  <si>
    <t xml:space="preserve">  90.39KVA</t>
  </si>
  <si>
    <t xml:space="preserve">  54.25KWH</t>
  </si>
  <si>
    <t xml:space="preserve"> 62.31KVAH</t>
  </si>
  <si>
    <t>30.64KVARH</t>
  </si>
  <si>
    <t xml:space="preserve">  15:45:05</t>
  </si>
  <si>
    <t xml:space="preserve">  54.30KWH</t>
  </si>
  <si>
    <t xml:space="preserve"> 62.36KVAH</t>
  </si>
  <si>
    <t>30.66KVARH</t>
  </si>
  <si>
    <t xml:space="preserve">  15:45:07</t>
  </si>
  <si>
    <t xml:space="preserve">  54.34KWH</t>
  </si>
  <si>
    <t xml:space="preserve"> 62.41KVAH</t>
  </si>
  <si>
    <t>30.68KVARH</t>
  </si>
  <si>
    <t xml:space="preserve">  15:45:09</t>
  </si>
  <si>
    <t xml:space="preserve">  54.39KWH</t>
  </si>
  <si>
    <t xml:space="preserve"> 62.46KVAH</t>
  </si>
  <si>
    <t>30.71KVARH</t>
  </si>
  <si>
    <t xml:space="preserve">  15:45:11</t>
  </si>
  <si>
    <t xml:space="preserve">  54.42KWH</t>
  </si>
  <si>
    <t xml:space="preserve"> 62.49KVAH</t>
  </si>
  <si>
    <t>30.72KVARH</t>
  </si>
  <si>
    <t xml:space="preserve">  15:45:13</t>
  </si>
  <si>
    <t xml:space="preserve">  54.45KWH</t>
  </si>
  <si>
    <t xml:space="preserve"> 62.53KVAH</t>
  </si>
  <si>
    <t>30.74KVARH</t>
  </si>
  <si>
    <t xml:space="preserve">  15:45:15</t>
  </si>
  <si>
    <t xml:space="preserve">  54.47KWH</t>
  </si>
  <si>
    <t xml:space="preserve"> 62.56KVAH</t>
  </si>
  <si>
    <t>30.76KVARH</t>
  </si>
  <si>
    <t xml:space="preserve">  15:45:17</t>
  </si>
  <si>
    <t xml:space="preserve">  54.50KWH</t>
  </si>
  <si>
    <t xml:space="preserve"> 62.59KVAH</t>
  </si>
  <si>
    <t>30.77KVARH</t>
  </si>
  <si>
    <t xml:space="preserve">  15:45:19</t>
  </si>
  <si>
    <t xml:space="preserve">  54.53KWH</t>
  </si>
  <si>
    <t xml:space="preserve"> 62.63KVAH</t>
  </si>
  <si>
    <t>30.79KVARH</t>
  </si>
  <si>
    <t xml:space="preserve">  15:45:21</t>
  </si>
  <si>
    <t xml:space="preserve">  54.56KWH</t>
  </si>
  <si>
    <t xml:space="preserve"> 62.66KVAH</t>
  </si>
  <si>
    <t>30.81KVARH</t>
  </si>
  <si>
    <t xml:space="preserve">  15:45:23</t>
  </si>
  <si>
    <t xml:space="preserve">  54.59KWH</t>
  </si>
  <si>
    <t xml:space="preserve"> 62.69KVAH</t>
  </si>
  <si>
    <t>30.82KVARH</t>
  </si>
  <si>
    <t xml:space="preserve">  15:45:25</t>
  </si>
  <si>
    <t xml:space="preserve">  54.62KWH</t>
  </si>
  <si>
    <t xml:space="preserve"> 62.73KVAH</t>
  </si>
  <si>
    <t>30.84KVARH</t>
  </si>
  <si>
    <t xml:space="preserve">  15:45:27</t>
  </si>
  <si>
    <t xml:space="preserve">  54.65KWH</t>
  </si>
  <si>
    <t xml:space="preserve"> 62.76KVAH</t>
  </si>
  <si>
    <t>30.86KVARH</t>
  </si>
  <si>
    <t xml:space="preserve">  15:45:29</t>
  </si>
  <si>
    <t xml:space="preserve">  54.68KWH</t>
  </si>
  <si>
    <t xml:space="preserve"> 62.79KVAH</t>
  </si>
  <si>
    <t>30.87KVARH</t>
  </si>
  <si>
    <t xml:space="preserve">  15:45:31</t>
  </si>
  <si>
    <t xml:space="preserve">  54.70KWH</t>
  </si>
  <si>
    <t xml:space="preserve"> 62.82KVAH</t>
  </si>
  <si>
    <t>30.89KVARH</t>
  </si>
  <si>
    <t xml:space="preserve">  15:45:33</t>
  </si>
  <si>
    <t xml:space="preserve">  54.73KWH</t>
  </si>
  <si>
    <t xml:space="preserve"> 62.86KVAH</t>
  </si>
  <si>
    <t>30.90KVARH</t>
  </si>
  <si>
    <t xml:space="preserve">  15:45:35</t>
  </si>
  <si>
    <t xml:space="preserve">  54.76KWH</t>
  </si>
  <si>
    <t xml:space="preserve"> 62.89KVAH</t>
  </si>
  <si>
    <t>30.92KVARH</t>
  </si>
  <si>
    <t xml:space="preserve">  15:45:37</t>
  </si>
  <si>
    <t xml:space="preserve">  54.79KWH</t>
  </si>
  <si>
    <t xml:space="preserve"> 62.92KVAH</t>
  </si>
  <si>
    <t>30.94KVARH</t>
  </si>
  <si>
    <t xml:space="preserve">  15:45:39</t>
  </si>
  <si>
    <t xml:space="preserve">  54.82KWH</t>
  </si>
  <si>
    <t xml:space="preserve"> 62.95KVAH</t>
  </si>
  <si>
    <t>30.95KVARH</t>
  </si>
  <si>
    <t xml:space="preserve">  15:45:41</t>
  </si>
  <si>
    <t xml:space="preserve">  54.84KWH</t>
  </si>
  <si>
    <t xml:space="preserve"> 62.99KVAH</t>
  </si>
  <si>
    <t>30.97KVARH</t>
  </si>
  <si>
    <t xml:space="preserve">  15:45:43</t>
  </si>
  <si>
    <t xml:space="preserve">  54.87KWH</t>
  </si>
  <si>
    <t xml:space="preserve"> 63.02KVAH</t>
  </si>
  <si>
    <t>30.99KVARH</t>
  </si>
  <si>
    <t xml:space="preserve">  15:45:45</t>
  </si>
  <si>
    <t xml:space="preserve">  54.90KWH</t>
  </si>
  <si>
    <t xml:space="preserve"> 63.05KVAH</t>
  </si>
  <si>
    <t>31.00KVARH</t>
  </si>
  <si>
    <t xml:space="preserve">  15:45:47</t>
  </si>
  <si>
    <t xml:space="preserve">  54.95KWH</t>
  </si>
  <si>
    <t xml:space="preserve"> 63.10KVAH</t>
  </si>
  <si>
    <t>31.02KVARH</t>
  </si>
  <si>
    <t xml:space="preserve">  15:45:49</t>
  </si>
  <si>
    <t xml:space="preserve">  91.95KVA</t>
  </si>
  <si>
    <t xml:space="preserve">  54.99KWH</t>
  </si>
  <si>
    <t xml:space="preserve"> 63.15KVAH</t>
  </si>
  <si>
    <t>31.05KVARH</t>
  </si>
  <si>
    <t xml:space="preserve">  15:45:51</t>
  </si>
  <si>
    <t xml:space="preserve">    140.2A</t>
  </si>
  <si>
    <t xml:space="preserve">  55.04KWH</t>
  </si>
  <si>
    <t xml:space="preserve"> 63.20KVAH</t>
  </si>
  <si>
    <t>31.07KVARH</t>
  </si>
  <si>
    <t xml:space="preserve">  15:45:53</t>
  </si>
  <si>
    <t xml:space="preserve">    90.60A</t>
  </si>
  <si>
    <t xml:space="preserve">  55.07KWH</t>
  </si>
  <si>
    <t xml:space="preserve"> 63.24KVAH</t>
  </si>
  <si>
    <t>31.09KVARH</t>
  </si>
  <si>
    <t xml:space="preserve">  15:45:55</t>
  </si>
  <si>
    <t xml:space="preserve">  55.10KWH</t>
  </si>
  <si>
    <t xml:space="preserve"> 63.27KVAH</t>
  </si>
  <si>
    <t>31.10KVARH</t>
  </si>
  <si>
    <t xml:space="preserve">  15:45:57</t>
  </si>
  <si>
    <t xml:space="preserve">  55.13KWH</t>
  </si>
  <si>
    <t xml:space="preserve"> 63.31KVAH</t>
  </si>
  <si>
    <t>31.12KVARH</t>
  </si>
  <si>
    <t xml:space="preserve">  15:45:59</t>
  </si>
  <si>
    <t xml:space="preserve">  55.15KWH</t>
  </si>
  <si>
    <t xml:space="preserve"> 63.34KVAH</t>
  </si>
  <si>
    <t>31.14KVARH</t>
  </si>
  <si>
    <t xml:space="preserve">  15:46:01</t>
  </si>
  <si>
    <t xml:space="preserve">  55.18KWH</t>
  </si>
  <si>
    <t xml:space="preserve"> 63.37KVAH</t>
  </si>
  <si>
    <t>31.15KVARH</t>
  </si>
  <si>
    <t xml:space="preserve">  15:46:03</t>
  </si>
  <si>
    <t xml:space="preserve">  55.21KWH</t>
  </si>
  <si>
    <t xml:space="preserve"> 63.41KVAH</t>
  </si>
  <si>
    <t>31.17KVARH</t>
  </si>
  <si>
    <t xml:space="preserve">  15:46:05</t>
  </si>
  <si>
    <t xml:space="preserve">  55.24KWH</t>
  </si>
  <si>
    <t xml:space="preserve"> 63.44KVAH</t>
  </si>
  <si>
    <t>31.19KVARH</t>
  </si>
  <si>
    <t xml:space="preserve">  15:46:07</t>
  </si>
  <si>
    <t xml:space="preserve">  55.27KWH</t>
  </si>
  <si>
    <t xml:space="preserve"> 63.47KVAH</t>
  </si>
  <si>
    <t>31.20KVARH</t>
  </si>
  <si>
    <t xml:space="preserve">  15:46:09</t>
  </si>
  <si>
    <t xml:space="preserve">  55.30KWH</t>
  </si>
  <si>
    <t xml:space="preserve"> 63.50KVAH</t>
  </si>
  <si>
    <t>31.22KVARH</t>
  </si>
  <si>
    <t xml:space="preserve">  15:46:11</t>
  </si>
  <si>
    <t xml:space="preserve">  55.33KWH</t>
  </si>
  <si>
    <t xml:space="preserve"> 63.54KVAH</t>
  </si>
  <si>
    <t>31.23KVARH</t>
  </si>
  <si>
    <t xml:space="preserve">  15:46:13</t>
  </si>
  <si>
    <t xml:space="preserve">  55.36KWH</t>
  </si>
  <si>
    <t xml:space="preserve"> 63.57KVAH</t>
  </si>
  <si>
    <t>31.25KVARH</t>
  </si>
  <si>
    <t xml:space="preserve">  15:46:15</t>
  </si>
  <si>
    <t xml:space="preserve">  55.38KWH</t>
  </si>
  <si>
    <t xml:space="preserve"> 63.60KVAH</t>
  </si>
  <si>
    <t>31.27KVARH</t>
  </si>
  <si>
    <t xml:space="preserve">  15:46:17</t>
  </si>
  <si>
    <t xml:space="preserve">  55.41KWH</t>
  </si>
  <si>
    <t xml:space="preserve"> 63.64KVAH</t>
  </si>
  <si>
    <t>31.28KVARH</t>
  </si>
  <si>
    <t xml:space="preserve">  15:46:19</t>
  </si>
  <si>
    <t xml:space="preserve">  55.44KWH</t>
  </si>
  <si>
    <t xml:space="preserve"> 63.67KVAH</t>
  </si>
  <si>
    <t>31.30KVARH</t>
  </si>
  <si>
    <t xml:space="preserve">  15:46:21</t>
  </si>
  <si>
    <t xml:space="preserve">  55.47KWH</t>
  </si>
  <si>
    <t xml:space="preserve"> 63.70KVAH</t>
  </si>
  <si>
    <t>31.32KVARH</t>
  </si>
  <si>
    <t xml:space="preserve">  15:46:23</t>
  </si>
  <si>
    <t xml:space="preserve">  55.50KWH</t>
  </si>
  <si>
    <t xml:space="preserve"> 63.73KVAH</t>
  </si>
  <si>
    <t>31.33KVARH</t>
  </si>
  <si>
    <t xml:space="preserve">  15:46:25</t>
  </si>
  <si>
    <t xml:space="preserve">  55.52KWH</t>
  </si>
  <si>
    <t xml:space="preserve"> 63.77KVAH</t>
  </si>
  <si>
    <t>31.35KVARH</t>
  </si>
  <si>
    <t xml:space="preserve">  15:46:27</t>
  </si>
  <si>
    <t xml:space="preserve">  55.55KWH</t>
  </si>
  <si>
    <t xml:space="preserve"> 63.80KVAH</t>
  </si>
  <si>
    <t>31.37KVARH</t>
  </si>
  <si>
    <t xml:space="preserve">  15:46:29</t>
  </si>
  <si>
    <t xml:space="preserve">  55.58KWH</t>
  </si>
  <si>
    <t xml:space="preserve"> 63.83KVAH</t>
  </si>
  <si>
    <t>31.38KVARH</t>
  </si>
  <si>
    <t xml:space="preserve">  15:46:31</t>
  </si>
  <si>
    <t xml:space="preserve">  55.61KWH</t>
  </si>
  <si>
    <t xml:space="preserve"> 63.86KVAH</t>
  </si>
  <si>
    <t>31.40KVARH</t>
  </si>
  <si>
    <t xml:space="preserve">  15:46:33</t>
  </si>
  <si>
    <t xml:space="preserve">  89.79KVA</t>
  </si>
  <si>
    <t xml:space="preserve">  55.65KWH</t>
  </si>
  <si>
    <t xml:space="preserve"> 63.91KVAH</t>
  </si>
  <si>
    <t>31.42KVARH</t>
  </si>
  <si>
    <t xml:space="preserve">  15:46:35</t>
  </si>
  <si>
    <t xml:space="preserve">  55.70KWH</t>
  </si>
  <si>
    <t xml:space="preserve"> 63.96KVAH</t>
  </si>
  <si>
    <t>31.44KVARH</t>
  </si>
  <si>
    <t xml:space="preserve">  15:46:37</t>
  </si>
  <si>
    <t xml:space="preserve">  55.74KWH</t>
  </si>
  <si>
    <t xml:space="preserve"> 64.02KVAH</t>
  </si>
  <si>
    <t>31.47KVARH</t>
  </si>
  <si>
    <t xml:space="preserve">  15:46:39</t>
  </si>
  <si>
    <t xml:space="preserve">    128.3A</t>
  </si>
  <si>
    <t xml:space="preserve">   71.52KW</t>
  </si>
  <si>
    <t xml:space="preserve">  80.64KVA</t>
  </si>
  <si>
    <t>-37.26KVAR</t>
  </si>
  <si>
    <t xml:space="preserve">  55.78KWH</t>
  </si>
  <si>
    <t xml:space="preserve"> 64.06KVAH</t>
  </si>
  <si>
    <t>31.49KVARH</t>
  </si>
  <si>
    <t xml:space="preserve">  15:46:41</t>
  </si>
  <si>
    <t xml:space="preserve">  55.81KWH</t>
  </si>
  <si>
    <t xml:space="preserve"> 64.09KVAH</t>
  </si>
  <si>
    <t>31.50KVARH</t>
  </si>
  <si>
    <t xml:space="preserve">  15:46:43</t>
  </si>
  <si>
    <t xml:space="preserve">  55.84KWH</t>
  </si>
  <si>
    <t xml:space="preserve"> 64.13KVAH</t>
  </si>
  <si>
    <t>31.52KVARH</t>
  </si>
  <si>
    <t xml:space="preserve">  15:46:45</t>
  </si>
  <si>
    <t xml:space="preserve">  55.87KWH</t>
  </si>
  <si>
    <t xml:space="preserve"> 64.16KVAH</t>
  </si>
  <si>
    <t>31.54KVARH</t>
  </si>
  <si>
    <t xml:space="preserve">  15:46:47</t>
  </si>
  <si>
    <t xml:space="preserve">  55.90KWH</t>
  </si>
  <si>
    <t xml:space="preserve"> 64.19KVAH</t>
  </si>
  <si>
    <t>31.55KVARH</t>
  </si>
  <si>
    <t xml:space="preserve">  15:46:49</t>
  </si>
  <si>
    <t xml:space="preserve">  55.93KWH</t>
  </si>
  <si>
    <t xml:space="preserve"> 64.23KVAH</t>
  </si>
  <si>
    <t>31.57KVARH</t>
  </si>
  <si>
    <t xml:space="preserve">  15:46:51</t>
  </si>
  <si>
    <t xml:space="preserve">  55.96KWH</t>
  </si>
  <si>
    <t xml:space="preserve"> 64.26KVAH</t>
  </si>
  <si>
    <t>31.59KVARH</t>
  </si>
  <si>
    <t xml:space="preserve">  15:46:53</t>
  </si>
  <si>
    <t xml:space="preserve">  55.99KWH</t>
  </si>
  <si>
    <t xml:space="preserve"> 64.29KVAH</t>
  </si>
  <si>
    <t>31.60KVARH</t>
  </si>
  <si>
    <t xml:space="preserve">  15:46:55</t>
  </si>
  <si>
    <t xml:space="preserve">  56.02KWH</t>
  </si>
  <si>
    <t xml:space="preserve"> 64.33KVAH</t>
  </si>
  <si>
    <t>31.62KVARH</t>
  </si>
  <si>
    <t xml:space="preserve">  15:46:57</t>
  </si>
  <si>
    <t xml:space="preserve">  56.04KWH</t>
  </si>
  <si>
    <t xml:space="preserve"> 64.36KVAH</t>
  </si>
  <si>
    <t>31.64KVARH</t>
  </si>
  <si>
    <t xml:space="preserve">  15:46:59</t>
  </si>
  <si>
    <t xml:space="preserve">  56.07KWH</t>
  </si>
  <si>
    <t xml:space="preserve"> 64.39KVAH</t>
  </si>
  <si>
    <t>31.65KVARH</t>
  </si>
  <si>
    <t xml:space="preserve">  15:47:01</t>
  </si>
  <si>
    <t xml:space="preserve">  56.10KWH</t>
  </si>
  <si>
    <t xml:space="preserve"> 64.43KVAH</t>
  </si>
  <si>
    <t>31.67KVARH</t>
  </si>
  <si>
    <t xml:space="preserve">  15:47:03</t>
  </si>
  <si>
    <t xml:space="preserve">  56.13KWH</t>
  </si>
  <si>
    <t xml:space="preserve"> 64.46KVAH</t>
  </si>
  <si>
    <t>31.68KVARH</t>
  </si>
  <si>
    <t xml:space="preserve">  15:47:05</t>
  </si>
  <si>
    <t xml:space="preserve">  56.16KWH</t>
  </si>
  <si>
    <t xml:space="preserve"> 64.49KVAH</t>
  </si>
  <si>
    <t>31.70KVARH</t>
  </si>
  <si>
    <t xml:space="preserve">  15:47:07</t>
  </si>
  <si>
    <t xml:space="preserve">  56.19KWH</t>
  </si>
  <si>
    <t xml:space="preserve"> 64.52KVAH</t>
  </si>
  <si>
    <t>31.72KVARH</t>
  </si>
  <si>
    <t xml:space="preserve">  15:47:09</t>
  </si>
  <si>
    <t xml:space="preserve">  56.21KWH</t>
  </si>
  <si>
    <t xml:space="preserve"> 64.56KVAH</t>
  </si>
  <si>
    <t>31.73KVARH</t>
  </si>
  <si>
    <t xml:space="preserve">  15:47:11</t>
  </si>
  <si>
    <t xml:space="preserve">  56.24KWH</t>
  </si>
  <si>
    <t xml:space="preserve"> 64.59KVAH</t>
  </si>
  <si>
    <t>31.75KVARH</t>
  </si>
  <si>
    <t xml:space="preserve">  15:47:13</t>
  </si>
  <si>
    <t xml:space="preserve">  56.27KWH</t>
  </si>
  <si>
    <t xml:space="preserve"> 64.62KVAH</t>
  </si>
  <si>
    <t>31.77KVARH</t>
  </si>
  <si>
    <t xml:space="preserve">  15:47:15</t>
  </si>
  <si>
    <t xml:space="preserve">  56.30KWH</t>
  </si>
  <si>
    <t xml:space="preserve"> 64.65KVAH</t>
  </si>
  <si>
    <t>31.78KVARH</t>
  </si>
  <si>
    <t xml:space="preserve">  15:47:17</t>
  </si>
  <si>
    <t xml:space="preserve">  56.33KWH</t>
  </si>
  <si>
    <t xml:space="preserve"> 64.68KVAH</t>
  </si>
  <si>
    <t>31.80KVARH</t>
  </si>
  <si>
    <t xml:space="preserve">  15:47:19</t>
  </si>
  <si>
    <t xml:space="preserve">   57.78KW</t>
  </si>
  <si>
    <t xml:space="preserve">  65.94KVA</t>
  </si>
  <si>
    <t xml:space="preserve">  56.36KWH</t>
  </si>
  <si>
    <t xml:space="preserve"> 64.72KVAH</t>
  </si>
  <si>
    <t>31.82KVARH</t>
  </si>
  <si>
    <t xml:space="preserve">  15:47:21</t>
  </si>
  <si>
    <t xml:space="preserve">    359.1V</t>
  </si>
  <si>
    <t xml:space="preserve">  56.40KWH</t>
  </si>
  <si>
    <t xml:space="preserve"> 64.77KVAH</t>
  </si>
  <si>
    <t>31.84KVARH</t>
  </si>
  <si>
    <t xml:space="preserve">  15:47:23</t>
  </si>
  <si>
    <t xml:space="preserve">  91.56KVA</t>
  </si>
  <si>
    <t xml:space="preserve">  56.45KWH</t>
  </si>
  <si>
    <t xml:space="preserve"> 64.82KVAH</t>
  </si>
  <si>
    <t>31.86KVARH</t>
  </si>
  <si>
    <t xml:space="preserve">  15:47:25</t>
  </si>
  <si>
    <t xml:space="preserve">    359.7V</t>
  </si>
  <si>
    <t xml:space="preserve">    140.7A</t>
  </si>
  <si>
    <t xml:space="preserve">  56.50KWH</t>
  </si>
  <si>
    <t xml:space="preserve"> 64.87KVAH</t>
  </si>
  <si>
    <t>31.88KVARH</t>
  </si>
  <si>
    <t xml:space="preserve">  15:47:27</t>
  </si>
  <si>
    <t xml:space="preserve">  56.52KWH</t>
  </si>
  <si>
    <t xml:space="preserve"> 64.91KVAH</t>
  </si>
  <si>
    <t>31.90KVARH</t>
  </si>
  <si>
    <t xml:space="preserve">  15:47:29</t>
  </si>
  <si>
    <t xml:space="preserve">  56.55KWH</t>
  </si>
  <si>
    <t xml:space="preserve"> 64.94KVAH</t>
  </si>
  <si>
    <t>31.92KVARH</t>
  </si>
  <si>
    <t xml:space="preserve">  15:47:31</t>
  </si>
  <si>
    <t xml:space="preserve">  56.58KWH</t>
  </si>
  <si>
    <t xml:space="preserve"> 64.97KVAH</t>
  </si>
  <si>
    <t>31.93KVARH</t>
  </si>
  <si>
    <t xml:space="preserve">  15:47:33</t>
  </si>
  <si>
    <t xml:space="preserve">  56.61KWH</t>
  </si>
  <si>
    <t xml:space="preserve"> 65.01KVAH</t>
  </si>
  <si>
    <t>31.95KVARH</t>
  </si>
  <si>
    <t xml:space="preserve">  15:47:35</t>
  </si>
  <si>
    <t xml:space="preserve">  56.64KWH</t>
  </si>
  <si>
    <t xml:space="preserve"> 65.04KVAH</t>
  </si>
  <si>
    <t>31.96KVARH</t>
  </si>
  <si>
    <t xml:space="preserve">  15:47:37</t>
  </si>
  <si>
    <t xml:space="preserve">  56.67KWH</t>
  </si>
  <si>
    <t xml:space="preserve"> 65.07KVAH</t>
  </si>
  <si>
    <t>31.98KVARH</t>
  </si>
  <si>
    <t xml:space="preserve">  15:47:39</t>
  </si>
  <si>
    <t xml:space="preserve">  56.70KWH</t>
  </si>
  <si>
    <t xml:space="preserve"> 65.11KVAH</t>
  </si>
  <si>
    <t>32.00KVARH</t>
  </si>
  <si>
    <t xml:space="preserve">  15:47:41</t>
  </si>
  <si>
    <t xml:space="preserve">  56.73KWH</t>
  </si>
  <si>
    <t xml:space="preserve"> 65.14KVAH</t>
  </si>
  <si>
    <t>32.01KVARH</t>
  </si>
  <si>
    <t xml:space="preserve">  15:47:43</t>
  </si>
  <si>
    <t xml:space="preserve">  56.76KWH</t>
  </si>
  <si>
    <t xml:space="preserve"> 65.17KVAH</t>
  </si>
  <si>
    <t>32.03KVARH</t>
  </si>
  <si>
    <t xml:space="preserve">  15:47:45</t>
  </si>
  <si>
    <t xml:space="preserve">  56.78KWH</t>
  </si>
  <si>
    <t xml:space="preserve"> 65.21KVAH</t>
  </si>
  <si>
    <t>32.05KVARH</t>
  </si>
  <si>
    <t xml:space="preserve">  15:47:47</t>
  </si>
  <si>
    <t xml:space="preserve">  56.81KWH</t>
  </si>
  <si>
    <t xml:space="preserve"> 65.24KVAH</t>
  </si>
  <si>
    <t>32.06KVARH</t>
  </si>
  <si>
    <t xml:space="preserve">  15:47:49</t>
  </si>
  <si>
    <t xml:space="preserve">  56.84KWH</t>
  </si>
  <si>
    <t xml:space="preserve"> 65.27KVAH</t>
  </si>
  <si>
    <t>32.08KVARH</t>
  </si>
  <si>
    <t xml:space="preserve">  15:47:51</t>
  </si>
  <si>
    <t xml:space="preserve">  56.87KWH</t>
  </si>
  <si>
    <t xml:space="preserve"> 65.30KVAH</t>
  </si>
  <si>
    <t>32.10KVARH</t>
  </si>
  <si>
    <t xml:space="preserve">  15:47:53</t>
  </si>
  <si>
    <t xml:space="preserve">  56.90KWH</t>
  </si>
  <si>
    <t xml:space="preserve"> 65.34KVAH</t>
  </si>
  <si>
    <t>32.11KVARH</t>
  </si>
  <si>
    <t xml:space="preserve">  15:47:55</t>
  </si>
  <si>
    <t xml:space="preserve">  56.93KWH</t>
  </si>
  <si>
    <t xml:space="preserve"> 65.37KVAH</t>
  </si>
  <si>
    <t>32.13KVARH</t>
  </si>
  <si>
    <t xml:space="preserve">  15:47:57</t>
  </si>
  <si>
    <t xml:space="preserve">  56.95KWH</t>
  </si>
  <si>
    <t xml:space="preserve"> 65.40KVAH</t>
  </si>
  <si>
    <t>32.14KVARH</t>
  </si>
  <si>
    <t xml:space="preserve">  15:47:59</t>
  </si>
  <si>
    <t xml:space="preserve">  56.98KWH</t>
  </si>
  <si>
    <t xml:space="preserve"> 65.43KVAH</t>
  </si>
  <si>
    <t>32.16KVARH</t>
  </si>
  <si>
    <t xml:space="preserve">  15:48:01</t>
  </si>
  <si>
    <t xml:space="preserve">  57.01KWH</t>
  </si>
  <si>
    <t xml:space="preserve"> 65.47KVAH</t>
  </si>
  <si>
    <t>32.18KVARH</t>
  </si>
  <si>
    <t xml:space="preserve">  15:48:03</t>
  </si>
  <si>
    <t xml:space="preserve">  57.04KWH</t>
  </si>
  <si>
    <t xml:space="preserve"> 65.50KVAH</t>
  </si>
  <si>
    <t>32.19KVARH</t>
  </si>
  <si>
    <t xml:space="preserve">  15:48:05</t>
  </si>
  <si>
    <t xml:space="preserve">  57.07KWH</t>
  </si>
  <si>
    <t xml:space="preserve"> 65.53KVAH</t>
  </si>
  <si>
    <t>32.21KVARH</t>
  </si>
  <si>
    <t xml:space="preserve">  15:48:07</t>
  </si>
  <si>
    <t xml:space="preserve">   80.82KW</t>
  </si>
  <si>
    <t xml:space="preserve">  90.00KVA</t>
  </si>
  <si>
    <t xml:space="preserve">  57.11KWH</t>
  </si>
  <si>
    <t xml:space="preserve"> 65.58KVAH</t>
  </si>
  <si>
    <t>32.23KVARH</t>
  </si>
  <si>
    <t xml:space="preserve">  15:48:09</t>
  </si>
  <si>
    <t xml:space="preserve">    360.0V</t>
  </si>
  <si>
    <t xml:space="preserve">   81.84KW</t>
  </si>
  <si>
    <t xml:space="preserve">  57.16KWH</t>
  </si>
  <si>
    <t xml:space="preserve"> 65.63KVAH</t>
  </si>
  <si>
    <t>32.25KVARH</t>
  </si>
  <si>
    <t xml:space="preserve">  15:48:11</t>
  </si>
  <si>
    <t xml:space="preserve">   82.77KW</t>
  </si>
  <si>
    <t xml:space="preserve">  57.20KWH</t>
  </si>
  <si>
    <t xml:space="preserve"> 65.68KVAH</t>
  </si>
  <si>
    <t>32.28KVARH</t>
  </si>
  <si>
    <t xml:space="preserve">  15:48:13</t>
  </si>
  <si>
    <t xml:space="preserve">    101.8A</t>
  </si>
  <si>
    <t xml:space="preserve">   63.42KW</t>
  </si>
  <si>
    <t xml:space="preserve">  71.97KVA</t>
  </si>
  <si>
    <t>-34.08KVAR</t>
  </si>
  <si>
    <t xml:space="preserve">  57.24KWH</t>
  </si>
  <si>
    <t xml:space="preserve"> 65.72KVAH</t>
  </si>
  <si>
    <t>32.29KVARH</t>
  </si>
  <si>
    <t xml:space="preserve">  15:48:15</t>
  </si>
  <si>
    <t xml:space="preserve">  57.27KWH</t>
  </si>
  <si>
    <t xml:space="preserve"> 65.76KVAH</t>
  </si>
  <si>
    <t>32.31KVARH</t>
  </si>
  <si>
    <t xml:space="preserve">  15:48:17</t>
  </si>
  <si>
    <t xml:space="preserve">  57.30KWH</t>
  </si>
  <si>
    <t xml:space="preserve"> 65.79KVAH</t>
  </si>
  <si>
    <t>32.33KVARH</t>
  </si>
  <si>
    <t xml:space="preserve">  15:48:19</t>
  </si>
  <si>
    <t xml:space="preserve">  57.32KWH</t>
  </si>
  <si>
    <t xml:space="preserve"> 65.82KVAH</t>
  </si>
  <si>
    <t>32.34KVARH</t>
  </si>
  <si>
    <t xml:space="preserve">  15:48:21</t>
  </si>
  <si>
    <t xml:space="preserve">  57.35KWH</t>
  </si>
  <si>
    <t xml:space="preserve"> 65.86KVAH</t>
  </si>
  <si>
    <t>32.36KVARH</t>
  </si>
  <si>
    <t xml:space="preserve">  15:48:23</t>
  </si>
  <si>
    <t xml:space="preserve">  57.38KWH</t>
  </si>
  <si>
    <t xml:space="preserve"> 65.89KVAH</t>
  </si>
  <si>
    <t>32.38KVARH</t>
  </si>
  <si>
    <t xml:space="preserve">  15:48:25</t>
  </si>
  <si>
    <t xml:space="preserve">  57.41KWH</t>
  </si>
  <si>
    <t xml:space="preserve"> 65.92KVAH</t>
  </si>
  <si>
    <t>32.39KVARH</t>
  </si>
  <si>
    <t xml:space="preserve">  15:48:27</t>
  </si>
  <si>
    <t xml:space="preserve">  57.44KWH</t>
  </si>
  <si>
    <t xml:space="preserve"> 65.96KVAH</t>
  </si>
  <si>
    <t>32.41KVARH</t>
  </si>
  <si>
    <t xml:space="preserve">  15:48:29</t>
  </si>
  <si>
    <t xml:space="preserve">  57.47KWH</t>
  </si>
  <si>
    <t xml:space="preserve"> 65.99KVAH</t>
  </si>
  <si>
    <t>32.43KVARH</t>
  </si>
  <si>
    <t xml:space="preserve">  15:48:31</t>
  </si>
  <si>
    <t xml:space="preserve">  57.50KWH</t>
  </si>
  <si>
    <t xml:space="preserve"> 66.02KVAH</t>
  </si>
  <si>
    <t>32.44KVARH</t>
  </si>
  <si>
    <t xml:space="preserve">  15:48:33</t>
  </si>
  <si>
    <t xml:space="preserve">  57.53KWH</t>
  </si>
  <si>
    <t xml:space="preserve"> 66.05KVAH</t>
  </si>
  <si>
    <t>32.46KVARH</t>
  </si>
  <si>
    <t xml:space="preserve">  15:48:35</t>
  </si>
  <si>
    <t xml:space="preserve">  57.55KWH</t>
  </si>
  <si>
    <t xml:space="preserve"> 66.09KVAH</t>
  </si>
  <si>
    <t>32.47KVARH</t>
  </si>
  <si>
    <t xml:space="preserve">  15:48:37</t>
  </si>
  <si>
    <t xml:space="preserve">  57.58KWH</t>
  </si>
  <si>
    <t xml:space="preserve"> 66.12KVAH</t>
  </si>
  <si>
    <t>32.49KVARH</t>
  </si>
  <si>
    <t xml:space="preserve">  15:48:39</t>
  </si>
  <si>
    <t xml:space="preserve">  57.61KWH</t>
  </si>
  <si>
    <t xml:space="preserve"> 66.15KVAH</t>
  </si>
  <si>
    <t>32.51KVARH</t>
  </si>
  <si>
    <t xml:space="preserve">  15:48:41</t>
  </si>
  <si>
    <t xml:space="preserve">  57.64KWH</t>
  </si>
  <si>
    <t xml:space="preserve"> 66.18KVAH</t>
  </si>
  <si>
    <t>32.52KVARH</t>
  </si>
  <si>
    <t xml:space="preserve">  15:48:43</t>
  </si>
  <si>
    <t xml:space="preserve">  57.67KWH</t>
  </si>
  <si>
    <t xml:space="preserve"> 66.22KVAH</t>
  </si>
  <si>
    <t>32.54KVARH</t>
  </si>
  <si>
    <t xml:space="preserve">  15:48:45</t>
  </si>
  <si>
    <t xml:space="preserve">  57.69KWH</t>
  </si>
  <si>
    <t xml:space="preserve"> 66.25KVAH</t>
  </si>
  <si>
    <t>32.56KVARH</t>
  </si>
  <si>
    <t xml:space="preserve">  15:48:47</t>
  </si>
  <si>
    <t xml:space="preserve">  57.72KWH</t>
  </si>
  <si>
    <t xml:space="preserve"> 66.28KVAH</t>
  </si>
  <si>
    <t>32.57KVARH</t>
  </si>
  <si>
    <t xml:space="preserve">  15:48:49</t>
  </si>
  <si>
    <t xml:space="preserve">  57.75KWH</t>
  </si>
  <si>
    <t xml:space="preserve"> 66.31KVAH</t>
  </si>
  <si>
    <t>32.59KVARH</t>
  </si>
  <si>
    <t xml:space="preserve">  15:48:51</t>
  </si>
  <si>
    <t xml:space="preserve">  57.78KWH</t>
  </si>
  <si>
    <t xml:space="preserve"> 66.35KVAH</t>
  </si>
  <si>
    <t>32.60KVARH</t>
  </si>
  <si>
    <t xml:space="preserve">  15:48:53</t>
  </si>
  <si>
    <t xml:space="preserve">    92.85A</t>
  </si>
  <si>
    <t xml:space="preserve">    106.6A</t>
  </si>
  <si>
    <t xml:space="preserve">   63.84KW</t>
  </si>
  <si>
    <t xml:space="preserve">  72.42KVA</t>
  </si>
  <si>
    <t>-34.20KVAR</t>
  </si>
  <si>
    <t xml:space="preserve">  57.81KWH</t>
  </si>
  <si>
    <t xml:space="preserve"> 66.39KVAH</t>
  </si>
  <si>
    <t>32.62KVARH</t>
  </si>
  <si>
    <t xml:space="preserve">  15:48:55</t>
  </si>
  <si>
    <t xml:space="preserve">  89.91KVA</t>
  </si>
  <si>
    <t xml:space="preserve">  57.86KWH</t>
  </si>
  <si>
    <t xml:space="preserve"> 66.44KVAH</t>
  </si>
  <si>
    <t>32.64KVARH</t>
  </si>
  <si>
    <t xml:space="preserve">  15:48:57</t>
  </si>
  <si>
    <t xml:space="preserve">  57.90KWH</t>
  </si>
  <si>
    <t xml:space="preserve"> 66.49KVAH</t>
  </si>
  <si>
    <t>32.67KVARH</t>
  </si>
  <si>
    <t xml:space="preserve">  15:48:59</t>
  </si>
  <si>
    <t xml:space="preserve">  57.95KWH</t>
  </si>
  <si>
    <t xml:space="preserve"> 66.54KVAH</t>
  </si>
  <si>
    <t>32.69KVARH</t>
  </si>
  <si>
    <t xml:space="preserve">  15:49:01</t>
  </si>
  <si>
    <t xml:space="preserve">  91.38KVA</t>
  </si>
  <si>
    <t xml:space="preserve">  58.00KWH</t>
  </si>
  <si>
    <t xml:space="preserve"> 66.59KVAH</t>
  </si>
  <si>
    <t>32.71KVARH</t>
  </si>
  <si>
    <t xml:space="preserve">  15:49:03</t>
  </si>
  <si>
    <t xml:space="preserve">  58.03KWH</t>
  </si>
  <si>
    <t xml:space="preserve"> 66.62KVAH</t>
  </si>
  <si>
    <t>32.73KVARH</t>
  </si>
  <si>
    <t xml:space="preserve">  15:49:05</t>
  </si>
  <si>
    <t xml:space="preserve">  58.06KWH</t>
  </si>
  <si>
    <t xml:space="preserve"> 66.66KVAH</t>
  </si>
  <si>
    <t>32.75KVARH</t>
  </si>
  <si>
    <t xml:space="preserve">  15:49:07</t>
  </si>
  <si>
    <t xml:space="preserve">  58.08KWH</t>
  </si>
  <si>
    <t xml:space="preserve"> 66.69KVAH</t>
  </si>
  <si>
    <t>32.76KVARH</t>
  </si>
  <si>
    <t xml:space="preserve">  15:49:09</t>
  </si>
  <si>
    <t xml:space="preserve">  58.11KWH</t>
  </si>
  <si>
    <t xml:space="preserve"> 66.72KVAH</t>
  </si>
  <si>
    <t>32.78KVARH</t>
  </si>
  <si>
    <t xml:space="preserve">  15:49:11</t>
  </si>
  <si>
    <t xml:space="preserve">  58.14KWH</t>
  </si>
  <si>
    <t xml:space="preserve"> 66.76KVAH</t>
  </si>
  <si>
    <t>32.79KVARH</t>
  </si>
  <si>
    <t xml:space="preserve">  15:49:13</t>
  </si>
  <si>
    <t xml:space="preserve">  58.17KWH</t>
  </si>
  <si>
    <t xml:space="preserve"> 66.79KVAH</t>
  </si>
  <si>
    <t>32.81KVARH</t>
  </si>
  <si>
    <t xml:space="preserve">  15:49:15</t>
  </si>
  <si>
    <t xml:space="preserve">  58.20KWH</t>
  </si>
  <si>
    <t xml:space="preserve"> 66.82KVAH</t>
  </si>
  <si>
    <t>32.83KVARH</t>
  </si>
  <si>
    <t xml:space="preserve">  15:49:17</t>
  </si>
  <si>
    <t xml:space="preserve">  58.23KWH</t>
  </si>
  <si>
    <t xml:space="preserve"> 66.86KVAH</t>
  </si>
  <si>
    <t>32.84KVARH</t>
  </si>
  <si>
    <t xml:space="preserve">  15:49:19</t>
  </si>
  <si>
    <t xml:space="preserve">  58.26KWH</t>
  </si>
  <si>
    <t xml:space="preserve"> 66.89KVAH</t>
  </si>
  <si>
    <t>32.86KVARH</t>
  </si>
  <si>
    <t xml:space="preserve">  15:49:21</t>
  </si>
  <si>
    <t xml:space="preserve">  58.29KWH</t>
  </si>
  <si>
    <t xml:space="preserve"> 66.92KVAH</t>
  </si>
  <si>
    <t>32.88KVARH</t>
  </si>
  <si>
    <t xml:space="preserve">  15:49:23</t>
  </si>
  <si>
    <t xml:space="preserve">  58.32KWH</t>
  </si>
  <si>
    <t xml:space="preserve"> 66.96KVAH</t>
  </si>
  <si>
    <t>32.89KVARH</t>
  </si>
  <si>
    <t xml:space="preserve">  15:49:25</t>
  </si>
  <si>
    <t xml:space="preserve">  58.34KWH</t>
  </si>
  <si>
    <t xml:space="preserve"> 66.99KVAH</t>
  </si>
  <si>
    <t>32.91KVARH</t>
  </si>
  <si>
    <t xml:space="preserve">  15:49:27</t>
  </si>
  <si>
    <t xml:space="preserve">  58.37KWH</t>
  </si>
  <si>
    <t xml:space="preserve"> 67.02KVAH</t>
  </si>
  <si>
    <t>32.93KVARH</t>
  </si>
  <si>
    <t xml:space="preserve">  15:49:29</t>
  </si>
  <si>
    <t xml:space="preserve">  58.40KWH</t>
  </si>
  <si>
    <t xml:space="preserve"> 67.06KVAH</t>
  </si>
  <si>
    <t>32.94KVARH</t>
  </si>
  <si>
    <t xml:space="preserve">  15:49:31</t>
  </si>
  <si>
    <t xml:space="preserve">  58.43KWH</t>
  </si>
  <si>
    <t xml:space="preserve"> 67.09KVAH</t>
  </si>
  <si>
    <t>32.96KVARH</t>
  </si>
  <si>
    <t xml:space="preserve">  15:49:33</t>
  </si>
  <si>
    <t xml:space="preserve">  58.46KWH</t>
  </si>
  <si>
    <t xml:space="preserve"> 67.12KVAH</t>
  </si>
  <si>
    <t>32.97KVARH</t>
  </si>
  <si>
    <t xml:space="preserve">  15:49:35</t>
  </si>
  <si>
    <t xml:space="preserve">  58.49KWH</t>
  </si>
  <si>
    <t xml:space="preserve"> 67.15KVAH</t>
  </si>
  <si>
    <t>32.99KVARH</t>
  </si>
  <si>
    <t xml:space="preserve">  15:49:37</t>
  </si>
  <si>
    <t xml:space="preserve">  58.52KWH</t>
  </si>
  <si>
    <t xml:space="preserve"> 67.19KVAH</t>
  </si>
  <si>
    <t>33.01KVARH</t>
  </si>
  <si>
    <t xml:space="preserve">  15:49:39</t>
  </si>
  <si>
    <t xml:space="preserve">  58.54KWH</t>
  </si>
  <si>
    <t xml:space="preserve"> 67.22KVAH</t>
  </si>
  <si>
    <t>33.02KVARH</t>
  </si>
  <si>
    <t xml:space="preserve">  15:49:41</t>
  </si>
  <si>
    <t xml:space="preserve">  58.57KWH</t>
  </si>
  <si>
    <t xml:space="preserve"> 67.25KVAH</t>
  </si>
  <si>
    <t>33.04KVARH</t>
  </si>
  <si>
    <t xml:space="preserve">  15:49:43</t>
  </si>
  <si>
    <t xml:space="preserve">  58.60KWH</t>
  </si>
  <si>
    <t xml:space="preserve"> 67.28KVAH</t>
  </si>
  <si>
    <t>33.05KVARH</t>
  </si>
  <si>
    <t xml:space="preserve">  15:49:45</t>
  </si>
  <si>
    <t xml:space="preserve">  58.63KWH</t>
  </si>
  <si>
    <t xml:space="preserve"> 67.32KVAH</t>
  </si>
  <si>
    <t>33.07KVARH</t>
  </si>
  <si>
    <t xml:space="preserve">  15:49:47</t>
  </si>
  <si>
    <t xml:space="preserve">  58.66KWH</t>
  </si>
  <si>
    <t xml:space="preserve"> 67.35KVAH</t>
  </si>
  <si>
    <t>33.09KVARH</t>
  </si>
  <si>
    <t xml:space="preserve">  15:49:49</t>
  </si>
  <si>
    <t xml:space="preserve">  58.69KWH</t>
  </si>
  <si>
    <t xml:space="preserve"> 67.38KVAH</t>
  </si>
  <si>
    <t>33.10KVARH</t>
  </si>
  <si>
    <t xml:space="preserve">  15:49:51</t>
  </si>
  <si>
    <t xml:space="preserve">  58.71KWH</t>
  </si>
  <si>
    <t xml:space="preserve"> 67.41KVAH</t>
  </si>
  <si>
    <t>33.12KVARH</t>
  </si>
  <si>
    <t xml:space="preserve">  15:49:53</t>
  </si>
  <si>
    <t xml:space="preserve">  58.74KWH</t>
  </si>
  <si>
    <t xml:space="preserve"> 67.45KVAH</t>
  </si>
  <si>
    <t>33.14KVARH</t>
  </si>
  <si>
    <t xml:space="preserve">  15:49:55</t>
  </si>
  <si>
    <t xml:space="preserve">  58.77KWH</t>
  </si>
  <si>
    <t xml:space="preserve"> 67.48KVAH</t>
  </si>
  <si>
    <t>33.15KVARH</t>
  </si>
  <si>
    <t xml:space="preserve">  15:49:57</t>
  </si>
  <si>
    <t xml:space="preserve">  58.80KWH</t>
  </si>
  <si>
    <t xml:space="preserve"> 67.51KVAH</t>
  </si>
  <si>
    <t>33.17KVARH</t>
  </si>
  <si>
    <t xml:space="preserve">  15:49:59</t>
  </si>
  <si>
    <t xml:space="preserve">  58.83KWH</t>
  </si>
  <si>
    <t xml:space="preserve"> 67.54KVAH</t>
  </si>
  <si>
    <t>33.18KVARH</t>
  </si>
  <si>
    <t xml:space="preserve">  15:50:01</t>
  </si>
  <si>
    <t xml:space="preserve">  58.85KWH</t>
  </si>
  <si>
    <t xml:space="preserve"> 67.58KVAH</t>
  </si>
  <si>
    <t>33.20KVARH</t>
  </si>
  <si>
    <t xml:space="preserve">  15:50:03</t>
  </si>
  <si>
    <t xml:space="preserve">  58.88KWH</t>
  </si>
  <si>
    <t xml:space="preserve"> 67.61KVAH</t>
  </si>
  <si>
    <t>33.22KVARH</t>
  </si>
  <si>
    <t xml:space="preserve">  15:50:05</t>
  </si>
  <si>
    <t xml:space="preserve">  58.91KWH</t>
  </si>
  <si>
    <t xml:space="preserve"> 67.64KVAH</t>
  </si>
  <si>
    <t>33.23KVARH</t>
  </si>
  <si>
    <t xml:space="preserve">  15:50:07</t>
  </si>
  <si>
    <t xml:space="preserve">  58.94KWH</t>
  </si>
  <si>
    <t xml:space="preserve"> 67.67KVAH</t>
  </si>
  <si>
    <t>33.25KVARH</t>
  </si>
  <si>
    <t xml:space="preserve">  15:50:09</t>
  </si>
  <si>
    <t xml:space="preserve">    136.0A</t>
  </si>
  <si>
    <t xml:space="preserve">   80.49KW</t>
  </si>
  <si>
    <t xml:space="preserve">  58.98KWH</t>
  </si>
  <si>
    <t xml:space="preserve"> 67.72KVAH</t>
  </si>
  <si>
    <t>33.27KVARH</t>
  </si>
  <si>
    <t xml:space="preserve">  15:50:11</t>
  </si>
  <si>
    <t xml:space="preserve">  59.03KWH</t>
  </si>
  <si>
    <t xml:space="preserve"> 67.77KVAH</t>
  </si>
  <si>
    <t>33.29KVARH</t>
  </si>
  <si>
    <t xml:space="preserve">  15:50:13</t>
  </si>
  <si>
    <t xml:space="preserve">    153.7A</t>
  </si>
  <si>
    <t xml:space="preserve">  59.07KWH</t>
  </si>
  <si>
    <t xml:space="preserve"> 67.82KVAH</t>
  </si>
  <si>
    <t>33.32KVARH</t>
  </si>
  <si>
    <t xml:space="preserve">  15:50:15</t>
  </si>
  <si>
    <t xml:space="preserve">    132.7A</t>
  </si>
  <si>
    <t xml:space="preserve">   73.05KW</t>
  </si>
  <si>
    <t xml:space="preserve">  82.11KVA</t>
  </si>
  <si>
    <t>-37.50KVAR</t>
  </si>
  <si>
    <t xml:space="preserve">  59.11KWH</t>
  </si>
  <si>
    <t xml:space="preserve"> 67.87KVAH</t>
  </si>
  <si>
    <t>33.34KVARH</t>
  </si>
  <si>
    <t xml:space="preserve">  15:50:17</t>
  </si>
  <si>
    <t xml:space="preserve">    100.5A</t>
  </si>
  <si>
    <t xml:space="preserve">  59.14KWH</t>
  </si>
  <si>
    <t xml:space="preserve"> 67.90KVAH</t>
  </si>
  <si>
    <t>33.35KVARH</t>
  </si>
  <si>
    <t xml:space="preserve">  15:50:19</t>
  </si>
  <si>
    <t xml:space="preserve">  59.17KWH</t>
  </si>
  <si>
    <t xml:space="preserve"> 67.94KVAH</t>
  </si>
  <si>
    <t>33.37KVARH</t>
  </si>
  <si>
    <t xml:space="preserve">  15:50:21</t>
  </si>
  <si>
    <t xml:space="preserve">  59.20KWH</t>
  </si>
  <si>
    <t xml:space="preserve"> 67.97KVAH</t>
  </si>
  <si>
    <t>33.39KVARH</t>
  </si>
  <si>
    <t xml:space="preserve">  15:50:23</t>
  </si>
  <si>
    <t xml:space="preserve">  59.23KWH</t>
  </si>
  <si>
    <t xml:space="preserve"> 68.00KVAH</t>
  </si>
  <si>
    <t>33.40KVARH</t>
  </si>
  <si>
    <t xml:space="preserve">  15:50:25</t>
  </si>
  <si>
    <t xml:space="preserve">  59.26KWH</t>
  </si>
  <si>
    <t xml:space="preserve"> 68.04KVAH</t>
  </si>
  <si>
    <t>33.42KVARH</t>
  </si>
  <si>
    <t xml:space="preserve">  15:50:27</t>
  </si>
  <si>
    <t xml:space="preserve">  59.29KWH</t>
  </si>
  <si>
    <t xml:space="preserve"> 68.07KVAH</t>
  </si>
  <si>
    <t>33.43KVARH</t>
  </si>
  <si>
    <t xml:space="preserve">  15:50:29</t>
  </si>
  <si>
    <t xml:space="preserve">  59.32KWH</t>
  </si>
  <si>
    <t xml:space="preserve"> 68.10KVAH</t>
  </si>
  <si>
    <t>33.45KVARH</t>
  </si>
  <si>
    <t xml:space="preserve">  15:50:31</t>
  </si>
  <si>
    <t xml:space="preserve">  59.35KWH</t>
  </si>
  <si>
    <t xml:space="preserve"> 68.14KVAH</t>
  </si>
  <si>
    <t>33.47KVARH</t>
  </si>
  <si>
    <t xml:space="preserve">  15:50:33</t>
  </si>
  <si>
    <t xml:space="preserve">  59.38KWH</t>
  </si>
  <si>
    <t xml:space="preserve"> 68.17KVAH</t>
  </si>
  <si>
    <t>33.48KVARH</t>
  </si>
  <si>
    <t xml:space="preserve">  15:50:35</t>
  </si>
  <si>
    <t xml:space="preserve">  59.41KWH</t>
  </si>
  <si>
    <t xml:space="preserve"> 68.20KVAH</t>
  </si>
  <si>
    <t>33.50KVARH</t>
  </si>
  <si>
    <t xml:space="preserve">  15:50:37</t>
  </si>
  <si>
    <t xml:space="preserve">  59.43KWH</t>
  </si>
  <si>
    <t xml:space="preserve"> 68.24KVAH</t>
  </si>
  <si>
    <t>33.52KVARH</t>
  </si>
  <si>
    <t xml:space="preserve">  15:50:39</t>
  </si>
  <si>
    <t xml:space="preserve">  59.46KWH</t>
  </si>
  <si>
    <t xml:space="preserve"> 68.27KVAH</t>
  </si>
  <si>
    <t>33.53KVARH</t>
  </si>
  <si>
    <t xml:space="preserve">  15:50:41</t>
  </si>
  <si>
    <t xml:space="preserve">  59.49KWH</t>
  </si>
  <si>
    <t xml:space="preserve"> 68.30KVAH</t>
  </si>
  <si>
    <t>33.55KVARH</t>
  </si>
  <si>
    <t xml:space="preserve">  15:50:43</t>
  </si>
  <si>
    <t xml:space="preserve">  59.52KWH</t>
  </si>
  <si>
    <t xml:space="preserve"> 68.34KVAH</t>
  </si>
  <si>
    <t>33.57KVARH</t>
  </si>
  <si>
    <t xml:space="preserve">  15:50:45</t>
  </si>
  <si>
    <t xml:space="preserve">  59.55KWH</t>
  </si>
  <si>
    <t xml:space="preserve"> 68.37KVAH</t>
  </si>
  <si>
    <t>33.58KVARH</t>
  </si>
  <si>
    <t xml:space="preserve">  15:50:47</t>
  </si>
  <si>
    <t xml:space="preserve">  59.58KWH</t>
  </si>
  <si>
    <t xml:space="preserve"> 68.40KVAH</t>
  </si>
  <si>
    <t>33.60KVARH</t>
  </si>
  <si>
    <t xml:space="preserve">  15:50:49</t>
  </si>
  <si>
    <t xml:space="preserve">  59.61KWH</t>
  </si>
  <si>
    <t xml:space="preserve"> 68.43KVAH</t>
  </si>
  <si>
    <t>33.61KVARH</t>
  </si>
  <si>
    <t xml:space="preserve">  15:50:51</t>
  </si>
  <si>
    <t xml:space="preserve">  59.63KWH</t>
  </si>
  <si>
    <t xml:space="preserve"> 68.47KVAH</t>
  </si>
  <si>
    <t>33.63KVARH</t>
  </si>
  <si>
    <t xml:space="preserve">  15:50:53</t>
  </si>
  <si>
    <t xml:space="preserve">  59.66KWH</t>
  </si>
  <si>
    <t xml:space="preserve"> 68.50KVAH</t>
  </si>
  <si>
    <t>33.65KVARH</t>
  </si>
  <si>
    <t xml:space="preserve">  15:50:55</t>
  </si>
  <si>
    <t xml:space="preserve">  59.69KWH</t>
  </si>
  <si>
    <t xml:space="preserve"> 68.53KVAH</t>
  </si>
  <si>
    <t>33.66KVARH</t>
  </si>
  <si>
    <t xml:space="preserve">  15:50:57</t>
  </si>
  <si>
    <t xml:space="preserve">  59.72KWH</t>
  </si>
  <si>
    <t xml:space="preserve"> 68.57KVAH</t>
  </si>
  <si>
    <t>33.68KVARH</t>
  </si>
  <si>
    <t xml:space="preserve">  15:50:59</t>
  </si>
  <si>
    <t xml:space="preserve">  59.75KWH</t>
  </si>
  <si>
    <t xml:space="preserve"> 68.60KVAH</t>
  </si>
  <si>
    <t>33.70KVARH</t>
  </si>
  <si>
    <t xml:space="preserve">  15:51:01</t>
  </si>
  <si>
    <t xml:space="preserve">  59.78KWH</t>
  </si>
  <si>
    <t xml:space="preserve"> 68.63KVAH</t>
  </si>
  <si>
    <t>33.71KVARH</t>
  </si>
  <si>
    <t xml:space="preserve">  15:51:03</t>
  </si>
  <si>
    <t xml:space="preserve">  59.80KWH</t>
  </si>
  <si>
    <t xml:space="preserve"> 68.66KVAH</t>
  </si>
  <si>
    <t>33.73KVARH</t>
  </si>
  <si>
    <t xml:space="preserve">  15:51:05</t>
  </si>
  <si>
    <t xml:space="preserve">  59.83KWH</t>
  </si>
  <si>
    <t xml:space="preserve"> 68.70KVAH</t>
  </si>
  <si>
    <t>33.74KVARH</t>
  </si>
  <si>
    <t xml:space="preserve">  15:51:07</t>
  </si>
  <si>
    <t xml:space="preserve">  59.86KWH</t>
  </si>
  <si>
    <t xml:space="preserve"> 68.73KVAH</t>
  </si>
  <si>
    <t>33.76KVARH</t>
  </si>
  <si>
    <t xml:space="preserve">  15:51:09</t>
  </si>
  <si>
    <t xml:space="preserve">  59.89KWH</t>
  </si>
  <si>
    <t xml:space="preserve"> 68.76KVAH</t>
  </si>
  <si>
    <t>33.78KVARH</t>
  </si>
  <si>
    <t xml:space="preserve">  15:51:11</t>
  </si>
  <si>
    <t xml:space="preserve">  59.92KWH</t>
  </si>
  <si>
    <t xml:space="preserve"> 68.79KVAH</t>
  </si>
  <si>
    <t>33.79KVARH</t>
  </si>
  <si>
    <t xml:space="preserve">  15:51:13</t>
  </si>
  <si>
    <t xml:space="preserve">  59.95KWH</t>
  </si>
  <si>
    <t xml:space="preserve"> 68.83KVAH</t>
  </si>
  <si>
    <t>33.81KVARH</t>
  </si>
  <si>
    <t xml:space="preserve">  15:51:15</t>
  </si>
  <si>
    <t xml:space="preserve">  59.97KWH</t>
  </si>
  <si>
    <t xml:space="preserve"> 68.86KVAH</t>
  </si>
  <si>
    <t>33.83KVARH</t>
  </si>
  <si>
    <t xml:space="preserve">  15:51:17</t>
  </si>
  <si>
    <t xml:space="preserve">  60.00KWH</t>
  </si>
  <si>
    <t xml:space="preserve"> 68.89KVAH</t>
  </si>
  <si>
    <t>33.84KVARH</t>
  </si>
  <si>
    <t xml:space="preserve">  15:51:19</t>
  </si>
  <si>
    <t xml:space="preserve">  60.03KWH</t>
  </si>
  <si>
    <t xml:space="preserve"> 68.92KVAH</t>
  </si>
  <si>
    <t>33.86KVARH</t>
  </si>
  <si>
    <t xml:space="preserve">  15:51:21</t>
  </si>
  <si>
    <t xml:space="preserve">  60.06KWH</t>
  </si>
  <si>
    <t xml:space="preserve"> 68.95KVAH</t>
  </si>
  <si>
    <t>33.87KVARH</t>
  </si>
  <si>
    <t xml:space="preserve">  15:51:23</t>
  </si>
  <si>
    <t xml:space="preserve">  60.09KWH</t>
  </si>
  <si>
    <t xml:space="preserve"> 68.99KVAH</t>
  </si>
  <si>
    <t>33.89KVARH</t>
  </si>
  <si>
    <t xml:space="preserve">  15:51:25</t>
  </si>
  <si>
    <t xml:space="preserve">  60.11KWH</t>
  </si>
  <si>
    <t xml:space="preserve"> 69.02KVAH</t>
  </si>
  <si>
    <t>33.91KVARH</t>
  </si>
  <si>
    <t xml:space="preserve">  15:51:27</t>
  </si>
  <si>
    <t xml:space="preserve">   62.55KW</t>
  </si>
  <si>
    <t xml:space="preserve">  70.80KVA</t>
  </si>
  <si>
    <t>-33.21KVAR</t>
  </si>
  <si>
    <t xml:space="preserve">  60.15KWH</t>
  </si>
  <si>
    <t xml:space="preserve"> 69.06KVAH</t>
  </si>
  <si>
    <t>33.92KVARH</t>
  </si>
  <si>
    <t xml:space="preserve">  15:51:29</t>
  </si>
  <si>
    <t xml:space="preserve">    146.0A</t>
  </si>
  <si>
    <t xml:space="preserve">  90.24KVA</t>
  </si>
  <si>
    <t xml:space="preserve">  60.19KWH</t>
  </si>
  <si>
    <t xml:space="preserve"> 69.11KVAH</t>
  </si>
  <si>
    <t>33.95KVARH</t>
  </si>
  <si>
    <t xml:space="preserve">  15:51:31</t>
  </si>
  <si>
    <t xml:space="preserve">  60.24KWH</t>
  </si>
  <si>
    <t xml:space="preserve"> 69.16KVAH</t>
  </si>
  <si>
    <t>33.97KVARH</t>
  </si>
  <si>
    <t xml:space="preserve">  15:51:33</t>
  </si>
  <si>
    <t xml:space="preserve">    141.0A</t>
  </si>
  <si>
    <t xml:space="preserve">  60.28KWH</t>
  </si>
  <si>
    <t xml:space="preserve"> 69.21KVAH</t>
  </si>
  <si>
    <t>33.99KVARH</t>
  </si>
  <si>
    <t xml:space="preserve">  15:51:35</t>
  </si>
  <si>
    <t xml:space="preserve">   62.91KW</t>
  </si>
  <si>
    <t xml:space="preserve">  71.40KVA</t>
  </si>
  <si>
    <t>-33.81KVAR</t>
  </si>
  <si>
    <t xml:space="preserve">  60.32KWH</t>
  </si>
  <si>
    <t xml:space="preserve"> 69.25KVAH</t>
  </si>
  <si>
    <t>34.01KVARH</t>
  </si>
  <si>
    <t xml:space="preserve">  15:51:37</t>
  </si>
  <si>
    <t xml:space="preserve">  60.35KWH</t>
  </si>
  <si>
    <t xml:space="preserve"> 69.28KVAH</t>
  </si>
  <si>
    <t>34.03KVARH</t>
  </si>
  <si>
    <t xml:space="preserve">  15:51:39</t>
  </si>
  <si>
    <t xml:space="preserve">  60.38KWH</t>
  </si>
  <si>
    <t xml:space="preserve"> 69.32KVAH</t>
  </si>
  <si>
    <t>34.04KVARH</t>
  </si>
  <si>
    <t xml:space="preserve">  15:51:41</t>
  </si>
  <si>
    <t xml:space="preserve">  60.41KWH</t>
  </si>
  <si>
    <t xml:space="preserve"> 69.35KVAH</t>
  </si>
  <si>
    <t>34.06KVARH</t>
  </si>
  <si>
    <t xml:space="preserve">  15:51:43</t>
  </si>
  <si>
    <t xml:space="preserve">  60.44KWH</t>
  </si>
  <si>
    <t xml:space="preserve"> 69.39KVAH</t>
  </si>
  <si>
    <t>34.08KVARH</t>
  </si>
  <si>
    <t xml:space="preserve">  15:51:45</t>
  </si>
  <si>
    <t xml:space="preserve">  60.47KWH</t>
  </si>
  <si>
    <t xml:space="preserve"> 69.42KVAH</t>
  </si>
  <si>
    <t>34.09KVARH</t>
  </si>
  <si>
    <t xml:space="preserve">  15:51:47</t>
  </si>
  <si>
    <t xml:space="preserve">  60.50KWH</t>
  </si>
  <si>
    <t xml:space="preserve"> 69.45KVAH</t>
  </si>
  <si>
    <t>34.11KVARH</t>
  </si>
  <si>
    <t xml:space="preserve">  15:51:49</t>
  </si>
  <si>
    <t xml:space="preserve">  60.52KWH</t>
  </si>
  <si>
    <t xml:space="preserve"> 69.49KVAH</t>
  </si>
  <si>
    <t>34.13KVARH</t>
  </si>
  <si>
    <t xml:space="preserve">  15:51:51</t>
  </si>
  <si>
    <t xml:space="preserve">  60.55KWH</t>
  </si>
  <si>
    <t xml:space="preserve"> 69.52KVAH</t>
  </si>
  <si>
    <t>34.14KVARH</t>
  </si>
  <si>
    <t xml:space="preserve">  15:51:53</t>
  </si>
  <si>
    <t xml:space="preserve">  60.58KWH</t>
  </si>
  <si>
    <t xml:space="preserve"> 69.55KVAH</t>
  </si>
  <si>
    <t>34.16KVARH</t>
  </si>
  <si>
    <t xml:space="preserve">  15:51:55</t>
  </si>
  <si>
    <t xml:space="preserve">  60.61KWH</t>
  </si>
  <si>
    <t xml:space="preserve"> 69.59KVAH</t>
  </si>
  <si>
    <t>34.17KVARH</t>
  </si>
  <si>
    <t xml:space="preserve">  15:51:57</t>
  </si>
  <si>
    <t xml:space="preserve">  60.64KWH</t>
  </si>
  <si>
    <t xml:space="preserve"> 69.62KVAH</t>
  </si>
  <si>
    <t>34.19KVARH</t>
  </si>
  <si>
    <t xml:space="preserve">  15:51:59</t>
  </si>
  <si>
    <t xml:space="preserve">  60.67KWH</t>
  </si>
  <si>
    <t xml:space="preserve"> 69.65KVAH</t>
  </si>
  <si>
    <t>34.21KVARH</t>
  </si>
  <si>
    <t xml:space="preserve">  15:52:01</t>
  </si>
  <si>
    <t xml:space="preserve">  60.70KWH</t>
  </si>
  <si>
    <t xml:space="preserve"> 69.68KVAH</t>
  </si>
  <si>
    <t>34.22KVARH</t>
  </si>
  <si>
    <t xml:space="preserve">  15:52:03</t>
  </si>
  <si>
    <t xml:space="preserve">  60.73KWH</t>
  </si>
  <si>
    <t xml:space="preserve"> 69.72KVAH</t>
  </si>
  <si>
    <t>34.24KVARH</t>
  </si>
  <si>
    <t xml:space="preserve">  15:52:05</t>
  </si>
  <si>
    <t xml:space="preserve">  60.75KWH</t>
  </si>
  <si>
    <t xml:space="preserve"> 69.75KVAH</t>
  </si>
  <si>
    <t>34.26KVARH</t>
  </si>
  <si>
    <t xml:space="preserve">  15:52:07</t>
  </si>
  <si>
    <t xml:space="preserve">  60.78KWH</t>
  </si>
  <si>
    <t xml:space="preserve"> 69.78KVAH</t>
  </si>
  <si>
    <t>34.27KVARH</t>
  </si>
  <si>
    <t xml:space="preserve">  15:52:09</t>
  </si>
  <si>
    <t xml:space="preserve">  60.81KWH</t>
  </si>
  <si>
    <t xml:space="preserve"> 69.82KVAH</t>
  </si>
  <si>
    <t>34.29KVARH</t>
  </si>
  <si>
    <t xml:space="preserve">  15:52:11</t>
  </si>
  <si>
    <t xml:space="preserve">  60.84KWH</t>
  </si>
  <si>
    <t xml:space="preserve"> 69.85KVAH</t>
  </si>
  <si>
    <t>34.31KVARH</t>
  </si>
  <si>
    <t xml:space="preserve">  15:52:13</t>
  </si>
  <si>
    <t xml:space="preserve">  60.87KWH</t>
  </si>
  <si>
    <t xml:space="preserve"> 69.88KVAH</t>
  </si>
  <si>
    <t>34.32KVARH</t>
  </si>
  <si>
    <t xml:space="preserve">  15:52:15</t>
  </si>
  <si>
    <t xml:space="preserve">  60.90KWH</t>
  </si>
  <si>
    <t xml:space="preserve"> 69.91KVAH</t>
  </si>
  <si>
    <t>34.34KVARH</t>
  </si>
  <si>
    <t xml:space="preserve">  15:52:17</t>
  </si>
  <si>
    <t xml:space="preserve">  60.93KWH</t>
  </si>
  <si>
    <t xml:space="preserve"> 69.95KVAH</t>
  </si>
  <si>
    <t>34.35KVARH</t>
  </si>
  <si>
    <t xml:space="preserve">  15:52:19</t>
  </si>
  <si>
    <t xml:space="preserve">  60.95KWH</t>
  </si>
  <si>
    <t xml:space="preserve"> 69.98KVAH</t>
  </si>
  <si>
    <t>34.37KVARH</t>
  </si>
  <si>
    <t xml:space="preserve">  15:52:21</t>
  </si>
  <si>
    <t xml:space="preserve">  60.98KWH</t>
  </si>
  <si>
    <t xml:space="preserve"> 70.01KVAH</t>
  </si>
  <si>
    <t>34.39KVARH</t>
  </si>
  <si>
    <t xml:space="preserve">  15:52:23</t>
  </si>
  <si>
    <t xml:space="preserve">  61.01KWH</t>
  </si>
  <si>
    <t xml:space="preserve"> 70.05KVAH</t>
  </si>
  <si>
    <t>34.40KVARH</t>
  </si>
  <si>
    <t xml:space="preserve">  15:52:25</t>
  </si>
  <si>
    <t xml:space="preserve">  61.04KWH</t>
  </si>
  <si>
    <t xml:space="preserve"> 70.08KVAH</t>
  </si>
  <si>
    <t>34.42KVARH</t>
  </si>
  <si>
    <t xml:space="preserve">  15:52:27</t>
  </si>
  <si>
    <t xml:space="preserve">  61.07KWH</t>
  </si>
  <si>
    <t xml:space="preserve"> 70.11KVAH</t>
  </si>
  <si>
    <t>34.44KVARH</t>
  </si>
  <si>
    <t xml:space="preserve">  15:52:29</t>
  </si>
  <si>
    <t xml:space="preserve">  61.09KWH</t>
  </si>
  <si>
    <t xml:space="preserve"> 70.14KVAH</t>
  </si>
  <si>
    <t>34.45KVARH</t>
  </si>
  <si>
    <t xml:space="preserve">  15:52:31</t>
  </si>
  <si>
    <t xml:space="preserve">  61.12KWH</t>
  </si>
  <si>
    <t xml:space="preserve"> 70.18KVAH</t>
  </si>
  <si>
    <t>34.47KVARH</t>
  </si>
  <si>
    <t xml:space="preserve">  15:52:33</t>
  </si>
  <si>
    <t xml:space="preserve">  61.15KWH</t>
  </si>
  <si>
    <t xml:space="preserve"> 70.21KVAH</t>
  </si>
  <si>
    <t>34.48KVARH</t>
  </si>
  <si>
    <t xml:space="preserve">  15:52:35</t>
  </si>
  <si>
    <t xml:space="preserve">  61.18KWH</t>
  </si>
  <si>
    <t xml:space="preserve"> 70.24KVAH</t>
  </si>
  <si>
    <t>34.50KVARH</t>
  </si>
  <si>
    <t xml:space="preserve">  15:52:37</t>
  </si>
  <si>
    <t xml:space="preserve">  61.21KWH</t>
  </si>
  <si>
    <t xml:space="preserve"> 70.27KVAH</t>
  </si>
  <si>
    <t>34.52KVARH</t>
  </si>
  <si>
    <t xml:space="preserve">  15:52:39</t>
  </si>
  <si>
    <t xml:space="preserve">  61.24KWH</t>
  </si>
  <si>
    <t xml:space="preserve"> 70.30KVAH</t>
  </si>
  <si>
    <t>34.53KVARH</t>
  </si>
  <si>
    <t xml:space="preserve">  15:52:41</t>
  </si>
  <si>
    <t xml:space="preserve">  61.26KWH</t>
  </si>
  <si>
    <t xml:space="preserve"> 70.34KVAH</t>
  </si>
  <si>
    <t>34.55KVARH</t>
  </si>
  <si>
    <t xml:space="preserve">  15:52:43</t>
  </si>
  <si>
    <t xml:space="preserve">  61.29KWH</t>
  </si>
  <si>
    <t xml:space="preserve"> 70.37KVAH</t>
  </si>
  <si>
    <t>34.56KVARH</t>
  </si>
  <si>
    <t xml:space="preserve">  15:52:45</t>
  </si>
  <si>
    <t xml:space="preserve">  61.32KWH</t>
  </si>
  <si>
    <t xml:space="preserve"> 70.40KVAH</t>
  </si>
  <si>
    <t>34.58KVARH</t>
  </si>
  <si>
    <t xml:space="preserve">  15:52:47</t>
  </si>
  <si>
    <t xml:space="preserve">  61.35KWH</t>
  </si>
  <si>
    <t xml:space="preserve"> 70.43KVAH</t>
  </si>
  <si>
    <t>34.60KVARH</t>
  </si>
  <si>
    <t xml:space="preserve">  15:52:49</t>
  </si>
  <si>
    <t xml:space="preserve">  61.37KWH</t>
  </si>
  <si>
    <t xml:space="preserve"> 70.47KVAH</t>
  </si>
  <si>
    <t>34.61KVARH</t>
  </si>
  <si>
    <t xml:space="preserve">  15:52:51</t>
  </si>
  <si>
    <t xml:space="preserve">  61.42KWH</t>
  </si>
  <si>
    <t xml:space="preserve"> 70.52KVAH</t>
  </si>
  <si>
    <t>34.64KVARH</t>
  </si>
  <si>
    <t xml:space="preserve">  15:52:53</t>
  </si>
  <si>
    <t xml:space="preserve">  91.17KVA</t>
  </si>
  <si>
    <t xml:space="preserve">  61.47KWH</t>
  </si>
  <si>
    <t xml:space="preserve"> 70.57KVAH</t>
  </si>
  <si>
    <t>34.66KVARH</t>
  </si>
  <si>
    <t xml:space="preserve">  15:52:55</t>
  </si>
  <si>
    <t xml:space="preserve">  92.31KVA</t>
  </si>
  <si>
    <t xml:space="preserve">  61.51KWH</t>
  </si>
  <si>
    <t xml:space="preserve"> 70.62KVAH</t>
  </si>
  <si>
    <t>34.68KVARH</t>
  </si>
  <si>
    <t xml:space="preserve">  15:52:57</t>
  </si>
  <si>
    <t xml:space="preserve">  61.56KWH</t>
  </si>
  <si>
    <t xml:space="preserve"> 70.67KVAH</t>
  </si>
  <si>
    <t>34.70KVARH</t>
  </si>
  <si>
    <t xml:space="preserve">  15:52:59</t>
  </si>
  <si>
    <t xml:space="preserve">  61.59KWH</t>
  </si>
  <si>
    <t xml:space="preserve"> 70.70KVAH</t>
  </si>
  <si>
    <t>34.72KVARH</t>
  </si>
  <si>
    <t xml:space="preserve">  15:53:01</t>
  </si>
  <si>
    <t xml:space="preserve">  61.62KWH</t>
  </si>
  <si>
    <t xml:space="preserve"> 70.74KVAH</t>
  </si>
  <si>
    <t>34.74KVARH</t>
  </si>
  <si>
    <t xml:space="preserve">  15:53:03</t>
  </si>
  <si>
    <t xml:space="preserve">  61.65KWH</t>
  </si>
  <si>
    <t xml:space="preserve"> 70.77KVAH</t>
  </si>
  <si>
    <t>34.75KVARH</t>
  </si>
  <si>
    <t xml:space="preserve">  15:53:05</t>
  </si>
  <si>
    <t xml:space="preserve">  61.67KWH</t>
  </si>
  <si>
    <t xml:space="preserve"> 70.80KVAH</t>
  </si>
  <si>
    <t>34.77KVARH</t>
  </si>
  <si>
    <t xml:space="preserve">  15:53:07</t>
  </si>
  <si>
    <t xml:space="preserve">  61.70KWH</t>
  </si>
  <si>
    <t xml:space="preserve"> 70.84KVAH</t>
  </si>
  <si>
    <t>34.78KVARH</t>
  </si>
  <si>
    <t xml:space="preserve">  15:53:09</t>
  </si>
  <si>
    <t xml:space="preserve">  61.73KWH</t>
  </si>
  <si>
    <t xml:space="preserve"> 70.87KVAH</t>
  </si>
  <si>
    <t>34.80KVARH</t>
  </si>
  <si>
    <t xml:space="preserve">  15:53:11</t>
  </si>
  <si>
    <t xml:space="preserve">  61.76KWH</t>
  </si>
  <si>
    <t xml:space="preserve"> 70.90KVAH</t>
  </si>
  <si>
    <t>34.82KVARH</t>
  </si>
  <si>
    <t xml:space="preserve">  15:53:13</t>
  </si>
  <si>
    <t xml:space="preserve">  61.79KWH</t>
  </si>
  <si>
    <t xml:space="preserve"> 70.94KVAH</t>
  </si>
  <si>
    <t>34.83KVARH</t>
  </si>
  <si>
    <t xml:space="preserve">  15:53:15</t>
  </si>
  <si>
    <t xml:space="preserve">  61.82KWH</t>
  </si>
  <si>
    <t xml:space="preserve"> 70.97KVAH</t>
  </si>
  <si>
    <t>34.85KVARH</t>
  </si>
  <si>
    <t xml:space="preserve">  15:53:17</t>
  </si>
  <si>
    <t xml:space="preserve">  61.85KWH</t>
  </si>
  <si>
    <t xml:space="preserve"> 71.00KVAH</t>
  </si>
  <si>
    <t>34.87KVARH</t>
  </si>
  <si>
    <t xml:space="preserve">  15:53:19</t>
  </si>
  <si>
    <t xml:space="preserve">  61.88KWH</t>
  </si>
  <si>
    <t xml:space="preserve"> 71.04KVAH</t>
  </si>
  <si>
    <t>34.88KVARH</t>
  </si>
  <si>
    <t xml:space="preserve">  15:53:21</t>
  </si>
  <si>
    <t xml:space="preserve">  61.91KWH</t>
  </si>
  <si>
    <t xml:space="preserve"> 71.07KVAH</t>
  </si>
  <si>
    <t>34.90KVARH</t>
  </si>
  <si>
    <t xml:space="preserve">  15:53:23</t>
  </si>
  <si>
    <t xml:space="preserve">  61.94KWH</t>
  </si>
  <si>
    <t xml:space="preserve"> 71.10KVAH</t>
  </si>
  <si>
    <t>34.92KVARH</t>
  </si>
  <si>
    <t xml:space="preserve">  15:53:25</t>
  </si>
  <si>
    <t xml:space="preserve">  61.96KWH</t>
  </si>
  <si>
    <t xml:space="preserve"> 71.14KVAH</t>
  </si>
  <si>
    <t>34.93KVARH</t>
  </si>
  <si>
    <t xml:space="preserve">  15:53:27</t>
  </si>
  <si>
    <t xml:space="preserve">  61.99KWH</t>
  </si>
  <si>
    <t xml:space="preserve"> 71.17KVAH</t>
  </si>
  <si>
    <t>34.95KVARH</t>
  </si>
  <si>
    <t xml:space="preserve">  15:53:29</t>
  </si>
  <si>
    <t xml:space="preserve">  62.02KWH</t>
  </si>
  <si>
    <t xml:space="preserve"> 71.20KVAH</t>
  </si>
  <si>
    <t>34.97KVARH</t>
  </si>
  <si>
    <t xml:space="preserve">  15:53:31</t>
  </si>
  <si>
    <t xml:space="preserve">  62.05KWH</t>
  </si>
  <si>
    <t xml:space="preserve"> 71.24KVAH</t>
  </si>
  <si>
    <t>34.98KVARH</t>
  </si>
  <si>
    <t xml:space="preserve">  15:53:33</t>
  </si>
  <si>
    <t xml:space="preserve">  62.08KWH</t>
  </si>
  <si>
    <t xml:space="preserve"> 71.27KVAH</t>
  </si>
  <si>
    <t>35.00KVARH</t>
  </si>
  <si>
    <t xml:space="preserve">  15:53:35</t>
  </si>
  <si>
    <t xml:space="preserve">  62.11KWH</t>
  </si>
  <si>
    <t xml:space="preserve"> 71.30KVAH</t>
  </si>
  <si>
    <t>35.01KVARH</t>
  </si>
  <si>
    <t xml:space="preserve">  15:53:37</t>
  </si>
  <si>
    <t xml:space="preserve">  62.14KWH</t>
  </si>
  <si>
    <t xml:space="preserve"> 71.34KVAH</t>
  </si>
  <si>
    <t>35.03KVARH</t>
  </si>
  <si>
    <t xml:space="preserve">  15:53:39</t>
  </si>
  <si>
    <t xml:space="preserve">  62.17KWH</t>
  </si>
  <si>
    <t xml:space="preserve"> 71.37KVAH</t>
  </si>
  <si>
    <t>35.05KVARH</t>
  </si>
  <si>
    <t xml:space="preserve">  15:53:41</t>
  </si>
  <si>
    <t xml:space="preserve">  62.19KWH</t>
  </si>
  <si>
    <t xml:space="preserve"> 71.40KVAH</t>
  </si>
  <si>
    <t>35.06KVARH</t>
  </si>
  <si>
    <t xml:space="preserve">  15:53:43</t>
  </si>
  <si>
    <t xml:space="preserve">  62.22KWH</t>
  </si>
  <si>
    <t xml:space="preserve"> 71.43KVAH</t>
  </si>
  <si>
    <t>35.08KVARH</t>
  </si>
  <si>
    <t xml:space="preserve">  15:53:45</t>
  </si>
  <si>
    <t xml:space="preserve">  62.25KWH</t>
  </si>
  <si>
    <t xml:space="preserve"> 71.47KVAH</t>
  </si>
  <si>
    <t>35.10KVARH</t>
  </si>
  <si>
    <t xml:space="preserve">  15:53:47</t>
  </si>
  <si>
    <t xml:space="preserve">  62.28KWH</t>
  </si>
  <si>
    <t xml:space="preserve"> 71.50KVAH</t>
  </si>
  <si>
    <t>35.11KVARH</t>
  </si>
  <si>
    <t xml:space="preserve">  15:53:49</t>
  </si>
  <si>
    <t xml:space="preserve">  62.31KWH</t>
  </si>
  <si>
    <t xml:space="preserve"> 71.53KVAH</t>
  </si>
  <si>
    <t>35.13KVARH</t>
  </si>
  <si>
    <t xml:space="preserve">  15:53:51</t>
  </si>
  <si>
    <t xml:space="preserve">  62.34KWH</t>
  </si>
  <si>
    <t xml:space="preserve"> 71.57KVAH</t>
  </si>
  <si>
    <t>35.15KVARH</t>
  </si>
  <si>
    <t xml:space="preserve">  15:53:53</t>
  </si>
  <si>
    <t xml:space="preserve">  62.37KWH</t>
  </si>
  <si>
    <t xml:space="preserve"> 71.60KVAH</t>
  </si>
  <si>
    <t>35.16KVARH</t>
  </si>
  <si>
    <t xml:space="preserve">  15:53:55</t>
  </si>
  <si>
    <t xml:space="preserve">  62.39KWH</t>
  </si>
  <si>
    <t xml:space="preserve"> 71.63KVAH</t>
  </si>
  <si>
    <t>35.18KVARH</t>
  </si>
  <si>
    <t xml:space="preserve">  15:53:57</t>
  </si>
  <si>
    <t xml:space="preserve">  62.42KWH</t>
  </si>
  <si>
    <t xml:space="preserve"> 71.66KVAH</t>
  </si>
  <si>
    <t>35.19KVARH</t>
  </si>
  <si>
    <t xml:space="preserve">  15:53:59</t>
  </si>
  <si>
    <t xml:space="preserve">  62.45KWH</t>
  </si>
  <si>
    <t xml:space="preserve"> 71.70KVAH</t>
  </si>
  <si>
    <t>35.21KVARH</t>
  </si>
  <si>
    <t xml:space="preserve">  15:54:01</t>
  </si>
  <si>
    <t xml:space="preserve">  62.48KWH</t>
  </si>
  <si>
    <t xml:space="preserve"> 71.73KVAH</t>
  </si>
  <si>
    <t>35.23KVARH</t>
  </si>
  <si>
    <t xml:space="preserve">  15:54:03</t>
  </si>
  <si>
    <t xml:space="preserve">  62.51KWH</t>
  </si>
  <si>
    <t xml:space="preserve"> 71.76KVAH</t>
  </si>
  <si>
    <t>35.24KVARH</t>
  </si>
  <si>
    <t xml:space="preserve">  15:54:05</t>
  </si>
  <si>
    <t xml:space="preserve">  62.54KWH</t>
  </si>
  <si>
    <t xml:space="preserve"> 71.79KVAH</t>
  </si>
  <si>
    <t>35.26KVARH</t>
  </si>
  <si>
    <t xml:space="preserve">  15:54:07</t>
  </si>
  <si>
    <t xml:space="preserve">  62.56KWH</t>
  </si>
  <si>
    <t xml:space="preserve"> 71.83KVAH</t>
  </si>
  <si>
    <t>35.27KVARH</t>
  </si>
  <si>
    <t xml:space="preserve">  15:54:09</t>
  </si>
  <si>
    <t xml:space="preserve">  62.59KWH</t>
  </si>
  <si>
    <t xml:space="preserve"> 71.86KVAH</t>
  </si>
  <si>
    <t>35.29KVARH</t>
  </si>
  <si>
    <t xml:space="preserve">  15:54:11</t>
  </si>
  <si>
    <t xml:space="preserve">  62.62KWH</t>
  </si>
  <si>
    <t xml:space="preserve"> 71.89KVAH</t>
  </si>
  <si>
    <t>35.31KVARH</t>
  </si>
  <si>
    <t xml:space="preserve">  15:54:13</t>
  </si>
  <si>
    <t xml:space="preserve">  62.65KWH</t>
  </si>
  <si>
    <t xml:space="preserve"> 71.92KVAH</t>
  </si>
  <si>
    <t>35.32KVARH</t>
  </si>
  <si>
    <t xml:space="preserve">  15:54:15</t>
  </si>
  <si>
    <t xml:space="preserve">  62.67KWH</t>
  </si>
  <si>
    <t xml:space="preserve"> 71.95KVAH</t>
  </si>
  <si>
    <t>35.34KVARH</t>
  </si>
  <si>
    <t xml:space="preserve">  15:54:17</t>
  </si>
  <si>
    <t xml:space="preserve">    146.8A</t>
  </si>
  <si>
    <t xml:space="preserve">  90.75KVA</t>
  </si>
  <si>
    <t xml:space="preserve">  62.72KWH</t>
  </si>
  <si>
    <t xml:space="preserve"> 72.01KVAH</t>
  </si>
  <si>
    <t>35.36KVARH</t>
  </si>
  <si>
    <t xml:space="preserve">  15:54:19</t>
  </si>
  <si>
    <t xml:space="preserve">  62.77KWH</t>
  </si>
  <si>
    <t xml:space="preserve"> 72.06KVAH</t>
  </si>
  <si>
    <t>35.38KVARH</t>
  </si>
  <si>
    <t xml:space="preserve">  15:54:21</t>
  </si>
  <si>
    <t xml:space="preserve">  62.81KWH</t>
  </si>
  <si>
    <t xml:space="preserve"> 72.11KVAH</t>
  </si>
  <si>
    <t>35.41KVARH</t>
  </si>
  <si>
    <t xml:space="preserve">  15:54:23</t>
  </si>
  <si>
    <t xml:space="preserve">    90.90A</t>
  </si>
  <si>
    <t xml:space="preserve">    99.84A</t>
  </si>
  <si>
    <t xml:space="preserve">   53.04KW</t>
  </si>
  <si>
    <t xml:space="preserve">  62.84KWH</t>
  </si>
  <si>
    <t xml:space="preserve"> 72.14KVAH</t>
  </si>
  <si>
    <t>35.42KVARH</t>
  </si>
  <si>
    <t xml:space="preserve">  15:54:25</t>
  </si>
  <si>
    <t xml:space="preserve">  62.87KWH</t>
  </si>
  <si>
    <t xml:space="preserve"> 72.18KVAH</t>
  </si>
  <si>
    <t>35.44KVARH</t>
  </si>
  <si>
    <t xml:space="preserve">  15:54:27</t>
  </si>
  <si>
    <t xml:space="preserve">  62.90KWH</t>
  </si>
  <si>
    <t xml:space="preserve"> 72.21KVAH</t>
  </si>
  <si>
    <t>35.46KVARH</t>
  </si>
  <si>
    <t xml:space="preserve">  15:54:29</t>
  </si>
  <si>
    <t xml:space="preserve">  62.93KWH</t>
  </si>
  <si>
    <t xml:space="preserve"> 72.24KVAH</t>
  </si>
  <si>
    <t>35.47KVARH</t>
  </si>
  <si>
    <t xml:space="preserve">  15:54:31</t>
  </si>
  <si>
    <t xml:space="preserve">  62.96KWH</t>
  </si>
  <si>
    <t xml:space="preserve"> 72.28KVAH</t>
  </si>
  <si>
    <t>35.49KVARH</t>
  </si>
  <si>
    <t xml:space="preserve">  15:54:33</t>
  </si>
  <si>
    <t xml:space="preserve">  62.99KWH</t>
  </si>
  <si>
    <t xml:space="preserve"> 72.31KVAH</t>
  </si>
  <si>
    <t>35.50KVARH</t>
  </si>
  <si>
    <t xml:space="preserve">  15:54:35</t>
  </si>
  <si>
    <t xml:space="preserve">  63.02KWH</t>
  </si>
  <si>
    <t xml:space="preserve"> 72.34KVAH</t>
  </si>
  <si>
    <t>35.52KVARH</t>
  </si>
  <si>
    <t xml:space="preserve">  15:54:37</t>
  </si>
  <si>
    <t xml:space="preserve">  63.04KWH</t>
  </si>
  <si>
    <t xml:space="preserve"> 72.38KVAH</t>
  </si>
  <si>
    <t>35.54KVARH</t>
  </si>
  <si>
    <t xml:space="preserve">  15:54:39</t>
  </si>
  <si>
    <t xml:space="preserve">  63.07KWH</t>
  </si>
  <si>
    <t xml:space="preserve"> 72.41KVAH</t>
  </si>
  <si>
    <t>35.55KVARH</t>
  </si>
  <si>
    <t xml:space="preserve">  15:54:41</t>
  </si>
  <si>
    <t xml:space="preserve">  63.10KWH</t>
  </si>
  <si>
    <t xml:space="preserve"> 72.44KVAH</t>
  </si>
  <si>
    <t>35.57KVARH</t>
  </si>
  <si>
    <t xml:space="preserve">  15:54:43</t>
  </si>
  <si>
    <t xml:space="preserve">  63.13KWH</t>
  </si>
  <si>
    <t xml:space="preserve"> 72.47KVAH</t>
  </si>
  <si>
    <t>35.59KVARH</t>
  </si>
  <si>
    <t xml:space="preserve">  15:54:45</t>
  </si>
  <si>
    <t xml:space="preserve">  63.16KWH</t>
  </si>
  <si>
    <t xml:space="preserve"> 72.51KVAH</t>
  </si>
  <si>
    <t>35.60KVARH</t>
  </si>
  <si>
    <t xml:space="preserve">  15:54:47</t>
  </si>
  <si>
    <t xml:space="preserve">  63.19KWH</t>
  </si>
  <si>
    <t xml:space="preserve"> 72.54KVAH</t>
  </si>
  <si>
    <t>35.62KVARH</t>
  </si>
  <si>
    <t xml:space="preserve">  15:54:49</t>
  </si>
  <si>
    <t xml:space="preserve">  63.22KWH</t>
  </si>
  <si>
    <t xml:space="preserve"> 72.57KVAH</t>
  </si>
  <si>
    <t>35.64KVARH</t>
  </si>
  <si>
    <t xml:space="preserve">  15:54:51</t>
  </si>
  <si>
    <t xml:space="preserve">  63.24KWH</t>
  </si>
  <si>
    <t xml:space="preserve"> 72.61KVAH</t>
  </si>
  <si>
    <t>35.65KVARH</t>
  </si>
  <si>
    <t xml:space="preserve">  15:54:53</t>
  </si>
  <si>
    <t xml:space="preserve">  63.27KWH</t>
  </si>
  <si>
    <t xml:space="preserve"> 72.64KVAH</t>
  </si>
  <si>
    <t>35.67KVARH</t>
  </si>
  <si>
    <t xml:space="preserve">  15:54:55</t>
  </si>
  <si>
    <t xml:space="preserve">  63.30KWH</t>
  </si>
  <si>
    <t xml:space="preserve"> 72.67KVAH</t>
  </si>
  <si>
    <t>35.69KVARH</t>
  </si>
  <si>
    <t xml:space="preserve">  15:54:57</t>
  </si>
  <si>
    <t xml:space="preserve">  63.33KWH</t>
  </si>
  <si>
    <t xml:space="preserve"> 72.70KVAH</t>
  </si>
  <si>
    <t>35.70KVARH</t>
  </si>
  <si>
    <t xml:space="preserve">  15:54:59</t>
  </si>
  <si>
    <t xml:space="preserve">  63.36KWH</t>
  </si>
  <si>
    <t xml:space="preserve"> 72.74KVAH</t>
  </si>
  <si>
    <t>35.72KVARH</t>
  </si>
  <si>
    <t xml:space="preserve">  15:55:01</t>
  </si>
  <si>
    <t xml:space="preserve">  63.39KWH</t>
  </si>
  <si>
    <t xml:space="preserve"> 72.77KVAH</t>
  </si>
  <si>
    <t>35.74KVARH</t>
  </si>
  <si>
    <t xml:space="preserve">  15:55:03</t>
  </si>
  <si>
    <t xml:space="preserve">  63.41KWH</t>
  </si>
  <si>
    <t xml:space="preserve"> 72.80KVAH</t>
  </si>
  <si>
    <t>35.75KVARH</t>
  </si>
  <si>
    <t xml:space="preserve">  15:55:05</t>
  </si>
  <si>
    <t xml:space="preserve">  63.44KWH</t>
  </si>
  <si>
    <t xml:space="preserve"> 72.83KVAH</t>
  </si>
  <si>
    <t>35.77KVARH</t>
  </si>
  <si>
    <t xml:space="preserve">  15:55:07</t>
  </si>
  <si>
    <t xml:space="preserve">  63.47KWH</t>
  </si>
  <si>
    <t xml:space="preserve"> 72.87KVAH</t>
  </si>
  <si>
    <t>35.78KVARH</t>
  </si>
  <si>
    <t xml:space="preserve">  15:55:09</t>
  </si>
  <si>
    <t xml:space="preserve">  63.50KWH</t>
  </si>
  <si>
    <t xml:space="preserve"> 72.90KVAH</t>
  </si>
  <si>
    <t>35.80KVARH</t>
  </si>
  <si>
    <t xml:space="preserve">  15:55:11</t>
  </si>
  <si>
    <t xml:space="preserve">  63.53KWH</t>
  </si>
  <si>
    <t xml:space="preserve"> 72.93KVAH</t>
  </si>
  <si>
    <t>35.82KVARH</t>
  </si>
  <si>
    <t xml:space="preserve">  15:55:13</t>
  </si>
  <si>
    <t xml:space="preserve">    143.8A</t>
  </si>
  <si>
    <t xml:space="preserve">    135.1A</t>
  </si>
  <si>
    <t xml:space="preserve">  63.57KWH</t>
  </si>
  <si>
    <t xml:space="preserve"> 72.98KVAH</t>
  </si>
  <si>
    <t>35.84KVARH</t>
  </si>
  <si>
    <t xml:space="preserve">  15:55:15</t>
  </si>
  <si>
    <t xml:space="preserve">  63.62KWH</t>
  </si>
  <si>
    <t xml:space="preserve"> 73.03KVAH</t>
  </si>
  <si>
    <t>35.86KVARH</t>
  </si>
  <si>
    <t xml:space="preserve">  15:55:17</t>
  </si>
  <si>
    <t xml:space="preserve">  63.66KWH</t>
  </si>
  <si>
    <t xml:space="preserve"> 73.08KVAH</t>
  </si>
  <si>
    <t>35.88KVARH</t>
  </si>
  <si>
    <t xml:space="preserve">  15:55:19</t>
  </si>
  <si>
    <t xml:space="preserve">    112.2A</t>
  </si>
  <si>
    <t xml:space="preserve">   73.74KW</t>
  </si>
  <si>
    <t xml:space="preserve">  83.01KVA</t>
  </si>
  <si>
    <t>-38.13KVAR</t>
  </si>
  <si>
    <t xml:space="preserve">  63.70KWH</t>
  </si>
  <si>
    <t xml:space="preserve"> 73.13KVAH</t>
  </si>
  <si>
    <t>35.90KVARH</t>
  </si>
  <si>
    <t xml:space="preserve">  15:55:21</t>
  </si>
  <si>
    <t xml:space="preserve">  63.73KWH</t>
  </si>
  <si>
    <t xml:space="preserve"> 73.16KVAH</t>
  </si>
  <si>
    <t>35.92KVARH</t>
  </si>
  <si>
    <t xml:space="preserve">  15:55:23</t>
  </si>
  <si>
    <t xml:space="preserve">  63.76KWH</t>
  </si>
  <si>
    <t xml:space="preserve"> 73.20KVAH</t>
  </si>
  <si>
    <t>35.94KVARH</t>
  </si>
  <si>
    <t xml:space="preserve">  15:55:25</t>
  </si>
  <si>
    <t xml:space="preserve">  63.79KWH</t>
  </si>
  <si>
    <t xml:space="preserve"> 73.23KVAH</t>
  </si>
  <si>
    <t>35.95KVARH</t>
  </si>
  <si>
    <t xml:space="preserve">  15:55:27</t>
  </si>
  <si>
    <t xml:space="preserve">  63.82KWH</t>
  </si>
  <si>
    <t xml:space="preserve"> 73.26KVAH</t>
  </si>
  <si>
    <t>35.97KVARH</t>
  </si>
  <si>
    <t xml:space="preserve">  15:55:29</t>
  </si>
  <si>
    <t xml:space="preserve">  63.85KWH</t>
  </si>
  <si>
    <t xml:space="preserve"> 73.30KVAH</t>
  </si>
  <si>
    <t>35.99KVARH</t>
  </si>
  <si>
    <t xml:space="preserve">  15:55:31</t>
  </si>
  <si>
    <t xml:space="preserve">  63.88KWH</t>
  </si>
  <si>
    <t xml:space="preserve"> 73.33KVAH</t>
  </si>
  <si>
    <t>36.00KVARH</t>
  </si>
  <si>
    <t xml:space="preserve">  15:55:33</t>
  </si>
  <si>
    <t xml:space="preserve">  63.91KWH</t>
  </si>
  <si>
    <t xml:space="preserve"> 73.36KVAH</t>
  </si>
  <si>
    <t>36.02KVARH</t>
  </si>
  <si>
    <t xml:space="preserve">  15:55:35</t>
  </si>
  <si>
    <t xml:space="preserve">  63.94KWH</t>
  </si>
  <si>
    <t xml:space="preserve"> 73.40KVAH</t>
  </si>
  <si>
    <t>36.04KVARH</t>
  </si>
  <si>
    <t xml:space="preserve">  15:55:37</t>
  </si>
  <si>
    <t xml:space="preserve">  63.96KWH</t>
  </si>
  <si>
    <t xml:space="preserve"> 73.43KVAH</t>
  </si>
  <si>
    <t>36.05KVARH</t>
  </si>
  <si>
    <t xml:space="preserve">  15:55:39</t>
  </si>
  <si>
    <t xml:space="preserve">  63.99KWH</t>
  </si>
  <si>
    <t xml:space="preserve"> 73.46KVAH</t>
  </si>
  <si>
    <t>36.07KVARH</t>
  </si>
  <si>
    <t xml:space="preserve">  15:55:41</t>
  </si>
  <si>
    <t xml:space="preserve">  64.02KWH</t>
  </si>
  <si>
    <t xml:space="preserve"> 73.50KVAH</t>
  </si>
  <si>
    <t>36.09KVARH</t>
  </si>
  <si>
    <t xml:space="preserve">  15:55:43</t>
  </si>
  <si>
    <t xml:space="preserve">  64.05KWH</t>
  </si>
  <si>
    <t xml:space="preserve"> 73.53KVAH</t>
  </si>
  <si>
    <t>36.10KVARH</t>
  </si>
  <si>
    <t xml:space="preserve">  15:55:45</t>
  </si>
  <si>
    <t xml:space="preserve">  64.08KWH</t>
  </si>
  <si>
    <t xml:space="preserve"> 73.56KVAH</t>
  </si>
  <si>
    <t>36.12KVARH</t>
  </si>
  <si>
    <t xml:space="preserve">  15:55:47</t>
  </si>
  <si>
    <t xml:space="preserve">  64.11KWH</t>
  </si>
  <si>
    <t xml:space="preserve"> 73.60KVAH</t>
  </si>
  <si>
    <t>36.14KVARH</t>
  </si>
  <si>
    <t xml:space="preserve">  15:55:49</t>
  </si>
  <si>
    <t xml:space="preserve">  64.14KWH</t>
  </si>
  <si>
    <t xml:space="preserve"> 73.63KVAH</t>
  </si>
  <si>
    <t>36.15KVARH</t>
  </si>
  <si>
    <t xml:space="preserve">  15:55:51</t>
  </si>
  <si>
    <t xml:space="preserve">  64.16KWH</t>
  </si>
  <si>
    <t xml:space="preserve"> 73.66KVAH</t>
  </si>
  <si>
    <t>36.17KVARH</t>
  </si>
  <si>
    <t xml:space="preserve">  15:55:53</t>
  </si>
  <si>
    <t xml:space="preserve">  64.19KWH</t>
  </si>
  <si>
    <t xml:space="preserve"> 73.69KVAH</t>
  </si>
  <si>
    <t>36.19KVARH</t>
  </si>
  <si>
    <t xml:space="preserve">  15:55:55</t>
  </si>
  <si>
    <t xml:space="preserve">  64.22KWH</t>
  </si>
  <si>
    <t xml:space="preserve"> 73.73KVAH</t>
  </si>
  <si>
    <t>36.20KVARH</t>
  </si>
  <si>
    <t xml:space="preserve">  15:55:57</t>
  </si>
  <si>
    <t xml:space="preserve">  64.25KWH</t>
  </si>
  <si>
    <t xml:space="preserve"> 73.76KVAH</t>
  </si>
  <si>
    <t>36.22KVARH</t>
  </si>
  <si>
    <t xml:space="preserve">  15:55:59</t>
  </si>
  <si>
    <t xml:space="preserve">  64.28KWH</t>
  </si>
  <si>
    <t xml:space="preserve"> 73.79KVAH</t>
  </si>
  <si>
    <t>36.24KVARH</t>
  </si>
  <si>
    <t xml:space="preserve">  15:56:01</t>
  </si>
  <si>
    <t xml:space="preserve">  64.31KWH</t>
  </si>
  <si>
    <t xml:space="preserve"> 73.82KVAH</t>
  </si>
  <si>
    <t>36.25KVARH</t>
  </si>
  <si>
    <t xml:space="preserve">  15:56:03</t>
  </si>
  <si>
    <t xml:space="preserve">  64.33KWH</t>
  </si>
  <si>
    <t xml:space="preserve"> 73.86KVAH</t>
  </si>
  <si>
    <t>36.27KVARH</t>
  </si>
  <si>
    <t xml:space="preserve">  15:56:05</t>
  </si>
  <si>
    <t xml:space="preserve">  64.36KWH</t>
  </si>
  <si>
    <t xml:space="preserve"> 73.89KVAH</t>
  </si>
  <si>
    <t>36.28KVARH</t>
  </si>
  <si>
    <t xml:space="preserve">  15:56:07</t>
  </si>
  <si>
    <t xml:space="preserve">  64.39KWH</t>
  </si>
  <si>
    <t xml:space="preserve"> 73.92KVAH</t>
  </si>
  <si>
    <t>36.30KVARH</t>
  </si>
  <si>
    <t xml:space="preserve">  15:56:09</t>
  </si>
  <si>
    <t xml:space="preserve">  64.42KWH</t>
  </si>
  <si>
    <t xml:space="preserve"> 73.95KVAH</t>
  </si>
  <si>
    <t>36.32KVARH</t>
  </si>
  <si>
    <t xml:space="preserve">  15:56:11</t>
  </si>
  <si>
    <t xml:space="preserve">    92.91A</t>
  </si>
  <si>
    <t xml:space="preserve">  64.45KWH</t>
  </si>
  <si>
    <t xml:space="preserve"> 73.99KVAH</t>
  </si>
  <si>
    <t>36.33KVARH</t>
  </si>
  <si>
    <t xml:space="preserve">  15:56:13</t>
  </si>
  <si>
    <t xml:space="preserve">  64.47KWH</t>
  </si>
  <si>
    <t xml:space="preserve"> 74.02KVAH</t>
  </si>
  <si>
    <t>36.35KVARH</t>
  </si>
  <si>
    <t xml:space="preserve">  15:56:15</t>
  </si>
  <si>
    <t xml:space="preserve">  64.52KWH</t>
  </si>
  <si>
    <t xml:space="preserve"> 74.07KVAH</t>
  </si>
  <si>
    <t>36.37KVARH</t>
  </si>
  <si>
    <t xml:space="preserve">  15:56:17</t>
  </si>
  <si>
    <t xml:space="preserve">  64.56KWH</t>
  </si>
  <si>
    <t xml:space="preserve"> 74.12KVAH</t>
  </si>
  <si>
    <t>36.39KVARH</t>
  </si>
  <si>
    <t xml:space="preserve">  15:56:19</t>
  </si>
  <si>
    <t xml:space="preserve">  64.61KWH</t>
  </si>
  <si>
    <t xml:space="preserve"> 74.17KVAH</t>
  </si>
  <si>
    <t>36.42KVARH</t>
  </si>
  <si>
    <t xml:space="preserve">  15:56:21</t>
  </si>
  <si>
    <t xml:space="preserve">  64.64KWH</t>
  </si>
  <si>
    <t xml:space="preserve"> 74.20KVAH</t>
  </si>
  <si>
    <t>36.43KVARH</t>
  </si>
  <si>
    <t xml:space="preserve">  15:56:23</t>
  </si>
  <si>
    <t xml:space="preserve">  64.67KWH</t>
  </si>
  <si>
    <t xml:space="preserve"> 74.24KVAH</t>
  </si>
  <si>
    <t>36.45KVARH</t>
  </si>
  <si>
    <t xml:space="preserve">  15:56:25</t>
  </si>
  <si>
    <t xml:space="preserve">  64.70KWH</t>
  </si>
  <si>
    <t xml:space="preserve"> 74.27KVAH</t>
  </si>
  <si>
    <t>36.47KVARH</t>
  </si>
  <si>
    <t xml:space="preserve">  15:56:27</t>
  </si>
  <si>
    <t xml:space="preserve">  64.73KWH</t>
  </si>
  <si>
    <t xml:space="preserve"> 74.31KVAH</t>
  </si>
  <si>
    <t>36.48KVARH</t>
  </si>
  <si>
    <t xml:space="preserve">  15:56:29</t>
  </si>
  <si>
    <t xml:space="preserve">  64.76KWH</t>
  </si>
  <si>
    <t xml:space="preserve"> 74.34KVAH</t>
  </si>
  <si>
    <t>36.50KVARH</t>
  </si>
  <si>
    <t xml:space="preserve">  15:56:31</t>
  </si>
  <si>
    <t xml:space="preserve">  64.79KWH</t>
  </si>
  <si>
    <t xml:space="preserve"> 74.37KVAH</t>
  </si>
  <si>
    <t>36.52KVARH</t>
  </si>
  <si>
    <t xml:space="preserve">  15:56:33</t>
  </si>
  <si>
    <t xml:space="preserve">  64.81KWH</t>
  </si>
  <si>
    <t xml:space="preserve"> 74.41KVAH</t>
  </si>
  <si>
    <t>36.53KVARH</t>
  </si>
  <si>
    <t xml:space="preserve">  15:56:35</t>
  </si>
  <si>
    <t xml:space="preserve">  64.84KWH</t>
  </si>
  <si>
    <t xml:space="preserve"> 74.44KVAH</t>
  </si>
  <si>
    <t>36.55KVARH</t>
  </si>
  <si>
    <t xml:space="preserve">  15:56:37</t>
  </si>
  <si>
    <t xml:space="preserve">  64.87KWH</t>
  </si>
  <si>
    <t xml:space="preserve"> 74.47KVAH</t>
  </si>
  <si>
    <t>36.57KVARH</t>
  </si>
  <si>
    <t xml:space="preserve">  15:56:39</t>
  </si>
  <si>
    <t xml:space="preserve">  64.90KWH</t>
  </si>
  <si>
    <t xml:space="preserve"> 74.51KVAH</t>
  </si>
  <si>
    <t>36.58KVARH</t>
  </si>
  <si>
    <t xml:space="preserve">  15:56:41</t>
  </si>
  <si>
    <t xml:space="preserve">  64.93KWH</t>
  </si>
  <si>
    <t xml:space="preserve"> 74.54KVAH</t>
  </si>
  <si>
    <t>36.60KVARH</t>
  </si>
  <si>
    <t xml:space="preserve">  15:56:43</t>
  </si>
  <si>
    <t xml:space="preserve">  64.96KWH</t>
  </si>
  <si>
    <t xml:space="preserve"> 74.57KVAH</t>
  </si>
  <si>
    <t>36.62KVARH</t>
  </si>
  <si>
    <t xml:space="preserve">  15:56:45</t>
  </si>
  <si>
    <t xml:space="preserve">  64.99KWH</t>
  </si>
  <si>
    <t xml:space="preserve"> 74.61KVAH</t>
  </si>
  <si>
    <t>36.63KVARH</t>
  </si>
  <si>
    <t xml:space="preserve">  15:56:47</t>
  </si>
  <si>
    <t xml:space="preserve">  65.02KWH</t>
  </si>
  <si>
    <t xml:space="preserve"> 74.64KVAH</t>
  </si>
  <si>
    <t>36.65KVARH</t>
  </si>
  <si>
    <t xml:space="preserve">  15:56:49</t>
  </si>
  <si>
    <t xml:space="preserve">  65.04KWH</t>
  </si>
  <si>
    <t xml:space="preserve"> 74.67KVAH</t>
  </si>
  <si>
    <t>36.67KVARH</t>
  </si>
  <si>
    <t xml:space="preserve">  15:56:51</t>
  </si>
  <si>
    <t xml:space="preserve">  65.07KWH</t>
  </si>
  <si>
    <t xml:space="preserve"> 74.70KVAH</t>
  </si>
  <si>
    <t>36.68KVARH</t>
  </si>
  <si>
    <t xml:space="preserve">  15:56:53</t>
  </si>
  <si>
    <t xml:space="preserve">  65.10KWH</t>
  </si>
  <si>
    <t xml:space="preserve"> 74.74KVAH</t>
  </si>
  <si>
    <t>36.70KVARH</t>
  </si>
  <si>
    <t xml:space="preserve">  15:56:55</t>
  </si>
  <si>
    <t xml:space="preserve">  65.13KWH</t>
  </si>
  <si>
    <t xml:space="preserve"> 74.77KVAH</t>
  </si>
  <si>
    <t>36.72KVARH</t>
  </si>
  <si>
    <t xml:space="preserve">  15:56:57</t>
  </si>
  <si>
    <t xml:space="preserve">  65.16KWH</t>
  </si>
  <si>
    <t xml:space="preserve"> 74.80KVAH</t>
  </si>
  <si>
    <t>36.73KVARH</t>
  </si>
  <si>
    <t xml:space="preserve">  15:56:59</t>
  </si>
  <si>
    <t xml:space="preserve">  65.19KWH</t>
  </si>
  <si>
    <t xml:space="preserve"> 74.84KVAH</t>
  </si>
  <si>
    <t>36.75KVARH</t>
  </si>
  <si>
    <t xml:space="preserve">  15:57:01</t>
  </si>
  <si>
    <t xml:space="preserve">  65.21KWH</t>
  </si>
  <si>
    <t xml:space="preserve"> 74.87KVAH</t>
  </si>
  <si>
    <t>36.77KVARH</t>
  </si>
  <si>
    <t xml:space="preserve">  15:57:03</t>
  </si>
  <si>
    <t xml:space="preserve">  65.24KWH</t>
  </si>
  <si>
    <t xml:space="preserve"> 74.90KVAH</t>
  </si>
  <si>
    <t>36.78KVARH</t>
  </si>
  <si>
    <t xml:space="preserve">  15:57:05</t>
  </si>
  <si>
    <t xml:space="preserve">  65.27KWH</t>
  </si>
  <si>
    <t xml:space="preserve"> 74.93KVAH</t>
  </si>
  <si>
    <t>36.80KVARH</t>
  </si>
  <si>
    <t xml:space="preserve">  15:57:07</t>
  </si>
  <si>
    <t xml:space="preserve">  65.30KWH</t>
  </si>
  <si>
    <t xml:space="preserve"> 74.97KVAH</t>
  </si>
  <si>
    <t>36.81KVARH</t>
  </si>
  <si>
    <t xml:space="preserve">  15:57:09</t>
  </si>
  <si>
    <t xml:space="preserve">  65.33KWH</t>
  </si>
  <si>
    <t xml:space="preserve"> 75.00KVAH</t>
  </si>
  <si>
    <t>36.83KVARH</t>
  </si>
  <si>
    <t xml:space="preserve">  15:57:11</t>
  </si>
  <si>
    <t xml:space="preserve">  65.35KWH</t>
  </si>
  <si>
    <t xml:space="preserve"> 75.03KVAH</t>
  </si>
  <si>
    <t>36.85KVARH</t>
  </si>
  <si>
    <t xml:space="preserve">  15:57:13</t>
  </si>
  <si>
    <t xml:space="preserve">  65.38KWH</t>
  </si>
  <si>
    <t xml:space="preserve"> 75.06KVAH</t>
  </si>
  <si>
    <t>36.86KVARH</t>
  </si>
  <si>
    <t xml:space="preserve">  15:57:15</t>
  </si>
  <si>
    <t xml:space="preserve">    85.38A</t>
  </si>
  <si>
    <t xml:space="preserve">  65.41KWH</t>
  </si>
  <si>
    <t xml:space="preserve"> 75.09KVAH</t>
  </si>
  <si>
    <t>36.88KVARH</t>
  </si>
  <si>
    <t xml:space="preserve">  15:57:17</t>
  </si>
  <si>
    <t xml:space="preserve">   59.10KW</t>
  </si>
  <si>
    <t xml:space="preserve">  67.23KVA</t>
  </si>
  <si>
    <t>-32.07KVAR</t>
  </si>
  <si>
    <t xml:space="preserve">  65.44KWH</t>
  </si>
  <si>
    <t xml:space="preserve"> 75.13KVAH</t>
  </si>
  <si>
    <t>36.90KVARH</t>
  </si>
  <si>
    <t xml:space="preserve">  15:57:19</t>
  </si>
  <si>
    <t xml:space="preserve">  65.49KWH</t>
  </si>
  <si>
    <t xml:space="preserve"> 75.18KVAH</t>
  </si>
  <si>
    <t>36.92KVARH</t>
  </si>
  <si>
    <t xml:space="preserve">  15:57:21</t>
  </si>
  <si>
    <t xml:space="preserve">   82.41KW</t>
  </si>
  <si>
    <t xml:space="preserve">  91.77KVA</t>
  </si>
  <si>
    <t xml:space="preserve">  65.53KWH</t>
  </si>
  <si>
    <t xml:space="preserve"> 75.23KVAH</t>
  </si>
  <si>
    <t>36.94KVARH</t>
  </si>
  <si>
    <t xml:space="preserve">  15:57:23</t>
  </si>
  <si>
    <t xml:space="preserve">  65.58KWH</t>
  </si>
  <si>
    <t xml:space="preserve"> 75.29KVAH</t>
  </si>
  <si>
    <t>36.97KVARH</t>
  </si>
  <si>
    <t xml:space="preserve">  15:57:25</t>
  </si>
  <si>
    <t xml:space="preserve">    110.6A</t>
  </si>
  <si>
    <t xml:space="preserve">   66.39KW</t>
  </si>
  <si>
    <t xml:space="preserve">  75.30KVA</t>
  </si>
  <si>
    <t xml:space="preserve">  65.62KWH</t>
  </si>
  <si>
    <t xml:space="preserve"> 75.33KVAH</t>
  </si>
  <si>
    <t>36.98KVARH</t>
  </si>
  <si>
    <t xml:space="preserve">  15:57:27</t>
  </si>
  <si>
    <t xml:space="preserve">  65.65KWH</t>
  </si>
  <si>
    <t xml:space="preserve"> 75.36KVAH</t>
  </si>
  <si>
    <t>37.00KVARH</t>
  </si>
  <si>
    <t xml:space="preserve">  15:57:29</t>
  </si>
  <si>
    <t xml:space="preserve">  65.68KWH</t>
  </si>
  <si>
    <t xml:space="preserve"> 75.39KVAH</t>
  </si>
  <si>
    <t>37.02KVARH</t>
  </si>
  <si>
    <t xml:space="preserve">  15:57:31</t>
  </si>
  <si>
    <t xml:space="preserve">  65.71KWH</t>
  </si>
  <si>
    <t xml:space="preserve"> 75.43KVAH</t>
  </si>
  <si>
    <t>37.04KVARH</t>
  </si>
  <si>
    <t xml:space="preserve">  15:57:33</t>
  </si>
  <si>
    <t xml:space="preserve">  65.73KWH</t>
  </si>
  <si>
    <t xml:space="preserve"> 75.46KVAH</t>
  </si>
  <si>
    <t>37.05KVARH</t>
  </si>
  <si>
    <t xml:space="preserve">  15:57:35</t>
  </si>
  <si>
    <t xml:space="preserve">  65.76KWH</t>
  </si>
  <si>
    <t xml:space="preserve"> 75.50KVAH</t>
  </si>
  <si>
    <t>37.07KVARH</t>
  </si>
  <si>
    <t xml:space="preserve">  15:57:37</t>
  </si>
  <si>
    <t xml:space="preserve">  65.79KWH</t>
  </si>
  <si>
    <t xml:space="preserve"> 75.53KVAH</t>
  </si>
  <si>
    <t>37.09KVARH</t>
  </si>
  <si>
    <t xml:space="preserve">  15:57:39</t>
  </si>
  <si>
    <t xml:space="preserve">  65.82KWH</t>
  </si>
  <si>
    <t xml:space="preserve"> 75.56KVAH</t>
  </si>
  <si>
    <t>37.10KVARH</t>
  </si>
  <si>
    <t xml:space="preserve">  15:57:41</t>
  </si>
  <si>
    <t xml:space="preserve">  65.85KWH</t>
  </si>
  <si>
    <t xml:space="preserve"> 75.60KVAH</t>
  </si>
  <si>
    <t>37.12KVARH</t>
  </si>
  <si>
    <t xml:space="preserve">  15:57:43</t>
  </si>
  <si>
    <t xml:space="preserve">  65.88KWH</t>
  </si>
  <si>
    <t xml:space="preserve"> 75.63KVAH</t>
  </si>
  <si>
    <t>37.14KVARH</t>
  </si>
  <si>
    <t xml:space="preserve">  15:57:45</t>
  </si>
  <si>
    <t xml:space="preserve">  65.91KWH</t>
  </si>
  <si>
    <t xml:space="preserve"> 75.66KVAH</t>
  </si>
  <si>
    <t>37.15KVARH</t>
  </si>
  <si>
    <t xml:space="preserve">  15:57:47</t>
  </si>
  <si>
    <t xml:space="preserve">  65.94KWH</t>
  </si>
  <si>
    <t xml:space="preserve"> 75.69KVAH</t>
  </si>
  <si>
    <t>37.17KVARH</t>
  </si>
  <si>
    <t xml:space="preserve">  15:57:49</t>
  </si>
  <si>
    <t xml:space="preserve">  65.96KWH</t>
  </si>
  <si>
    <t xml:space="preserve"> 75.73KVAH</t>
  </si>
  <si>
    <t>37.18KVARH</t>
  </si>
  <si>
    <t xml:space="preserve">  15:57:51</t>
  </si>
  <si>
    <t xml:space="preserve">  65.99KWH</t>
  </si>
  <si>
    <t xml:space="preserve"> 75.76KVAH</t>
  </si>
  <si>
    <t>37.20KVARH</t>
  </si>
  <si>
    <t xml:space="preserve">  15:57:53</t>
  </si>
  <si>
    <t xml:space="preserve">  66.02KWH</t>
  </si>
  <si>
    <t xml:space="preserve"> 75.79KVAH</t>
  </si>
  <si>
    <t>37.22KVARH</t>
  </si>
  <si>
    <t xml:space="preserve">  15:57:55</t>
  </si>
  <si>
    <t xml:space="preserve">  66.05KWH</t>
  </si>
  <si>
    <t xml:space="preserve"> 75.83KVAH</t>
  </si>
  <si>
    <t>37.23KVARH</t>
  </si>
  <si>
    <t xml:space="preserve">  15:57:57</t>
  </si>
  <si>
    <t xml:space="preserve">  66.08KWH</t>
  </si>
  <si>
    <t xml:space="preserve"> 75.86KVAH</t>
  </si>
  <si>
    <t>37.25KVARH</t>
  </si>
  <si>
    <t xml:space="preserve">  15:57:59</t>
  </si>
  <si>
    <t xml:space="preserve">  66.11KWH</t>
  </si>
  <si>
    <t xml:space="preserve"> 75.89KVAH</t>
  </si>
  <si>
    <t>37.27KVARH</t>
  </si>
  <si>
    <t xml:space="preserve">  15:58:01</t>
  </si>
  <si>
    <t xml:space="preserve">  66.14KWH</t>
  </si>
  <si>
    <t xml:space="preserve"> 75.93KVAH</t>
  </si>
  <si>
    <t>37.28KVARH</t>
  </si>
  <si>
    <t xml:space="preserve">  15:58:03</t>
  </si>
  <si>
    <t xml:space="preserve">  66.16KWH</t>
  </si>
  <si>
    <t xml:space="preserve"> 75.96KVAH</t>
  </si>
  <si>
    <t>37.30KVARH</t>
  </si>
  <si>
    <t xml:space="preserve">  15:58:05</t>
  </si>
  <si>
    <t xml:space="preserve">  66.19KWH</t>
  </si>
  <si>
    <t xml:space="preserve"> 75.99KVAH</t>
  </si>
  <si>
    <t>37.32KVARH</t>
  </si>
  <si>
    <t xml:space="preserve">  15:58:07</t>
  </si>
  <si>
    <t xml:space="preserve">  66.22KWH</t>
  </si>
  <si>
    <t xml:space="preserve"> 76.02KVAH</t>
  </si>
  <si>
    <t>37.33KVARH</t>
  </si>
  <si>
    <t xml:space="preserve">  15:58:09</t>
  </si>
  <si>
    <t xml:space="preserve">  66.25KWH</t>
  </si>
  <si>
    <t xml:space="preserve"> 76.06KVAH</t>
  </si>
  <si>
    <t>37.35KVARH</t>
  </si>
  <si>
    <t xml:space="preserve">  15:58:11</t>
  </si>
  <si>
    <t xml:space="preserve">  66.28KWH</t>
  </si>
  <si>
    <t xml:space="preserve"> 76.09KVAH</t>
  </si>
  <si>
    <t>37.37KVARH</t>
  </si>
  <si>
    <t xml:space="preserve">  15:58:13</t>
  </si>
  <si>
    <t xml:space="preserve">  66.30KWH</t>
  </si>
  <si>
    <t xml:space="preserve"> 76.12KVAH</t>
  </si>
  <si>
    <t>37.38KVARH</t>
  </si>
  <si>
    <t xml:space="preserve">  15:58:15</t>
  </si>
  <si>
    <t xml:space="preserve">  66.33KWH</t>
  </si>
  <si>
    <t xml:space="preserve"> 76.15KVAH</t>
  </si>
  <si>
    <t>37.40KVARH</t>
  </si>
  <si>
    <t xml:space="preserve">  15:58:17</t>
  </si>
  <si>
    <t xml:space="preserve">  66.36KWH</t>
  </si>
  <si>
    <t xml:space="preserve"> 76.19KVAH</t>
  </si>
  <si>
    <t>37.41KVARH</t>
  </si>
  <si>
    <t xml:space="preserve">  15:58:19</t>
  </si>
  <si>
    <t xml:space="preserve">    85.44A</t>
  </si>
  <si>
    <t xml:space="preserve">  66.39KWH</t>
  </si>
  <si>
    <t xml:space="preserve"> 76.22KVAH</t>
  </si>
  <si>
    <t>37.43KVARH</t>
  </si>
  <si>
    <t xml:space="preserve">  15:58:21</t>
  </si>
  <si>
    <t xml:space="preserve">  66.43KWH</t>
  </si>
  <si>
    <t xml:space="preserve"> 76.27KVAH</t>
  </si>
  <si>
    <t>37.45KVARH</t>
  </si>
  <si>
    <t xml:space="preserve">  15:58:23</t>
  </si>
  <si>
    <t xml:space="preserve">   81.99KW</t>
  </si>
  <si>
    <t xml:space="preserve">  66.48KWH</t>
  </si>
  <si>
    <t xml:space="preserve"> 76.32KVAH</t>
  </si>
  <si>
    <t>37.48KVARH</t>
  </si>
  <si>
    <t xml:space="preserve">  15:58:25</t>
  </si>
  <si>
    <t xml:space="preserve">  66.52KWH</t>
  </si>
  <si>
    <t xml:space="preserve"> 76.37KVAH</t>
  </si>
  <si>
    <t>37.50KVARH</t>
  </si>
  <si>
    <t xml:space="preserve">  15:58:27</t>
  </si>
  <si>
    <t xml:space="preserve">  66.57KWH</t>
  </si>
  <si>
    <t xml:space="preserve"> 76.42KVAH</t>
  </si>
  <si>
    <t>37.52KVARH</t>
  </si>
  <si>
    <t xml:space="preserve">  15:58:29</t>
  </si>
  <si>
    <t xml:space="preserve">  66.60KWH</t>
  </si>
  <si>
    <t xml:space="preserve"> 76.45KVAH</t>
  </si>
  <si>
    <t>37.54KVARH</t>
  </si>
  <si>
    <t xml:space="preserve">  15:58:31</t>
  </si>
  <si>
    <t xml:space="preserve">  66.63KWH</t>
  </si>
  <si>
    <t xml:space="preserve"> 76.49KVAH</t>
  </si>
  <si>
    <t>37.55KVARH</t>
  </si>
  <si>
    <t xml:space="preserve">  15:58:33</t>
  </si>
  <si>
    <t xml:space="preserve">  66.66KWH</t>
  </si>
  <si>
    <t xml:space="preserve"> 76.52KVAH</t>
  </si>
  <si>
    <t>37.57KVARH</t>
  </si>
  <si>
    <t xml:space="preserve">  15:58:35</t>
  </si>
  <si>
    <t xml:space="preserve">  66.69KWH</t>
  </si>
  <si>
    <t xml:space="preserve"> 76.56KVAH</t>
  </si>
  <si>
    <t>37.59KVARH</t>
  </si>
  <si>
    <t xml:space="preserve">  15:58:37</t>
  </si>
  <si>
    <t xml:space="preserve">  66.72KWH</t>
  </si>
  <si>
    <t xml:space="preserve"> 76.59KVAH</t>
  </si>
  <si>
    <t>37.60KVARH</t>
  </si>
  <si>
    <t xml:space="preserve">  15:58:39</t>
  </si>
  <si>
    <t xml:space="preserve">  66.75KWH</t>
  </si>
  <si>
    <t xml:space="preserve"> 76.62KVAH</t>
  </si>
  <si>
    <t>37.62KVARH</t>
  </si>
  <si>
    <t xml:space="preserve">  15:58:41</t>
  </si>
  <si>
    <t xml:space="preserve">  66.78KWH</t>
  </si>
  <si>
    <t xml:space="preserve"> 76.66KVAH</t>
  </si>
  <si>
    <t>37.64KVARH</t>
  </si>
  <si>
    <t xml:space="preserve">  15:58:43</t>
  </si>
  <si>
    <t xml:space="preserve">  66.80KWH</t>
  </si>
  <si>
    <t xml:space="preserve"> 76.69KVAH</t>
  </si>
  <si>
    <t>37.65KVARH</t>
  </si>
  <si>
    <t xml:space="preserve">  15:58:45</t>
  </si>
  <si>
    <t xml:space="preserve">  66.83KWH</t>
  </si>
  <si>
    <t xml:space="preserve"> 76.72KVAH</t>
  </si>
  <si>
    <t>37.67KVARH</t>
  </si>
  <si>
    <t xml:space="preserve">  15:58:47</t>
  </si>
  <si>
    <t xml:space="preserve">  66.86KWH</t>
  </si>
  <si>
    <t xml:space="preserve"> 76.76KVAH</t>
  </si>
  <si>
    <t>37.69KVARH</t>
  </si>
  <si>
    <t xml:space="preserve">  15:58:49</t>
  </si>
  <si>
    <t xml:space="preserve">  66.89KWH</t>
  </si>
  <si>
    <t xml:space="preserve"> 76.79KVAH</t>
  </si>
  <si>
    <t>37.70KVARH</t>
  </si>
  <si>
    <t xml:space="preserve">  15:58:51</t>
  </si>
  <si>
    <t xml:space="preserve">  66.92KWH</t>
  </si>
  <si>
    <t xml:space="preserve"> 76.82KVAH</t>
  </si>
  <si>
    <t>37.72KVARH</t>
  </si>
  <si>
    <t xml:space="preserve">  15:58:53</t>
  </si>
  <si>
    <t xml:space="preserve">  66.95KWH</t>
  </si>
  <si>
    <t xml:space="preserve"> 76.85KVAH</t>
  </si>
  <si>
    <t>37.74KVARH</t>
  </si>
  <si>
    <t xml:space="preserve">  15:58:55</t>
  </si>
  <si>
    <t xml:space="preserve">  66.97KWH</t>
  </si>
  <si>
    <t xml:space="preserve"> 76.89KVAH</t>
  </si>
  <si>
    <t>37.75KVARH</t>
  </si>
  <si>
    <t xml:space="preserve">  15:58:57</t>
  </si>
  <si>
    <t xml:space="preserve">  67.00KWH</t>
  </si>
  <si>
    <t xml:space="preserve"> 76.92KVAH</t>
  </si>
  <si>
    <t>37.77KVARH</t>
  </si>
  <si>
    <t xml:space="preserve">  15:58:59</t>
  </si>
  <si>
    <t xml:space="preserve">  67.03KWH</t>
  </si>
  <si>
    <t xml:space="preserve"> 76.95KVAH</t>
  </si>
  <si>
    <t>37.79KVARH</t>
  </si>
  <si>
    <t xml:space="preserve">  15:59:01</t>
  </si>
  <si>
    <t xml:space="preserve">  67.06KWH</t>
  </si>
  <si>
    <t xml:space="preserve"> 76.98KVAH</t>
  </si>
  <si>
    <t>37.80KVARH</t>
  </si>
  <si>
    <t xml:space="preserve">  15:59:03</t>
  </si>
  <si>
    <t xml:space="preserve">  67.09KWH</t>
  </si>
  <si>
    <t xml:space="preserve"> 77.02KVAH</t>
  </si>
  <si>
    <t>37.82KVARH</t>
  </si>
  <si>
    <t xml:space="preserve">  15:59:05</t>
  </si>
  <si>
    <t xml:space="preserve">  67.12KWH</t>
  </si>
  <si>
    <t xml:space="preserve"> 77.05KVAH</t>
  </si>
  <si>
    <t>37.84KVARH</t>
  </si>
  <si>
    <t xml:space="preserve">  15:59:07</t>
  </si>
  <si>
    <t xml:space="preserve">  67.14KWH</t>
  </si>
  <si>
    <t xml:space="preserve"> 77.08KVAH</t>
  </si>
  <si>
    <t>37.85KVARH</t>
  </si>
  <si>
    <t xml:space="preserve">  15:59:09</t>
  </si>
  <si>
    <t xml:space="preserve">  67.17KWH</t>
  </si>
  <si>
    <t xml:space="preserve"> 77.11KVAH</t>
  </si>
  <si>
    <t>37.87KVARH</t>
  </si>
  <si>
    <t xml:space="preserve">  15:59:11</t>
  </si>
  <si>
    <t xml:space="preserve">  67.20KWH</t>
  </si>
  <si>
    <t xml:space="preserve"> 77.15KVAH</t>
  </si>
  <si>
    <t>37.89KVARH</t>
  </si>
  <si>
    <t xml:space="preserve">  15:59:13</t>
  </si>
  <si>
    <t xml:space="preserve">  67.23KWH</t>
  </si>
  <si>
    <t xml:space="preserve"> 77.18KVAH</t>
  </si>
  <si>
    <t>37.90KVARH</t>
  </si>
  <si>
    <t xml:space="preserve">  15:59:15</t>
  </si>
  <si>
    <t xml:space="preserve">  67.26KWH</t>
  </si>
  <si>
    <t xml:space="preserve"> 77.21KVAH</t>
  </si>
  <si>
    <t>37.92KVARH</t>
  </si>
  <si>
    <t xml:space="preserve">  15:59:17</t>
  </si>
  <si>
    <t xml:space="preserve">    113.4A</t>
  </si>
  <si>
    <t xml:space="preserve">   65.67KW</t>
  </si>
  <si>
    <t xml:space="preserve">  74.34KVA</t>
  </si>
  <si>
    <t>-34.89KVAR</t>
  </si>
  <si>
    <t xml:space="preserve">  67.29KWH</t>
  </si>
  <si>
    <t xml:space="preserve"> 77.25KVAH</t>
  </si>
  <si>
    <t>37.94KVARH</t>
  </si>
  <si>
    <t xml:space="preserve">  15:59:19</t>
  </si>
  <si>
    <t xml:space="preserve">    135.7A</t>
  </si>
  <si>
    <t xml:space="preserve">  67.34KWH</t>
  </si>
  <si>
    <t xml:space="preserve"> 77.30KVAH</t>
  </si>
  <si>
    <t>37.96KVARH</t>
  </si>
  <si>
    <t xml:space="preserve">  15:59:21</t>
  </si>
  <si>
    <t xml:space="preserve">  67.38KWH</t>
  </si>
  <si>
    <t xml:space="preserve"> 77.35KVAH</t>
  </si>
  <si>
    <t>37.98KVARH</t>
  </si>
  <si>
    <t xml:space="preserve">  15:59:23</t>
  </si>
  <si>
    <t xml:space="preserve">  67.43KWH</t>
  </si>
  <si>
    <t xml:space="preserve"> 77.41KVAH</t>
  </si>
  <si>
    <t>38.00KVARH</t>
  </si>
  <si>
    <t xml:space="preserve">  15:59:25</t>
  </si>
  <si>
    <t xml:space="preserve">    125.8A</t>
  </si>
  <si>
    <t xml:space="preserve">    91.32A</t>
  </si>
  <si>
    <t xml:space="preserve">   58.86KW</t>
  </si>
  <si>
    <t xml:space="preserve">  67.46KWH</t>
  </si>
  <si>
    <t xml:space="preserve"> 77.44KVAH</t>
  </si>
  <si>
    <t>38.02KVARH</t>
  </si>
  <si>
    <t xml:space="preserve">  15:59:27</t>
  </si>
  <si>
    <t xml:space="preserve">  67.49KWH</t>
  </si>
  <si>
    <t xml:space="preserve"> 77.48KVAH</t>
  </si>
  <si>
    <t>38.04KVARH</t>
  </si>
  <si>
    <t xml:space="preserve">  15:59:29</t>
  </si>
  <si>
    <t xml:space="preserve">  67.52KWH</t>
  </si>
  <si>
    <t xml:space="preserve"> 77.51KVAH</t>
  </si>
  <si>
    <t>38.06KVARH</t>
  </si>
  <si>
    <t xml:space="preserve">  15:59:31</t>
  </si>
  <si>
    <t xml:space="preserve">  67.55KWH</t>
  </si>
  <si>
    <t xml:space="preserve"> 77.54KVAH</t>
  </si>
  <si>
    <t>38.07KVARH</t>
  </si>
  <si>
    <t xml:space="preserve">  15:59:33</t>
  </si>
  <si>
    <t xml:space="preserve">  67.58KWH</t>
  </si>
  <si>
    <t xml:space="preserve"> 77.58KVAH</t>
  </si>
  <si>
    <t>38.09KVARH</t>
  </si>
  <si>
    <t xml:space="preserve">  15:59:35</t>
  </si>
  <si>
    <t xml:space="preserve">  67.61KWH</t>
  </si>
  <si>
    <t xml:space="preserve"> 77.61KVAH</t>
  </si>
  <si>
    <t>38.11KVARH</t>
  </si>
  <si>
    <t xml:space="preserve">  15:59:37</t>
  </si>
  <si>
    <t xml:space="preserve">  67.64KWH</t>
  </si>
  <si>
    <t xml:space="preserve"> 77.64KVAH</t>
  </si>
  <si>
    <t>38.12KVARH</t>
  </si>
  <si>
    <t xml:space="preserve">  15:59:39</t>
  </si>
  <si>
    <t xml:space="preserve">  67.67KWH</t>
  </si>
  <si>
    <t xml:space="preserve"> 77.68KVAH</t>
  </si>
  <si>
    <t>38.14KVARH</t>
  </si>
  <si>
    <t xml:space="preserve">  15:59:41</t>
  </si>
  <si>
    <t xml:space="preserve">  67.69KWH</t>
  </si>
  <si>
    <t xml:space="preserve"> 77.71KVAH</t>
  </si>
  <si>
    <t>38.16KVARH</t>
  </si>
  <si>
    <t xml:space="preserve">  15:59:43</t>
  </si>
  <si>
    <t xml:space="preserve">  67.72KWH</t>
  </si>
  <si>
    <t xml:space="preserve"> 77.74KVAH</t>
  </si>
  <si>
    <t>38.17KVARH</t>
  </si>
  <si>
    <t xml:space="preserve">  15:59:45</t>
  </si>
  <si>
    <t xml:space="preserve">  67.75KWH</t>
  </si>
  <si>
    <t xml:space="preserve"> 77.78KVAH</t>
  </si>
  <si>
    <t>38.19KVARH</t>
  </si>
  <si>
    <t xml:space="preserve">  15:59:47</t>
  </si>
  <si>
    <t xml:space="preserve">  67.78KWH</t>
  </si>
  <si>
    <t xml:space="preserve"> 77.81KVAH</t>
  </si>
  <si>
    <t>38.21KVARH</t>
  </si>
  <si>
    <t xml:space="preserve">  15:59:49</t>
  </si>
  <si>
    <t xml:space="preserve">  67.81KWH</t>
  </si>
  <si>
    <t xml:space="preserve"> 77.84KVAH</t>
  </si>
  <si>
    <t>38.22KVARH</t>
  </si>
  <si>
    <t xml:space="preserve">  15:59:51</t>
  </si>
  <si>
    <t xml:space="preserve">  67.84KWH</t>
  </si>
  <si>
    <t xml:space="preserve"> 77.88KVAH</t>
  </si>
  <si>
    <t>38.24KVARH</t>
  </si>
  <si>
    <t xml:space="preserve">  15:59:53</t>
  </si>
  <si>
    <t xml:space="preserve">  67.87KWH</t>
  </si>
  <si>
    <t xml:space="preserve"> 77.91KVAH</t>
  </si>
  <si>
    <t>38.25KVARH</t>
  </si>
  <si>
    <t xml:space="preserve">   55.09KW</t>
  </si>
  <si>
    <t xml:space="preserve">  63.13KVA</t>
  </si>
  <si>
    <t xml:space="preserve">  15:59:55</t>
  </si>
  <si>
    <t xml:space="preserve">  67.90KWH</t>
  </si>
  <si>
    <t xml:space="preserve"> 77.94KVAH</t>
  </si>
  <si>
    <t>38.27KVARH</t>
  </si>
  <si>
    <t xml:space="preserve">  15:59:57</t>
  </si>
  <si>
    <t xml:space="preserve">  67.92KWH</t>
  </si>
  <si>
    <t xml:space="preserve"> 77.98KVAH</t>
  </si>
  <si>
    <t>38.29KVARH</t>
  </si>
  <si>
    <t xml:space="preserve">  15:59:59</t>
  </si>
  <si>
    <t xml:space="preserve">  67.95KWH</t>
  </si>
  <si>
    <t xml:space="preserve"> 78.01KVAH</t>
  </si>
  <si>
    <t>38.30KVARH</t>
  </si>
  <si>
    <t xml:space="preserve">  16:00:01</t>
  </si>
  <si>
    <t xml:space="preserve">  67.98KWH</t>
  </si>
  <si>
    <t xml:space="preserve"> 78.04KVAH</t>
  </si>
  <si>
    <t>38.32KVARH</t>
  </si>
  <si>
    <t xml:space="preserve">  16:00:03</t>
  </si>
  <si>
    <t xml:space="preserve">  68.01KWH</t>
  </si>
  <si>
    <t xml:space="preserve"> 78.07KVAH</t>
  </si>
  <si>
    <t>38.34KVARH</t>
  </si>
  <si>
    <t xml:space="preserve">  16:00:05</t>
  </si>
  <si>
    <t xml:space="preserve">  68.04KWH</t>
  </si>
  <si>
    <t xml:space="preserve"> 78.11KVAH</t>
  </si>
  <si>
    <t>38.35KVARH</t>
  </si>
  <si>
    <t xml:space="preserve">  16:00:07</t>
  </si>
  <si>
    <t xml:space="preserve">  68.07KWH</t>
  </si>
  <si>
    <t xml:space="preserve"> 78.14KVAH</t>
  </si>
  <si>
    <t>38.37KVARH</t>
  </si>
  <si>
    <t xml:space="preserve">  16:00:09</t>
  </si>
  <si>
    <t xml:space="preserve">  68.09KWH</t>
  </si>
  <si>
    <t xml:space="preserve"> 78.17KVAH</t>
  </si>
  <si>
    <t>38.39KVARH</t>
  </si>
  <si>
    <t xml:space="preserve">  16:00:11</t>
  </si>
  <si>
    <t xml:space="preserve">  68.12KWH</t>
  </si>
  <si>
    <t xml:space="preserve"> 78.21KVAH</t>
  </si>
  <si>
    <t>38.40KVARH</t>
  </si>
  <si>
    <t xml:space="preserve">  16:00:13</t>
  </si>
  <si>
    <t xml:space="preserve">  68.15KWH</t>
  </si>
  <si>
    <t xml:space="preserve"> 78.24KVAH</t>
  </si>
  <si>
    <t>38.42KVARH</t>
  </si>
  <si>
    <t xml:space="preserve">  16:00:15</t>
  </si>
  <si>
    <t xml:space="preserve">  68.18KWH</t>
  </si>
  <si>
    <t xml:space="preserve"> 78.27KVAH</t>
  </si>
  <si>
    <t>38.44KVARH</t>
  </si>
  <si>
    <t xml:space="preserve">  16:00:17</t>
  </si>
  <si>
    <t xml:space="preserve">  68.21KWH</t>
  </si>
  <si>
    <t xml:space="preserve"> 78.30KVAH</t>
  </si>
  <si>
    <t>38.45KVARH</t>
  </si>
  <si>
    <t xml:space="preserve">  16:00:19</t>
  </si>
  <si>
    <t xml:space="preserve">  68.23KWH</t>
  </si>
  <si>
    <t xml:space="preserve"> 78.34KVAH</t>
  </si>
  <si>
    <t>38.47KVARH</t>
  </si>
  <si>
    <t xml:space="preserve">  16:00:21</t>
  </si>
  <si>
    <t xml:space="preserve">  68.26KWH</t>
  </si>
  <si>
    <t xml:space="preserve"> 78.37KVAH</t>
  </si>
  <si>
    <t>38.49KVARH</t>
  </si>
  <si>
    <t xml:space="preserve">  16:00:23</t>
  </si>
  <si>
    <t xml:space="preserve">  68.29KWH</t>
  </si>
  <si>
    <t xml:space="preserve"> 78.40KVAH</t>
  </si>
  <si>
    <t>38.50KVARH</t>
  </si>
  <si>
    <t xml:space="preserve">  16:00:25</t>
  </si>
  <si>
    <t xml:space="preserve">  68.32KWH</t>
  </si>
  <si>
    <t xml:space="preserve"> 78.43KVAH</t>
  </si>
  <si>
    <t>38.52KVARH</t>
  </si>
  <si>
    <t xml:space="preserve">  16:00:27</t>
  </si>
  <si>
    <t xml:space="preserve">  68.35KWH</t>
  </si>
  <si>
    <t xml:space="preserve"> 78.47KVAH</t>
  </si>
  <si>
    <t>38.53KVARH</t>
  </si>
  <si>
    <t xml:space="preserve">  16:00:29</t>
  </si>
  <si>
    <t xml:space="preserve">    92.97A</t>
  </si>
  <si>
    <t xml:space="preserve">    116.5A</t>
  </si>
  <si>
    <t xml:space="preserve">   66.24KW</t>
  </si>
  <si>
    <t xml:space="preserve">  74.94KVA</t>
  </si>
  <si>
    <t>-35.10KVAR</t>
  </si>
  <si>
    <t xml:space="preserve">  68.38KWH</t>
  </si>
  <si>
    <t xml:space="preserve"> 78.51KVAH</t>
  </si>
  <si>
    <t>38.55KVARH</t>
  </si>
  <si>
    <t xml:space="preserve">  16:00:31</t>
  </si>
  <si>
    <t xml:space="preserve">   81.27KW</t>
  </si>
  <si>
    <t xml:space="preserve">  90.54KVA</t>
  </si>
  <si>
    <t xml:space="preserve">  68.43KWH</t>
  </si>
  <si>
    <t xml:space="preserve"> 78.56KVAH</t>
  </si>
  <si>
    <t>38.58KVARH</t>
  </si>
  <si>
    <t xml:space="preserve">  16:00:33</t>
  </si>
  <si>
    <t xml:space="preserve">  68.47KWH</t>
  </si>
  <si>
    <t xml:space="preserve"> 78.61KVAH</t>
  </si>
  <si>
    <t>38.60KVARH</t>
  </si>
  <si>
    <t xml:space="preserve">  16:00:35</t>
  </si>
  <si>
    <t xml:space="preserve">  68.52KWH</t>
  </si>
  <si>
    <t xml:space="preserve"> 78.66KVAH</t>
  </si>
  <si>
    <t>38.62KVARH</t>
  </si>
  <si>
    <t xml:space="preserve">  16:00:37</t>
  </si>
  <si>
    <t xml:space="preserve">    124.0A</t>
  </si>
  <si>
    <t xml:space="preserve">    92.07A</t>
  </si>
  <si>
    <t xml:space="preserve">   58.65KW</t>
  </si>
  <si>
    <t xml:space="preserve">  67.05KVA</t>
  </si>
  <si>
    <t xml:space="preserve">  68.55KWH</t>
  </si>
  <si>
    <t xml:space="preserve"> 78.70KVAH</t>
  </si>
  <si>
    <t>38.64KVARH</t>
  </si>
  <si>
    <t xml:space="preserve">  16:00:39</t>
  </si>
  <si>
    <t xml:space="preserve">  68.58KWH</t>
  </si>
  <si>
    <t xml:space="preserve"> 78.73KVAH</t>
  </si>
  <si>
    <t>38.66KVARH</t>
  </si>
  <si>
    <t xml:space="preserve">  16:00:41</t>
  </si>
  <si>
    <t xml:space="preserve">  68.61KWH</t>
  </si>
  <si>
    <t xml:space="preserve"> 78.76KVAH</t>
  </si>
  <si>
    <t>38.67KVARH</t>
  </si>
  <si>
    <t xml:space="preserve">  16:00:43</t>
  </si>
  <si>
    <t xml:space="preserve">  68.64KWH</t>
  </si>
  <si>
    <t xml:space="preserve"> 78.80KVAH</t>
  </si>
  <si>
    <t>38.69KVARH</t>
  </si>
  <si>
    <t xml:space="preserve">  16:00:45</t>
  </si>
  <si>
    <t xml:space="preserve">  68.67KWH</t>
  </si>
  <si>
    <t xml:space="preserve"> 78.83KVAH</t>
  </si>
  <si>
    <t>38.71KVARH</t>
  </si>
  <si>
    <t xml:space="preserve">  16:00:47</t>
  </si>
  <si>
    <t xml:space="preserve">  68.70KWH</t>
  </si>
  <si>
    <t xml:space="preserve"> 78.86KVAH</t>
  </si>
  <si>
    <t>38.72KVARH</t>
  </si>
  <si>
    <t xml:space="preserve">  16:00:49</t>
  </si>
  <si>
    <t xml:space="preserve">  68.73KWH</t>
  </si>
  <si>
    <t xml:space="preserve"> 78.90KVAH</t>
  </si>
  <si>
    <t>38.74KVARH</t>
  </si>
  <si>
    <t xml:space="preserve">  16:00:51</t>
  </si>
  <si>
    <t xml:space="preserve">  68.76KWH</t>
  </si>
  <si>
    <t xml:space="preserve"> 78.93KVAH</t>
  </si>
  <si>
    <t>38.76KVARH</t>
  </si>
  <si>
    <t xml:space="preserve">  16:00:53</t>
  </si>
  <si>
    <t xml:space="preserve">  68.79KWH</t>
  </si>
  <si>
    <t xml:space="preserve"> 78.96KVAH</t>
  </si>
  <si>
    <t>38.77KVARH</t>
  </si>
  <si>
    <t xml:space="preserve">  16:00:55</t>
  </si>
  <si>
    <t xml:space="preserve">  68.81KWH</t>
  </si>
  <si>
    <t xml:space="preserve"> 79.00KVAH</t>
  </si>
  <si>
    <t>38.79KVARH</t>
  </si>
  <si>
    <t xml:space="preserve">  16:00:57</t>
  </si>
  <si>
    <t xml:space="preserve">  68.84KWH</t>
  </si>
  <si>
    <t xml:space="preserve"> 79.03KVAH</t>
  </si>
  <si>
    <t>38.81KVARH</t>
  </si>
  <si>
    <t xml:space="preserve">  16:00:59</t>
  </si>
  <si>
    <t xml:space="preserve">  68.87KWH</t>
  </si>
  <si>
    <t xml:space="preserve"> 79.06KVAH</t>
  </si>
  <si>
    <t>38.82KVARH</t>
  </si>
  <si>
    <t xml:space="preserve">  16:01:01</t>
  </si>
  <si>
    <t xml:space="preserve">  68.90KWH</t>
  </si>
  <si>
    <t xml:space="preserve"> 79.10KVAH</t>
  </si>
  <si>
    <t>38.84KVARH</t>
  </si>
  <si>
    <t xml:space="preserve">  16:01:03</t>
  </si>
  <si>
    <t xml:space="preserve">  68.93KWH</t>
  </si>
  <si>
    <t xml:space="preserve"> 79.13KVAH</t>
  </si>
  <si>
    <t>38.86KVARH</t>
  </si>
  <si>
    <t xml:space="preserve">  16:01:05</t>
  </si>
  <si>
    <t xml:space="preserve">  68.96KWH</t>
  </si>
  <si>
    <t xml:space="preserve"> 79.16KVAH</t>
  </si>
  <si>
    <t>38.87KVARH</t>
  </si>
  <si>
    <t xml:space="preserve">  16:01:07</t>
  </si>
  <si>
    <t xml:space="preserve">  68.99KWH</t>
  </si>
  <si>
    <t xml:space="preserve"> 79.20KVAH</t>
  </si>
  <si>
    <t>38.89KVARH</t>
  </si>
  <si>
    <t xml:space="preserve">  16:01:09</t>
  </si>
  <si>
    <t xml:space="preserve">  69.01KWH</t>
  </si>
  <si>
    <t xml:space="preserve"> 79.23KVAH</t>
  </si>
  <si>
    <t>38.90KVARH</t>
  </si>
  <si>
    <t xml:space="preserve">  16:01:11</t>
  </si>
  <si>
    <t xml:space="preserve">  69.04KWH</t>
  </si>
  <si>
    <t xml:space="preserve"> 79.26KVAH</t>
  </si>
  <si>
    <t>38.92KVARH</t>
  </si>
  <si>
    <t xml:space="preserve">  16:01:13</t>
  </si>
  <si>
    <t xml:space="preserve">  69.07KWH</t>
  </si>
  <si>
    <t xml:space="preserve"> 79.30KVAH</t>
  </si>
  <si>
    <t>38.94KVARH</t>
  </si>
  <si>
    <t xml:space="preserve">  16:01:15</t>
  </si>
  <si>
    <t xml:space="preserve">  69.10KWH</t>
  </si>
  <si>
    <t xml:space="preserve"> 79.33KVAH</t>
  </si>
  <si>
    <t>38.95KVARH</t>
  </si>
  <si>
    <t xml:space="preserve">  16:01:17</t>
  </si>
  <si>
    <t xml:space="preserve">  69.13KWH</t>
  </si>
  <si>
    <t xml:space="preserve"> 79.36KVAH</t>
  </si>
  <si>
    <t>38.97KVARH</t>
  </si>
  <si>
    <t xml:space="preserve">  16:01:19</t>
  </si>
  <si>
    <t xml:space="preserve">  69.16KWH</t>
  </si>
  <si>
    <t xml:space="preserve"> 79.39KVAH</t>
  </si>
  <si>
    <t>38.99KVARH</t>
  </si>
  <si>
    <t xml:space="preserve">  16:01:21</t>
  </si>
  <si>
    <t xml:space="preserve">  69.19KWH</t>
  </si>
  <si>
    <t xml:space="preserve"> 79.43KVAH</t>
  </si>
  <si>
    <t>39.00KVARH</t>
  </si>
  <si>
    <t xml:space="preserve">  16:01:23</t>
  </si>
  <si>
    <t xml:space="preserve">  69.21KWH</t>
  </si>
  <si>
    <t xml:space="preserve"> 79.46KVAH</t>
  </si>
  <si>
    <t>39.02KVARH</t>
  </si>
  <si>
    <t xml:space="preserve">  16:01:25</t>
  </si>
  <si>
    <t xml:space="preserve">  69.24KWH</t>
  </si>
  <si>
    <t xml:space="preserve"> 79.49KVAH</t>
  </si>
  <si>
    <t>39.04KVARH</t>
  </si>
  <si>
    <t xml:space="preserve">  16:01:27</t>
  </si>
  <si>
    <t xml:space="preserve">  69.27KWH</t>
  </si>
  <si>
    <t xml:space="preserve"> 79.52KVAH</t>
  </si>
  <si>
    <t>39.05KVARH</t>
  </si>
  <si>
    <t xml:space="preserve">  16:01:29</t>
  </si>
  <si>
    <t xml:space="preserve">  69.30KWH</t>
  </si>
  <si>
    <t xml:space="preserve"> 79.56KVAH</t>
  </si>
  <si>
    <t>39.07KVARH</t>
  </si>
  <si>
    <t xml:space="preserve">  16:01:31</t>
  </si>
  <si>
    <t xml:space="preserve">  69.33KWH</t>
  </si>
  <si>
    <t xml:space="preserve"> 79.59KVAH</t>
  </si>
  <si>
    <t>39.09KVARH</t>
  </si>
  <si>
    <t xml:space="preserve">  16:01:33</t>
  </si>
  <si>
    <t xml:space="preserve">  69.35KWH</t>
  </si>
  <si>
    <t xml:space="preserve"> 79.62KVAH</t>
  </si>
  <si>
    <t>39.10KVARH</t>
  </si>
  <si>
    <t xml:space="preserve">  16:01:35</t>
  </si>
  <si>
    <t xml:space="preserve">  69.38KWH</t>
  </si>
  <si>
    <t xml:space="preserve"> 79.65KVAH</t>
  </si>
  <si>
    <t>39.12KVARH</t>
  </si>
  <si>
    <t xml:space="preserve">  16:01:37</t>
  </si>
  <si>
    <t xml:space="preserve">  69.41KWH</t>
  </si>
  <si>
    <t xml:space="preserve"> 79.69KVAH</t>
  </si>
  <si>
    <t>39.13KVARH</t>
  </si>
  <si>
    <t xml:space="preserve">  16:01:39</t>
  </si>
  <si>
    <t xml:space="preserve">  69.44KWH</t>
  </si>
  <si>
    <t xml:space="preserve"> 79.72KVAH</t>
  </si>
  <si>
    <t>39.15KVARH</t>
  </si>
  <si>
    <t xml:space="preserve">  16:01:41</t>
  </si>
  <si>
    <t xml:space="preserve">  69.47KWH</t>
  </si>
  <si>
    <t xml:space="preserve"> 79.75KVAH</t>
  </si>
  <si>
    <t>39.17KVARH</t>
  </si>
  <si>
    <t xml:space="preserve">  16:01:43</t>
  </si>
  <si>
    <t xml:space="preserve">  69.49KWH</t>
  </si>
  <si>
    <t xml:space="preserve"> 79.78KVAH</t>
  </si>
  <si>
    <t>39.18KVARH</t>
  </si>
  <si>
    <t xml:space="preserve">  16:01:45</t>
  </si>
  <si>
    <t xml:space="preserve">   58.08KW</t>
  </si>
  <si>
    <t xml:space="preserve">  66.36KVA</t>
  </si>
  <si>
    <t>-32.13KVAR</t>
  </si>
  <si>
    <t xml:space="preserve">  69.53KWH</t>
  </si>
  <si>
    <t xml:space="preserve"> 79.82KVAH</t>
  </si>
  <si>
    <t>39.20KVARH</t>
  </si>
  <si>
    <t xml:space="preserve">  16:01:47</t>
  </si>
  <si>
    <t>-40.17KVAR</t>
  </si>
  <si>
    <t xml:space="preserve">  69.57KWH</t>
  </si>
  <si>
    <t xml:space="preserve"> 79.87KVAH</t>
  </si>
  <si>
    <t>39.22KVARH</t>
  </si>
  <si>
    <t xml:space="preserve">  16:01:49</t>
  </si>
  <si>
    <t xml:space="preserve">  69.62KWH</t>
  </si>
  <si>
    <t xml:space="preserve"> 79.92KVAH</t>
  </si>
  <si>
    <t>39.25KVARH</t>
  </si>
  <si>
    <t xml:space="preserve">  16:01:51</t>
  </si>
  <si>
    <t xml:space="preserve">   83.25KW</t>
  </si>
  <si>
    <t xml:space="preserve">  92.73KVA</t>
  </si>
  <si>
    <t xml:space="preserve">  69.66KWH</t>
  </si>
  <si>
    <t xml:space="preserve"> 79.97KVAH</t>
  </si>
  <si>
    <t>39.27KVARH</t>
  </si>
  <si>
    <t xml:space="preserve">  16:01:53</t>
  </si>
  <si>
    <t xml:space="preserve">    112.8A</t>
  </si>
  <si>
    <t xml:space="preserve">   66.96KW</t>
  </si>
  <si>
    <t xml:space="preserve">  75.90KVA</t>
  </si>
  <si>
    <t>-35.76KVAR</t>
  </si>
  <si>
    <t xml:space="preserve">  69.70KWH</t>
  </si>
  <si>
    <t xml:space="preserve"> 80.02KVAH</t>
  </si>
  <si>
    <t>39.29KVARH</t>
  </si>
  <si>
    <t xml:space="preserve">  16:01:55</t>
  </si>
  <si>
    <t xml:space="preserve">  69.73KWH</t>
  </si>
  <si>
    <t xml:space="preserve"> 80.05KVAH</t>
  </si>
  <si>
    <t>39.31KVARH</t>
  </si>
  <si>
    <t xml:space="preserve">  16:01:57</t>
  </si>
  <si>
    <t xml:space="preserve">  69.76KWH</t>
  </si>
  <si>
    <t xml:space="preserve"> 80.08KVAH</t>
  </si>
  <si>
    <t>39.32KVARH</t>
  </si>
  <si>
    <t xml:space="preserve">  16:01:59</t>
  </si>
  <si>
    <t xml:space="preserve">  69.79KWH</t>
  </si>
  <si>
    <t xml:space="preserve"> 80.12KVAH</t>
  </si>
  <si>
    <t>39.34KVARH</t>
  </si>
  <si>
    <t xml:space="preserve">  16:02:01</t>
  </si>
  <si>
    <t xml:space="preserve">  69.82KWH</t>
  </si>
  <si>
    <t xml:space="preserve"> 80.15KVAH</t>
  </si>
  <si>
    <t>39.36KVARH</t>
  </si>
  <si>
    <t xml:space="preserve">  16:02:03</t>
  </si>
  <si>
    <t xml:space="preserve">  69.85KWH</t>
  </si>
  <si>
    <t xml:space="preserve"> 80.18KVAH</t>
  </si>
  <si>
    <t>39.37KVARH</t>
  </si>
  <si>
    <t xml:space="preserve">  16:02:05</t>
  </si>
  <si>
    <t xml:space="preserve">  69.88KWH</t>
  </si>
  <si>
    <t xml:space="preserve"> 80.22KVAH</t>
  </si>
  <si>
    <t>39.39KVARH</t>
  </si>
  <si>
    <t xml:space="preserve">  16:02:07</t>
  </si>
  <si>
    <t xml:space="preserve">  69.91KWH</t>
  </si>
  <si>
    <t xml:space="preserve"> 80.25KVAH</t>
  </si>
  <si>
    <t>39.41KVARH</t>
  </si>
  <si>
    <t xml:space="preserve">  16:02:09</t>
  </si>
  <si>
    <t xml:space="preserve">  69.93KWH</t>
  </si>
  <si>
    <t xml:space="preserve"> 80.29KVAH</t>
  </si>
  <si>
    <t>39.42KVARH</t>
  </si>
  <si>
    <t xml:space="preserve">  16:02:11</t>
  </si>
  <si>
    <t xml:space="preserve">  69.96KWH</t>
  </si>
  <si>
    <t xml:space="preserve"> 80.32KVAH</t>
  </si>
  <si>
    <t>39.44KVARH</t>
  </si>
  <si>
    <t xml:space="preserve">  16:02:13</t>
  </si>
  <si>
    <t xml:space="preserve">  69.99KWH</t>
  </si>
  <si>
    <t xml:space="preserve"> 80.35KVAH</t>
  </si>
  <si>
    <t>39.46KVARH</t>
  </si>
  <si>
    <t xml:space="preserve">  16:02:15</t>
  </si>
  <si>
    <t xml:space="preserve">  70.02KWH</t>
  </si>
  <si>
    <t xml:space="preserve"> 80.39KVAH</t>
  </si>
  <si>
    <t>39.47KVARH</t>
  </si>
  <si>
    <t xml:space="preserve">  16:02:17</t>
  </si>
  <si>
    <t xml:space="preserve">  70.05KWH</t>
  </si>
  <si>
    <t xml:space="preserve"> 80.42KVAH</t>
  </si>
  <si>
    <t>39.49KVARH</t>
  </si>
  <si>
    <t xml:space="preserve">  16:02:19</t>
  </si>
  <si>
    <t xml:space="preserve">  70.08KWH</t>
  </si>
  <si>
    <t xml:space="preserve"> 80.45KVAH</t>
  </si>
  <si>
    <t>39.51KVARH</t>
  </si>
  <si>
    <t xml:space="preserve">  16:02:21</t>
  </si>
  <si>
    <t xml:space="preserve">  70.11KWH</t>
  </si>
  <si>
    <t xml:space="preserve"> 80.48KVAH</t>
  </si>
  <si>
    <t>39.52KVARH</t>
  </si>
  <si>
    <t xml:space="preserve">  16:02:23</t>
  </si>
  <si>
    <t xml:space="preserve">  70.14KWH</t>
  </si>
  <si>
    <t xml:space="preserve"> 80.52KVAH</t>
  </si>
  <si>
    <t>39.54KVARH</t>
  </si>
  <si>
    <t xml:space="preserve">  16:02:25</t>
  </si>
  <si>
    <t xml:space="preserve">  70.16KWH</t>
  </si>
  <si>
    <t xml:space="preserve"> 80.55KVAH</t>
  </si>
  <si>
    <t>39.56KVARH</t>
  </si>
  <si>
    <t xml:space="preserve">  16:02:27</t>
  </si>
  <si>
    <t xml:space="preserve">  70.19KWH</t>
  </si>
  <si>
    <t xml:space="preserve"> 80.58KVAH</t>
  </si>
  <si>
    <t>39.57KVARH</t>
  </si>
  <si>
    <t xml:space="preserve">  16:02:29</t>
  </si>
  <si>
    <t xml:space="preserve">  70.22KWH</t>
  </si>
  <si>
    <t xml:space="preserve"> 80.62KVAH</t>
  </si>
  <si>
    <t>39.59KVARH</t>
  </si>
  <si>
    <t xml:space="preserve">  16:02:31</t>
  </si>
  <si>
    <t xml:space="preserve">  70.25KWH</t>
  </si>
  <si>
    <t xml:space="preserve"> 80.65KVAH</t>
  </si>
  <si>
    <t>39.61KVARH</t>
  </si>
  <si>
    <t xml:space="preserve">  16:02:33</t>
  </si>
  <si>
    <t xml:space="preserve">  70.28KWH</t>
  </si>
  <si>
    <t xml:space="preserve"> 80.68KVAH</t>
  </si>
  <si>
    <t>39.62KVARH</t>
  </si>
  <si>
    <t xml:space="preserve">  16:02:35</t>
  </si>
  <si>
    <t xml:space="preserve">  70.31KWH</t>
  </si>
  <si>
    <t xml:space="preserve"> 80.72KVAH</t>
  </si>
  <si>
    <t>39.64KVARH</t>
  </si>
  <si>
    <t xml:space="preserve">  16:02:37</t>
  </si>
  <si>
    <t xml:space="preserve">  70.34KWH</t>
  </si>
  <si>
    <t xml:space="preserve"> 80.75KVAH</t>
  </si>
  <si>
    <t>39.65KVARH</t>
  </si>
  <si>
    <t xml:space="preserve">  16:02:39</t>
  </si>
  <si>
    <t xml:space="preserve">  70.36KWH</t>
  </si>
  <si>
    <t xml:space="preserve"> 80.78KVAH</t>
  </si>
  <si>
    <t>39.67KVARH</t>
  </si>
  <si>
    <t xml:space="preserve">  16:02:41</t>
  </si>
  <si>
    <t xml:space="preserve">  70.39KWH</t>
  </si>
  <si>
    <t xml:space="preserve"> 80.81KVAH</t>
  </si>
  <si>
    <t>39.69KVARH</t>
  </si>
  <si>
    <t xml:space="preserve">  16:02:43</t>
  </si>
  <si>
    <t xml:space="preserve">  70.42KWH</t>
  </si>
  <si>
    <t xml:space="preserve"> 80.85KVAH</t>
  </si>
  <si>
    <t>39.70KVARH</t>
  </si>
  <si>
    <t xml:space="preserve">  16:02:45</t>
  </si>
  <si>
    <t xml:space="preserve">  70.45KWH</t>
  </si>
  <si>
    <t xml:space="preserve"> 80.88KVAH</t>
  </si>
  <si>
    <t>39.72KVARH</t>
  </si>
  <si>
    <t xml:space="preserve">  16:02:47</t>
  </si>
  <si>
    <t xml:space="preserve">  70.48KWH</t>
  </si>
  <si>
    <t xml:space="preserve"> 80.91KVAH</t>
  </si>
  <si>
    <t>39.74KVARH</t>
  </si>
  <si>
    <t xml:space="preserve">  16:02:49</t>
  </si>
  <si>
    <t xml:space="preserve">  70.51KWH</t>
  </si>
  <si>
    <t xml:space="preserve"> 80.94KVAH</t>
  </si>
  <si>
    <t>39.75KVARH</t>
  </si>
  <si>
    <t xml:space="preserve">  16:02:51</t>
  </si>
  <si>
    <t xml:space="preserve">  70.53KWH</t>
  </si>
  <si>
    <t xml:space="preserve"> 80.98KVAH</t>
  </si>
  <si>
    <t>39.77KVARH</t>
  </si>
  <si>
    <t xml:space="preserve">  16:02:53</t>
  </si>
  <si>
    <t xml:space="preserve">  70.56KWH</t>
  </si>
  <si>
    <t xml:space="preserve"> 81.01KVAH</t>
  </si>
  <si>
    <t>39.79KVARH</t>
  </si>
  <si>
    <t xml:space="preserve">  16:02:55</t>
  </si>
  <si>
    <t xml:space="preserve">  70.59KWH</t>
  </si>
  <si>
    <t xml:space="preserve"> 81.04KVAH</t>
  </si>
  <si>
    <t>39.80KVARH</t>
  </si>
  <si>
    <t xml:space="preserve">  16:02:57</t>
  </si>
  <si>
    <t xml:space="preserve">  70.62KWH</t>
  </si>
  <si>
    <t xml:space="preserve"> 81.07KVAH</t>
  </si>
  <si>
    <t>39.82KVARH</t>
  </si>
  <si>
    <t xml:space="preserve">  16:02:59</t>
  </si>
  <si>
    <t xml:space="preserve">  70.65KWH</t>
  </si>
  <si>
    <t xml:space="preserve"> 81.11KVAH</t>
  </si>
  <si>
    <t>39.84KVARH</t>
  </si>
  <si>
    <t xml:space="preserve">  16:03:01</t>
  </si>
  <si>
    <t xml:space="preserve">  70.67KWH</t>
  </si>
  <si>
    <t xml:space="preserve"> 81.14KVAH</t>
  </si>
  <si>
    <t>39.85KVARH</t>
  </si>
  <si>
    <t xml:space="preserve">  16:03:03</t>
  </si>
  <si>
    <t xml:space="preserve">  70.70KWH</t>
  </si>
  <si>
    <t xml:space="preserve"> 81.17KVAH</t>
  </si>
  <si>
    <t>39.87KVARH</t>
  </si>
  <si>
    <t xml:space="preserve">  16:03:05</t>
  </si>
  <si>
    <t xml:space="preserve">  70.73KWH</t>
  </si>
  <si>
    <t xml:space="preserve"> 81.20KVAH</t>
  </si>
  <si>
    <t>39.88KVARH</t>
  </si>
  <si>
    <t xml:space="preserve">  16:03:07</t>
  </si>
  <si>
    <t xml:space="preserve">  70.76KWH</t>
  </si>
  <si>
    <t xml:space="preserve"> 81.24KVAH</t>
  </si>
  <si>
    <t>39.90KVARH</t>
  </si>
  <si>
    <t xml:space="preserve">  16:03:09</t>
  </si>
  <si>
    <t xml:space="preserve">  70.79KWH</t>
  </si>
  <si>
    <t xml:space="preserve"> 81.27KVAH</t>
  </si>
  <si>
    <t>39.92KVARH</t>
  </si>
  <si>
    <t xml:space="preserve">  16:03:11</t>
  </si>
  <si>
    <t xml:space="preserve">  70.81KWH</t>
  </si>
  <si>
    <t xml:space="preserve"> 81.30KVAH</t>
  </si>
  <si>
    <t>39.93KVARH</t>
  </si>
  <si>
    <t xml:space="preserve">  16:03:13</t>
  </si>
  <si>
    <t xml:space="preserve">  89.97KVA</t>
  </si>
  <si>
    <t xml:space="preserve">  70.86KWH</t>
  </si>
  <si>
    <t xml:space="preserve"> 81.35KVAH</t>
  </si>
  <si>
    <t>39.96KVARH</t>
  </si>
  <si>
    <t xml:space="preserve">  16:03:15</t>
  </si>
  <si>
    <t xml:space="preserve">  70.90KWH</t>
  </si>
  <si>
    <t xml:space="preserve"> 81.40KVAH</t>
  </si>
  <si>
    <t>39.98KVARH</t>
  </si>
  <si>
    <t xml:space="preserve">  16:03:17</t>
  </si>
  <si>
    <t xml:space="preserve">  70.95KWH</t>
  </si>
  <si>
    <t xml:space="preserve"> 81.45KVAH</t>
  </si>
  <si>
    <t>40.00KVARH</t>
  </si>
  <si>
    <t xml:space="preserve">  16:03:19</t>
  </si>
  <si>
    <t xml:space="preserve">    127.7A</t>
  </si>
  <si>
    <t xml:space="preserve">    105.6A</t>
  </si>
  <si>
    <t xml:space="preserve">   71.49KW</t>
  </si>
  <si>
    <t>-37.35KVAR</t>
  </si>
  <si>
    <t xml:space="preserve">  70.99KWH</t>
  </si>
  <si>
    <t xml:space="preserve"> 81.50KVAH</t>
  </si>
  <si>
    <t>40.02KVARH</t>
  </si>
  <si>
    <t xml:space="preserve">  16:03:21</t>
  </si>
  <si>
    <t xml:space="preserve">  71.02KWH</t>
  </si>
  <si>
    <t xml:space="preserve"> 81.53KVAH</t>
  </si>
  <si>
    <t>40.04KVARH</t>
  </si>
  <si>
    <t xml:space="preserve">  16:03:23</t>
  </si>
  <si>
    <t xml:space="preserve">  71.05KWH</t>
  </si>
  <si>
    <t xml:space="preserve"> 81.57KVAH</t>
  </si>
  <si>
    <t>40.06KVARH</t>
  </si>
  <si>
    <t xml:space="preserve">  16:03:25</t>
  </si>
  <si>
    <t xml:space="preserve">  71.08KWH</t>
  </si>
  <si>
    <t xml:space="preserve"> 81.60KVAH</t>
  </si>
  <si>
    <t>40.07KVARH</t>
  </si>
  <si>
    <t xml:space="preserve">  16:03:27</t>
  </si>
  <si>
    <t xml:space="preserve">  71.11KWH</t>
  </si>
  <si>
    <t xml:space="preserve"> 81.63KVAH</t>
  </si>
  <si>
    <t>40.09KVARH</t>
  </si>
  <si>
    <t xml:space="preserve">  16:03:29</t>
  </si>
  <si>
    <t xml:space="preserve">  71.14KWH</t>
  </si>
  <si>
    <t xml:space="preserve"> 81.67KVAH</t>
  </si>
  <si>
    <t>40.11KVARH</t>
  </si>
  <si>
    <t xml:space="preserve">  16:03:31</t>
  </si>
  <si>
    <t xml:space="preserve">  71.17KWH</t>
  </si>
  <si>
    <t xml:space="preserve"> 81.70KVAH</t>
  </si>
  <si>
    <t>40.12KVARH</t>
  </si>
  <si>
    <t xml:space="preserve">  16:03:33</t>
  </si>
  <si>
    <t xml:space="preserve">  71.19KWH</t>
  </si>
  <si>
    <t xml:space="preserve"> 81.73KVAH</t>
  </si>
  <si>
    <t>40.14KVARH</t>
  </si>
  <si>
    <t xml:space="preserve">  16:03:35</t>
  </si>
  <si>
    <t xml:space="preserve">  71.22KWH</t>
  </si>
  <si>
    <t xml:space="preserve"> 81.77KVAH</t>
  </si>
  <si>
    <t>40.16KVARH</t>
  </si>
  <si>
    <t xml:space="preserve">  16:03:37</t>
  </si>
  <si>
    <t xml:space="preserve">  71.25KWH</t>
  </si>
  <si>
    <t xml:space="preserve"> 81.80KVAH</t>
  </si>
  <si>
    <t>40.17KVARH</t>
  </si>
  <si>
    <t xml:space="preserve">  16:03:39</t>
  </si>
  <si>
    <t xml:space="preserve">  71.28KWH</t>
  </si>
  <si>
    <t xml:space="preserve"> 81.84KVAH</t>
  </si>
  <si>
    <t>40.19KVARH</t>
  </si>
  <si>
    <t xml:space="preserve">  16:03:41</t>
  </si>
  <si>
    <t xml:space="preserve">  71.31KWH</t>
  </si>
  <si>
    <t xml:space="preserve"> 81.87KVAH</t>
  </si>
  <si>
    <t>40.21KVARH</t>
  </si>
  <si>
    <t xml:space="preserve">  16:03:43</t>
  </si>
  <si>
    <t xml:space="preserve">  71.34KWH</t>
  </si>
  <si>
    <t xml:space="preserve"> 81.90KVAH</t>
  </si>
  <si>
    <t>40.22KVARH</t>
  </si>
  <si>
    <t xml:space="preserve">  16:03:45</t>
  </si>
  <si>
    <t xml:space="preserve">  71.37KWH</t>
  </si>
  <si>
    <t xml:space="preserve"> 81.94KVAH</t>
  </si>
  <si>
    <t>40.24KVARH</t>
  </si>
  <si>
    <t xml:space="preserve">  16:03:47</t>
  </si>
  <si>
    <t xml:space="preserve">  71.40KWH</t>
  </si>
  <si>
    <t xml:space="preserve"> 81.97KVAH</t>
  </si>
  <si>
    <t>40.26KVARH</t>
  </si>
  <si>
    <t xml:space="preserve">  16:03:49</t>
  </si>
  <si>
    <t xml:space="preserve">  71.43KWH</t>
  </si>
  <si>
    <t xml:space="preserve"> 82.00KVAH</t>
  </si>
  <si>
    <t>40.27KVARH</t>
  </si>
  <si>
    <t xml:space="preserve">  16:03:51</t>
  </si>
  <si>
    <t xml:space="preserve">  71.45KWH</t>
  </si>
  <si>
    <t xml:space="preserve"> 82.03KVAH</t>
  </si>
  <si>
    <t>40.29KVARH</t>
  </si>
  <si>
    <t xml:space="preserve">  16:03:53</t>
  </si>
  <si>
    <t xml:space="preserve">  71.48KWH</t>
  </si>
  <si>
    <t xml:space="preserve"> 82.07KVAH</t>
  </si>
  <si>
    <t>40.31KVARH</t>
  </si>
  <si>
    <t xml:space="preserve">  16:03:55</t>
  </si>
  <si>
    <t xml:space="preserve">  71.51KWH</t>
  </si>
  <si>
    <t xml:space="preserve"> 82.10KVAH</t>
  </si>
  <si>
    <t>40.32KVARH</t>
  </si>
  <si>
    <t xml:space="preserve">  16:03:57</t>
  </si>
  <si>
    <t xml:space="preserve">  71.54KWH</t>
  </si>
  <si>
    <t xml:space="preserve"> 82.13KVAH</t>
  </si>
  <si>
    <t>40.34KVARH</t>
  </si>
  <si>
    <t xml:space="preserve">  16:03:59</t>
  </si>
  <si>
    <t xml:space="preserve">  71.57KWH</t>
  </si>
  <si>
    <t xml:space="preserve"> 82.17KVAH</t>
  </si>
  <si>
    <t>40.35KVARH</t>
  </si>
  <si>
    <t xml:space="preserve">  16:04:01</t>
  </si>
  <si>
    <t xml:space="preserve">  71.60KWH</t>
  </si>
  <si>
    <t xml:space="preserve"> 82.20KVAH</t>
  </si>
  <si>
    <t>40.37KVARH</t>
  </si>
  <si>
    <t xml:space="preserve">  16:04:03</t>
  </si>
  <si>
    <t xml:space="preserve">  71.63KWH</t>
  </si>
  <si>
    <t xml:space="preserve"> 82.23KVAH</t>
  </si>
  <si>
    <t>40.39KVARH</t>
  </si>
  <si>
    <t xml:space="preserve">  16:04:05</t>
  </si>
  <si>
    <t xml:space="preserve">  71.65KWH</t>
  </si>
  <si>
    <t xml:space="preserve"> 82.27KVAH</t>
  </si>
  <si>
    <t>40.40KVARH</t>
  </si>
  <si>
    <t xml:space="preserve">  16:04:07</t>
  </si>
  <si>
    <t xml:space="preserve">  71.68KWH</t>
  </si>
  <si>
    <t xml:space="preserve"> 82.30KVAH</t>
  </si>
  <si>
    <t>40.42KVARH</t>
  </si>
  <si>
    <t xml:space="preserve">  16:04:09</t>
  </si>
  <si>
    <t xml:space="preserve">  71.71KWH</t>
  </si>
  <si>
    <t xml:space="preserve"> 82.33KVAH</t>
  </si>
  <si>
    <t>40.44KVARH</t>
  </si>
  <si>
    <t xml:space="preserve">  16:04:11</t>
  </si>
  <si>
    <t xml:space="preserve">  71.74KWH</t>
  </si>
  <si>
    <t xml:space="preserve"> 82.36KVAH</t>
  </si>
  <si>
    <t>40.45KVARH</t>
  </si>
  <si>
    <t xml:space="preserve">  16:04:13</t>
  </si>
  <si>
    <t xml:space="preserve">  71.77KWH</t>
  </si>
  <si>
    <t xml:space="preserve"> 82.40KVAH</t>
  </si>
  <si>
    <t>40.47KVARH</t>
  </si>
  <si>
    <t xml:space="preserve">  16:04:15</t>
  </si>
  <si>
    <t xml:space="preserve">  71.80KWH</t>
  </si>
  <si>
    <t xml:space="preserve"> 82.43KVAH</t>
  </si>
  <si>
    <t>40.49KVARH</t>
  </si>
  <si>
    <t xml:space="preserve">  16:04:17</t>
  </si>
  <si>
    <t xml:space="preserve">  71.82KWH</t>
  </si>
  <si>
    <t xml:space="preserve"> 82.46KVAH</t>
  </si>
  <si>
    <t>40.50KVARH</t>
  </si>
  <si>
    <t xml:space="preserve">  16:04:19</t>
  </si>
  <si>
    <t xml:space="preserve">  71.85KWH</t>
  </si>
  <si>
    <t xml:space="preserve"> 82.49KVAH</t>
  </si>
  <si>
    <t>40.52KVARH</t>
  </si>
  <si>
    <t xml:space="preserve">  16:04:21</t>
  </si>
  <si>
    <t xml:space="preserve">  71.88KWH</t>
  </si>
  <si>
    <t xml:space="preserve"> 82.53KVAH</t>
  </si>
  <si>
    <t>40.54KVARH</t>
  </si>
  <si>
    <t xml:space="preserve">  16:04:23</t>
  </si>
  <si>
    <t xml:space="preserve">  71.91KWH</t>
  </si>
  <si>
    <t xml:space="preserve"> 82.56KVAH</t>
  </si>
  <si>
    <t>40.55KVARH</t>
  </si>
  <si>
    <t xml:space="preserve">  16:04:25</t>
  </si>
  <si>
    <t xml:space="preserve">  71.95KWH</t>
  </si>
  <si>
    <t xml:space="preserve"> 82.61KVAH</t>
  </si>
  <si>
    <t>40.57KVARH</t>
  </si>
  <si>
    <t xml:space="preserve">  16:04:27</t>
  </si>
  <si>
    <t xml:space="preserve">  72.00KWH</t>
  </si>
  <si>
    <t xml:space="preserve"> 82.66KVAH</t>
  </si>
  <si>
    <t>40.60KVARH</t>
  </si>
  <si>
    <t xml:space="preserve">  16:04:29</t>
  </si>
  <si>
    <t xml:space="preserve">  72.04KWH</t>
  </si>
  <si>
    <t xml:space="preserve"> 82.71KVAH</t>
  </si>
  <si>
    <t>40.62KVARH</t>
  </si>
  <si>
    <t xml:space="preserve">  16:04:31</t>
  </si>
  <si>
    <t xml:space="preserve">  61.08KVA</t>
  </si>
  <si>
    <t xml:space="preserve">  72.07KWH</t>
  </si>
  <si>
    <t xml:space="preserve"> 82.75KVAH</t>
  </si>
  <si>
    <t>40.64KVARH</t>
  </si>
  <si>
    <t xml:space="preserve">  16:04:33</t>
  </si>
  <si>
    <t xml:space="preserve">  72.10KWH</t>
  </si>
  <si>
    <t xml:space="preserve"> 82.78KVAH</t>
  </si>
  <si>
    <t>40.65KVARH</t>
  </si>
  <si>
    <t xml:space="preserve">  16:04:35</t>
  </si>
  <si>
    <t xml:space="preserve">  72.13KWH</t>
  </si>
  <si>
    <t xml:space="preserve"> 82.81KVAH</t>
  </si>
  <si>
    <t>40.67KVARH</t>
  </si>
  <si>
    <t xml:space="preserve">  16:04:37</t>
  </si>
  <si>
    <t xml:space="preserve">  72.16KWH</t>
  </si>
  <si>
    <t xml:space="preserve"> 82.85KVAH</t>
  </si>
  <si>
    <t>40.69KVARH</t>
  </si>
  <si>
    <t xml:space="preserve">  16:04:39</t>
  </si>
  <si>
    <t xml:space="preserve">  72.19KWH</t>
  </si>
  <si>
    <t xml:space="preserve"> 82.88KVAH</t>
  </si>
  <si>
    <t>40.70KVARH</t>
  </si>
  <si>
    <t xml:space="preserve">  16:04:41</t>
  </si>
  <si>
    <t xml:space="preserve">  72.22KWH</t>
  </si>
  <si>
    <t xml:space="preserve"> 82.91KVAH</t>
  </si>
  <si>
    <t>40.72KVARH</t>
  </si>
  <si>
    <t xml:space="preserve">  16:04:43</t>
  </si>
  <si>
    <t xml:space="preserve">  72.25KWH</t>
  </si>
  <si>
    <t xml:space="preserve"> 82.95KVAH</t>
  </si>
  <si>
    <t>40.74KVARH</t>
  </si>
  <si>
    <t xml:space="preserve">  16:04:45</t>
  </si>
  <si>
    <t xml:space="preserve">  72.28KWH</t>
  </si>
  <si>
    <t xml:space="preserve"> 82.98KVAH</t>
  </si>
  <si>
    <t>40.75KVARH</t>
  </si>
  <si>
    <t xml:space="preserve">  16:04:47</t>
  </si>
  <si>
    <t xml:space="preserve">  72.31KWH</t>
  </si>
  <si>
    <t xml:space="preserve"> 83.01KVAH</t>
  </si>
  <si>
    <t>40.77KVARH</t>
  </si>
  <si>
    <t xml:space="preserve">  16:04:49</t>
  </si>
  <si>
    <t xml:space="preserve">  72.34KWH</t>
  </si>
  <si>
    <t xml:space="preserve"> 83.05KVAH</t>
  </si>
  <si>
    <t>40.79KVARH</t>
  </si>
  <si>
    <t xml:space="preserve">  16:04:51</t>
  </si>
  <si>
    <t xml:space="preserve">  72.36KWH</t>
  </si>
  <si>
    <t xml:space="preserve"> 83.08KVAH</t>
  </si>
  <si>
    <t>40.80KVARH</t>
  </si>
  <si>
    <t xml:space="preserve">  16:04:53</t>
  </si>
  <si>
    <t xml:space="preserve">  72.39KWH</t>
  </si>
  <si>
    <t xml:space="preserve"> 83.11KVAH</t>
  </si>
  <si>
    <t>40.82KVARH</t>
  </si>
  <si>
    <t xml:space="preserve">  16:04:55</t>
  </si>
  <si>
    <t xml:space="preserve">  72.42KWH</t>
  </si>
  <si>
    <t xml:space="preserve"> 83.14KVAH</t>
  </si>
  <si>
    <t>40.83KVARH</t>
  </si>
  <si>
    <t xml:space="preserve">  16:04:57</t>
  </si>
  <si>
    <t xml:space="preserve">  72.45KWH</t>
  </si>
  <si>
    <t xml:space="preserve"> 83.18KVAH</t>
  </si>
  <si>
    <t>40.85KVARH</t>
  </si>
  <si>
    <t xml:space="preserve">  16:04:59</t>
  </si>
  <si>
    <t xml:space="preserve">  72.48KWH</t>
  </si>
  <si>
    <t xml:space="preserve"> 83.21KVAH</t>
  </si>
  <si>
    <t>40.87KVARH</t>
  </si>
  <si>
    <t xml:space="preserve">  16:05:01</t>
  </si>
  <si>
    <t xml:space="preserve">  72.51KWH</t>
  </si>
  <si>
    <t xml:space="preserve"> 83.24KVAH</t>
  </si>
  <si>
    <t>40.88KVARH</t>
  </si>
  <si>
    <t xml:space="preserve">  16:05:03</t>
  </si>
  <si>
    <t xml:space="preserve">  72.53KWH</t>
  </si>
  <si>
    <t xml:space="preserve"> 83.28KVAH</t>
  </si>
  <si>
    <t>40.90KVARH</t>
  </si>
  <si>
    <t xml:space="preserve">  16:05:05</t>
  </si>
  <si>
    <t xml:space="preserve">  72.56KWH</t>
  </si>
  <si>
    <t xml:space="preserve"> 83.31KVAH</t>
  </si>
  <si>
    <t>40.92KVARH</t>
  </si>
  <si>
    <t xml:space="preserve">  16:05:07</t>
  </si>
  <si>
    <t xml:space="preserve">  72.59KWH</t>
  </si>
  <si>
    <t xml:space="preserve"> 83.34KVAH</t>
  </si>
  <si>
    <t>40.93KVARH</t>
  </si>
  <si>
    <t xml:space="preserve">  16:05:09</t>
  </si>
  <si>
    <t xml:space="preserve">  72.62KWH</t>
  </si>
  <si>
    <t xml:space="preserve"> 83.37KVAH</t>
  </si>
  <si>
    <t>40.95KVARH</t>
  </si>
  <si>
    <t xml:space="preserve">  16:05:11</t>
  </si>
  <si>
    <t xml:space="preserve">  72.65KWH</t>
  </si>
  <si>
    <t xml:space="preserve"> 83.41KVAH</t>
  </si>
  <si>
    <t>40.97KVARH</t>
  </si>
  <si>
    <t xml:space="preserve">  16:05:13</t>
  </si>
  <si>
    <t xml:space="preserve">  72.67KWH</t>
  </si>
  <si>
    <t xml:space="preserve"> 83.44KVAH</t>
  </si>
  <si>
    <t>40.98KVARH</t>
  </si>
  <si>
    <t xml:space="preserve">  16:05:15</t>
  </si>
  <si>
    <t xml:space="preserve">  72.70KWH</t>
  </si>
  <si>
    <t xml:space="preserve"> 83.47KVAH</t>
  </si>
  <si>
    <t>41.00KVARH</t>
  </si>
  <si>
    <t xml:space="preserve">  16:05:17</t>
  </si>
  <si>
    <t xml:space="preserve">  72.75KWH</t>
  </si>
  <si>
    <t xml:space="preserve"> 83.52KVAH</t>
  </si>
  <si>
    <t>41.02KVARH</t>
  </si>
  <si>
    <t xml:space="preserve">  16:05:19</t>
  </si>
  <si>
    <t xml:space="preserve">  72.79KWH</t>
  </si>
  <si>
    <t xml:space="preserve"> 83.57KVAH</t>
  </si>
  <si>
    <t>41.04KVARH</t>
  </si>
  <si>
    <t xml:space="preserve">  16:05:21</t>
  </si>
  <si>
    <t xml:space="preserve">  72.84KWH</t>
  </si>
  <si>
    <t xml:space="preserve"> 83.62KVAH</t>
  </si>
  <si>
    <t>41.07KVARH</t>
  </si>
  <si>
    <t xml:space="preserve">  16:05:23</t>
  </si>
  <si>
    <t xml:space="preserve">    102.1A</t>
  </si>
  <si>
    <t xml:space="preserve">   70.02KW</t>
  </si>
  <si>
    <t xml:space="preserve">  79.02KVA</t>
  </si>
  <si>
    <t>-36.63KVAR</t>
  </si>
  <si>
    <t xml:space="preserve">  72.88KWH</t>
  </si>
  <si>
    <t xml:space="preserve"> 83.67KVAH</t>
  </si>
  <si>
    <t>41.09KVARH</t>
  </si>
  <si>
    <t xml:space="preserve">  16:05:25</t>
  </si>
  <si>
    <t xml:space="preserve">  72.91KWH</t>
  </si>
  <si>
    <t xml:space="preserve"> 83.70KVAH</t>
  </si>
  <si>
    <t>41.10KVARH</t>
  </si>
  <si>
    <t xml:space="preserve">  16:05:27</t>
  </si>
  <si>
    <t xml:space="preserve">  72.94KWH</t>
  </si>
  <si>
    <t xml:space="preserve"> 83.73KVAH</t>
  </si>
  <si>
    <t>41.12KVARH</t>
  </si>
  <si>
    <t xml:space="preserve">  16:05:29</t>
  </si>
  <si>
    <t xml:space="preserve">  72.97KWH</t>
  </si>
  <si>
    <t xml:space="preserve"> 83.77KVAH</t>
  </si>
  <si>
    <t>41.14KVARH</t>
  </si>
  <si>
    <t xml:space="preserve">  16:05:31</t>
  </si>
  <si>
    <t xml:space="preserve">  72.99KWH</t>
  </si>
  <si>
    <t xml:space="preserve"> 83.80KVAH</t>
  </si>
  <si>
    <t>41.15KVARH</t>
  </si>
  <si>
    <t xml:space="preserve">  16:05:33</t>
  </si>
  <si>
    <t xml:space="preserve">  73.02KWH</t>
  </si>
  <si>
    <t xml:space="preserve"> 83.83KVAH</t>
  </si>
  <si>
    <t>41.17KVARH</t>
  </si>
  <si>
    <t xml:space="preserve">  16:05:35</t>
  </si>
  <si>
    <t xml:space="preserve">  73.05KWH</t>
  </si>
  <si>
    <t xml:space="preserve"> 83.87KVAH</t>
  </si>
  <si>
    <t>41.19KVARH</t>
  </si>
  <si>
    <t xml:space="preserve">  16:05:37</t>
  </si>
  <si>
    <t xml:space="preserve">  73.08KWH</t>
  </si>
  <si>
    <t xml:space="preserve"> 83.90KVAH</t>
  </si>
  <si>
    <t>41.20KVARH</t>
  </si>
  <si>
    <t xml:space="preserve">  16:05:39</t>
  </si>
  <si>
    <t xml:space="preserve">  73.11KWH</t>
  </si>
  <si>
    <t xml:space="preserve"> 83.93KVAH</t>
  </si>
  <si>
    <t>41.22KVARH</t>
  </si>
  <si>
    <t xml:space="preserve">  16:05:41</t>
  </si>
  <si>
    <t xml:space="preserve">  73.14KWH</t>
  </si>
  <si>
    <t xml:space="preserve"> 83.97KVAH</t>
  </si>
  <si>
    <t>41.24KVARH</t>
  </si>
  <si>
    <t xml:space="preserve">  16:05:43</t>
  </si>
  <si>
    <t xml:space="preserve">  73.17KWH</t>
  </si>
  <si>
    <t xml:space="preserve"> 84.00KVAH</t>
  </si>
  <si>
    <t>41.25KVARH</t>
  </si>
  <si>
    <t xml:space="preserve">  16:05:45</t>
  </si>
  <si>
    <t xml:space="preserve">  73.20KWH</t>
  </si>
  <si>
    <t xml:space="preserve"> 84.03KVAH</t>
  </si>
  <si>
    <t>41.27KVARH</t>
  </si>
  <si>
    <t xml:space="preserve">  16:05:47</t>
  </si>
  <si>
    <t xml:space="preserve">  73.23KWH</t>
  </si>
  <si>
    <t xml:space="preserve"> 84.07KVAH</t>
  </si>
  <si>
    <t>41.29KVARH</t>
  </si>
  <si>
    <t xml:space="preserve">  16:05:49</t>
  </si>
  <si>
    <t xml:space="preserve">  73.25KWH</t>
  </si>
  <si>
    <t xml:space="preserve"> 84.10KVAH</t>
  </si>
  <si>
    <t>41.30KVARH</t>
  </si>
  <si>
    <t xml:space="preserve">  16:05:51</t>
  </si>
  <si>
    <t xml:space="preserve">  73.28KWH</t>
  </si>
  <si>
    <t xml:space="preserve"> 84.13KVAH</t>
  </si>
  <si>
    <t>41.32KVARH</t>
  </si>
  <si>
    <t xml:space="preserve">  16:05:53</t>
  </si>
  <si>
    <t xml:space="preserve">  73.31KWH</t>
  </si>
  <si>
    <t xml:space="preserve"> 84.17KVAH</t>
  </si>
  <si>
    <t>41.33KVARH</t>
  </si>
  <si>
    <t xml:space="preserve">  16:05:55</t>
  </si>
  <si>
    <t xml:space="preserve">  73.34KWH</t>
  </si>
  <si>
    <t xml:space="preserve"> 84.20KVAH</t>
  </si>
  <si>
    <t>41.35KVARH</t>
  </si>
  <si>
    <t xml:space="preserve">  16:05:57</t>
  </si>
  <si>
    <t xml:space="preserve">  73.37KWH</t>
  </si>
  <si>
    <t xml:space="preserve"> 84.23KVAH</t>
  </si>
  <si>
    <t>41.37KVARH</t>
  </si>
  <si>
    <t xml:space="preserve">  16:05:59</t>
  </si>
  <si>
    <t xml:space="preserve">  73.40KWH</t>
  </si>
  <si>
    <t xml:space="preserve"> 84.26KVAH</t>
  </si>
  <si>
    <t>41.38KVARH</t>
  </si>
  <si>
    <t xml:space="preserve">  16:06:01</t>
  </si>
  <si>
    <t xml:space="preserve">  73.42KWH</t>
  </si>
  <si>
    <t xml:space="preserve"> 84.30KVAH</t>
  </si>
  <si>
    <t>41.40KVARH</t>
  </si>
  <si>
    <t xml:space="preserve">  16:06:03</t>
  </si>
  <si>
    <t xml:space="preserve">  73.45KWH</t>
  </si>
  <si>
    <t xml:space="preserve"> 84.33KVAH</t>
  </si>
  <si>
    <t>41.42KVARH</t>
  </si>
  <si>
    <t xml:space="preserve">  16:06:05</t>
  </si>
  <si>
    <t xml:space="preserve">  73.48KWH</t>
  </si>
  <si>
    <t xml:space="preserve"> 84.36KVAH</t>
  </si>
  <si>
    <t>41.43KVARH</t>
  </si>
  <si>
    <t xml:space="preserve">  16:06:07</t>
  </si>
  <si>
    <t xml:space="preserve">  73.51KWH</t>
  </si>
  <si>
    <t xml:space="preserve"> 84.39KVAH</t>
  </si>
  <si>
    <t>41.45KVARH</t>
  </si>
  <si>
    <t xml:space="preserve">  16:06:09</t>
  </si>
  <si>
    <t xml:space="preserve">  73.54KWH</t>
  </si>
  <si>
    <t xml:space="preserve"> 84.43KVAH</t>
  </si>
  <si>
    <t>41.47KVARH</t>
  </si>
  <si>
    <t xml:space="preserve">  16:06:11</t>
  </si>
  <si>
    <t xml:space="preserve">  73.56KWH</t>
  </si>
  <si>
    <t xml:space="preserve"> 84.46KVAH</t>
  </si>
  <si>
    <t>41.48KVARH</t>
  </si>
  <si>
    <t xml:space="preserve">  16:06:13</t>
  </si>
  <si>
    <t xml:space="preserve">  73.59KWH</t>
  </si>
  <si>
    <t xml:space="preserve"> 84.49KVAH</t>
  </si>
  <si>
    <t>41.50KVARH</t>
  </si>
  <si>
    <t xml:space="preserve">  16:06:15</t>
  </si>
  <si>
    <t xml:space="preserve">  73.62KWH</t>
  </si>
  <si>
    <t xml:space="preserve"> 84.52KVAH</t>
  </si>
  <si>
    <t>41.52KVARH</t>
  </si>
  <si>
    <t xml:space="preserve">  16:06:17</t>
  </si>
  <si>
    <t xml:space="preserve">  73.65KWH</t>
  </si>
  <si>
    <t xml:space="preserve"> 84.56KVAH</t>
  </si>
  <si>
    <t>41.53KVARH</t>
  </si>
  <si>
    <t xml:space="preserve">  16:06:19</t>
  </si>
  <si>
    <t xml:space="preserve">    144.4A</t>
  </si>
  <si>
    <t xml:space="preserve">  73.69KWH</t>
  </si>
  <si>
    <t xml:space="preserve"> 84.61KVAH</t>
  </si>
  <si>
    <t>41.55KVARH</t>
  </si>
  <si>
    <t xml:space="preserve">  16:06:21</t>
  </si>
  <si>
    <t xml:space="preserve">  73.74KWH</t>
  </si>
  <si>
    <t xml:space="preserve"> 84.66KVAH</t>
  </si>
  <si>
    <t>41.58KVARH</t>
  </si>
  <si>
    <t xml:space="preserve">  16:06:23</t>
  </si>
  <si>
    <t xml:space="preserve">  73.78KWH</t>
  </si>
  <si>
    <t xml:space="preserve"> 84.71KVAH</t>
  </si>
  <si>
    <t>41.60KVARH</t>
  </si>
  <si>
    <t xml:space="preserve">  16:06:25</t>
  </si>
  <si>
    <t xml:space="preserve">    100.8A</t>
  </si>
  <si>
    <t xml:space="preserve">   68.49KW</t>
  </si>
  <si>
    <t xml:space="preserve">  77.49KVA</t>
  </si>
  <si>
    <t xml:space="preserve">  73.82KWH</t>
  </si>
  <si>
    <t xml:space="preserve"> 84.75KVAH</t>
  </si>
  <si>
    <t>41.62KVARH</t>
  </si>
  <si>
    <t xml:space="preserve">  16:06:27</t>
  </si>
  <si>
    <t xml:space="preserve">  73.85KWH</t>
  </si>
  <si>
    <t xml:space="preserve"> 84.78KVAH</t>
  </si>
  <si>
    <t>41.64KVARH</t>
  </si>
  <si>
    <t xml:space="preserve">  16:06:29</t>
  </si>
  <si>
    <t xml:space="preserve">  73.88KWH</t>
  </si>
  <si>
    <t xml:space="preserve"> 84.82KVAH</t>
  </si>
  <si>
    <t>41.65KVARH</t>
  </si>
  <si>
    <t xml:space="preserve">  16:06:31</t>
  </si>
  <si>
    <t xml:space="preserve">  73.91KWH</t>
  </si>
  <si>
    <t xml:space="preserve"> 84.85KVAH</t>
  </si>
  <si>
    <t>41.67KVARH</t>
  </si>
  <si>
    <t xml:space="preserve">  16:06:33</t>
  </si>
  <si>
    <t xml:space="preserve">  73.94KWH</t>
  </si>
  <si>
    <t xml:space="preserve"> 84.89KVAH</t>
  </si>
  <si>
    <t>41.69KVARH</t>
  </si>
  <si>
    <t xml:space="preserve">  16:06:35</t>
  </si>
  <si>
    <t xml:space="preserve">  73.97KWH</t>
  </si>
  <si>
    <t xml:space="preserve"> 84.92KVAH</t>
  </si>
  <si>
    <t>41.70KVARH</t>
  </si>
  <si>
    <t xml:space="preserve">  16:06:37</t>
  </si>
  <si>
    <t xml:space="preserve">  74.00KWH</t>
  </si>
  <si>
    <t xml:space="preserve"> 84.95KVAH</t>
  </si>
  <si>
    <t>41.72KVARH</t>
  </si>
  <si>
    <t xml:space="preserve">  16:06:39</t>
  </si>
  <si>
    <t xml:space="preserve">  74.03KWH</t>
  </si>
  <si>
    <t xml:space="preserve"> 84.99KVAH</t>
  </si>
  <si>
    <t>41.74KVARH</t>
  </si>
  <si>
    <t xml:space="preserve">  16:06:41</t>
  </si>
  <si>
    <t xml:space="preserve">  74.06KWH</t>
  </si>
  <si>
    <t xml:space="preserve"> 85.02KVAH</t>
  </si>
  <si>
    <t>41.75KVARH</t>
  </si>
  <si>
    <t xml:space="preserve">  16:06:43</t>
  </si>
  <si>
    <t xml:space="preserve">  74.08KWH</t>
  </si>
  <si>
    <t xml:space="preserve"> 85.05KVAH</t>
  </si>
  <si>
    <t>41.77KVARH</t>
  </si>
  <si>
    <t xml:space="preserve">  16:06:45</t>
  </si>
  <si>
    <t xml:space="preserve">  74.11KWH</t>
  </si>
  <si>
    <t xml:space="preserve"> 85.09KVAH</t>
  </si>
  <si>
    <t>41.79KVARH</t>
  </si>
  <si>
    <t xml:space="preserve">  16:06:47</t>
  </si>
  <si>
    <t xml:space="preserve">  74.14KWH</t>
  </si>
  <si>
    <t xml:space="preserve"> 85.12KVAH</t>
  </si>
  <si>
    <t>41.80KVARH</t>
  </si>
  <si>
    <t xml:space="preserve">  16:06:49</t>
  </si>
  <si>
    <t xml:space="preserve">  74.17KWH</t>
  </si>
  <si>
    <t xml:space="preserve"> 85.15KVAH</t>
  </si>
  <si>
    <t>41.82KVARH</t>
  </si>
  <si>
    <t xml:space="preserve">  16:06:51</t>
  </si>
  <si>
    <t xml:space="preserve">  74.20KWH</t>
  </si>
  <si>
    <t xml:space="preserve"> 85.19KVAH</t>
  </si>
  <si>
    <t>41.83KVARH</t>
  </si>
  <si>
    <t xml:space="preserve">  16:06:53</t>
  </si>
  <si>
    <t xml:space="preserve">  74.23KWH</t>
  </si>
  <si>
    <t xml:space="preserve"> 85.22KVAH</t>
  </si>
  <si>
    <t>41.85KVARH</t>
  </si>
  <si>
    <t xml:space="preserve">  16:06:55</t>
  </si>
  <si>
    <t xml:space="preserve">  74.26KWH</t>
  </si>
  <si>
    <t xml:space="preserve"> 85.25KVAH</t>
  </si>
  <si>
    <t>41.87KVARH</t>
  </si>
  <si>
    <t xml:space="preserve">  16:06:57</t>
  </si>
  <si>
    <t xml:space="preserve">  74.28KWH</t>
  </si>
  <si>
    <t xml:space="preserve"> 85.28KVAH</t>
  </si>
  <si>
    <t>41.88KVARH</t>
  </si>
  <si>
    <t xml:space="preserve">  16:06:59</t>
  </si>
  <si>
    <t xml:space="preserve">  74.31KWH</t>
  </si>
  <si>
    <t xml:space="preserve"> 85.32KVAH</t>
  </si>
  <si>
    <t>41.90KVARH</t>
  </si>
  <si>
    <t xml:space="preserve">  16:07:01</t>
  </si>
  <si>
    <t xml:space="preserve">  74.34KWH</t>
  </si>
  <si>
    <t xml:space="preserve"> 85.35KVAH</t>
  </si>
  <si>
    <t>41.92KVARH</t>
  </si>
  <si>
    <t xml:space="preserve">  16:07:03</t>
  </si>
  <si>
    <t xml:space="preserve">  74.37KWH</t>
  </si>
  <si>
    <t xml:space="preserve"> 85.38KVAH</t>
  </si>
  <si>
    <t>41.93KVARH</t>
  </si>
  <si>
    <t xml:space="preserve">  16:07:05</t>
  </si>
  <si>
    <t xml:space="preserve">  74.40KWH</t>
  </si>
  <si>
    <t xml:space="preserve"> 85.41KVAH</t>
  </si>
  <si>
    <t>41.95KVARH</t>
  </si>
  <si>
    <t xml:space="preserve">  16:07:07</t>
  </si>
  <si>
    <t xml:space="preserve">  74.43KWH</t>
  </si>
  <si>
    <t xml:space="preserve"> 85.45KVAH</t>
  </si>
  <si>
    <t>41.97KVARH</t>
  </si>
  <si>
    <t xml:space="preserve">  16:07:09</t>
  </si>
  <si>
    <t xml:space="preserve">  74.45KWH</t>
  </si>
  <si>
    <t xml:space="preserve"> 85.48KVAH</t>
  </si>
  <si>
    <t>41.98KVARH</t>
  </si>
  <si>
    <t xml:space="preserve">  16:07:11</t>
  </si>
  <si>
    <t xml:space="preserve">  74.48KWH</t>
  </si>
  <si>
    <t xml:space="preserve"> 85.51KVAH</t>
  </si>
  <si>
    <t>42.00KVARH</t>
  </si>
  <si>
    <t xml:space="preserve">  16:07:13</t>
  </si>
  <si>
    <t xml:space="preserve">  74.51KWH</t>
  </si>
  <si>
    <t xml:space="preserve"> 85.54KVAH</t>
  </si>
  <si>
    <t>42.02KVARH</t>
  </si>
  <si>
    <t xml:space="preserve">  16:07:15</t>
  </si>
  <si>
    <t xml:space="preserve">   58.05KW</t>
  </si>
  <si>
    <t xml:space="preserve">  66.33KVA</t>
  </si>
  <si>
    <t xml:space="preserve">  74.54KWH</t>
  </si>
  <si>
    <t xml:space="preserve"> 85.58KVAH</t>
  </si>
  <si>
    <t>42.03KVARH</t>
  </si>
  <si>
    <t xml:space="preserve">  16:07:17</t>
  </si>
  <si>
    <t xml:space="preserve">   81.72KW</t>
  </si>
  <si>
    <t xml:space="preserve">  74.59KWH</t>
  </si>
  <si>
    <t xml:space="preserve"> 85.63KVAH</t>
  </si>
  <si>
    <t>42.06KVARH</t>
  </si>
  <si>
    <t xml:space="preserve">  16:07:19</t>
  </si>
  <si>
    <t xml:space="preserve">  74.63KWH</t>
  </si>
  <si>
    <t xml:space="preserve"> 85.68KVAH</t>
  </si>
  <si>
    <t>42.08KVARH</t>
  </si>
  <si>
    <t xml:space="preserve">  16:07:21</t>
  </si>
  <si>
    <t xml:space="preserve">  74.68KWH</t>
  </si>
  <si>
    <t xml:space="preserve"> 85.73KVAH</t>
  </si>
  <si>
    <t>42.10KVARH</t>
  </si>
  <si>
    <t xml:space="preserve">  16:07:23</t>
  </si>
  <si>
    <t xml:space="preserve">    112.9A</t>
  </si>
  <si>
    <t xml:space="preserve">   67.17KW</t>
  </si>
  <si>
    <t xml:space="preserve">  76.14KVA</t>
  </si>
  <si>
    <t>-35.88KVAR</t>
  </si>
  <si>
    <t xml:space="preserve">  74.72KWH</t>
  </si>
  <si>
    <t xml:space="preserve"> 85.78KVAH</t>
  </si>
  <si>
    <t>42.12KVARH</t>
  </si>
  <si>
    <t xml:space="preserve">  16:07:25</t>
  </si>
  <si>
    <t xml:space="preserve">  74.75KWH</t>
  </si>
  <si>
    <t xml:space="preserve"> 85.81KVAH</t>
  </si>
  <si>
    <t>42.14KVARH</t>
  </si>
  <si>
    <t xml:space="preserve">  16:07:27</t>
  </si>
  <si>
    <t xml:space="preserve">  74.77KWH</t>
  </si>
  <si>
    <t xml:space="preserve"> 85.84KVAH</t>
  </si>
  <si>
    <t>42.15KVARH</t>
  </si>
  <si>
    <t xml:space="preserve">  16:07:29</t>
  </si>
  <si>
    <t xml:space="preserve">  74.80KWH</t>
  </si>
  <si>
    <t xml:space="preserve"> 85.88KVAH</t>
  </si>
  <si>
    <t>42.17KVARH</t>
  </si>
  <si>
    <t xml:space="preserve">  16:07:31</t>
  </si>
  <si>
    <t xml:space="preserve">  74.83KWH</t>
  </si>
  <si>
    <t xml:space="preserve"> 85.91KVAH</t>
  </si>
  <si>
    <t>42.19KVARH</t>
  </si>
  <si>
    <t xml:space="preserve">  16:07:33</t>
  </si>
  <si>
    <t xml:space="preserve">  74.86KWH</t>
  </si>
  <si>
    <t xml:space="preserve"> 85.94KVAH</t>
  </si>
  <si>
    <t>42.20KVARH</t>
  </si>
  <si>
    <t xml:space="preserve">  16:07:35</t>
  </si>
  <si>
    <t xml:space="preserve">  74.89KWH</t>
  </si>
  <si>
    <t xml:space="preserve"> 85.98KVAH</t>
  </si>
  <si>
    <t>42.22KVARH</t>
  </si>
  <si>
    <t xml:space="preserve">  16:07:37</t>
  </si>
  <si>
    <t xml:space="preserve">  74.92KWH</t>
  </si>
  <si>
    <t xml:space="preserve"> 86.01KVAH</t>
  </si>
  <si>
    <t>42.24KVARH</t>
  </si>
  <si>
    <t xml:space="preserve">  16:07:39</t>
  </si>
  <si>
    <t xml:space="preserve">  74.95KWH</t>
  </si>
  <si>
    <t xml:space="preserve"> 86.04KVAH</t>
  </si>
  <si>
    <t>42.25KVARH</t>
  </si>
  <si>
    <t xml:space="preserve">  16:07:41</t>
  </si>
  <si>
    <t xml:space="preserve">  74.98KWH</t>
  </si>
  <si>
    <t xml:space="preserve"> 86.08KVAH</t>
  </si>
  <si>
    <t>42.27KVARH</t>
  </si>
  <si>
    <t xml:space="preserve">  16:07:43</t>
  </si>
  <si>
    <t xml:space="preserve">  75.01KWH</t>
  </si>
  <si>
    <t xml:space="preserve"> 86.11KVAH</t>
  </si>
  <si>
    <t>42.29KVARH</t>
  </si>
  <si>
    <t xml:space="preserve">  16:07:45</t>
  </si>
  <si>
    <t xml:space="preserve">  75.04KWH</t>
  </si>
  <si>
    <t xml:space="preserve"> 86.14KVAH</t>
  </si>
  <si>
    <t>42.30KVARH</t>
  </si>
  <si>
    <t xml:space="preserve">  16:07:47</t>
  </si>
  <si>
    <t xml:space="preserve">  75.06KWH</t>
  </si>
  <si>
    <t xml:space="preserve"> 86.18KVAH</t>
  </si>
  <si>
    <t>42.32KVARH</t>
  </si>
  <si>
    <t xml:space="preserve">  16:07:49</t>
  </si>
  <si>
    <t xml:space="preserve">  75.09KWH</t>
  </si>
  <si>
    <t xml:space="preserve"> 86.21KVAH</t>
  </si>
  <si>
    <t>42.34KVARH</t>
  </si>
  <si>
    <t xml:space="preserve">  16:07:51</t>
  </si>
  <si>
    <t xml:space="preserve">  75.12KWH</t>
  </si>
  <si>
    <t xml:space="preserve"> 86.24KVAH</t>
  </si>
  <si>
    <t>42.35KVARH</t>
  </si>
  <si>
    <t xml:space="preserve">  16:07:53</t>
  </si>
  <si>
    <t xml:space="preserve">  75.15KWH</t>
  </si>
  <si>
    <t xml:space="preserve"> 86.28KVAH</t>
  </si>
  <si>
    <t>42.37KVARH</t>
  </si>
  <si>
    <t xml:space="preserve">  16:07:55</t>
  </si>
  <si>
    <t xml:space="preserve">  75.18KWH</t>
  </si>
  <si>
    <t xml:space="preserve"> 86.31KVAH</t>
  </si>
  <si>
    <t>42.39KVARH</t>
  </si>
  <si>
    <t xml:space="preserve">  16:07:57</t>
  </si>
  <si>
    <t xml:space="preserve">  75.21KWH</t>
  </si>
  <si>
    <t xml:space="preserve"> 86.34KVAH</t>
  </si>
  <si>
    <t>42.40KVARH</t>
  </si>
  <si>
    <t xml:space="preserve">  16:07:59</t>
  </si>
  <si>
    <t xml:space="preserve">  75.23KWH</t>
  </si>
  <si>
    <t xml:space="preserve"> 86.37KVAH</t>
  </si>
  <si>
    <t>42.42KVARH</t>
  </si>
  <si>
    <t xml:space="preserve">  16:08:01</t>
  </si>
  <si>
    <t xml:space="preserve">  75.26KWH</t>
  </si>
  <si>
    <t xml:space="preserve"> 86.41KVAH</t>
  </si>
  <si>
    <t>42.44KVARH</t>
  </si>
  <si>
    <t xml:space="preserve">  16:08:03</t>
  </si>
  <si>
    <t xml:space="preserve">  75.29KWH</t>
  </si>
  <si>
    <t xml:space="preserve"> 86.44KVAH</t>
  </si>
  <si>
    <t>42.45KVARH</t>
  </si>
  <si>
    <t xml:space="preserve">  16:08:05</t>
  </si>
  <si>
    <t xml:space="preserve">  75.32KWH</t>
  </si>
  <si>
    <t xml:space="preserve"> 86.47KVAH</t>
  </si>
  <si>
    <t>42.47KVARH</t>
  </si>
  <si>
    <t xml:space="preserve">  16:08:07</t>
  </si>
  <si>
    <t xml:space="preserve">  75.35KWH</t>
  </si>
  <si>
    <t xml:space="preserve"> 86.51KVAH</t>
  </si>
  <si>
    <t>42.49KVARH</t>
  </si>
  <si>
    <t xml:space="preserve">  16:08:09</t>
  </si>
  <si>
    <t xml:space="preserve">  75.38KWH</t>
  </si>
  <si>
    <t xml:space="preserve"> 86.54KVAH</t>
  </si>
  <si>
    <t>42.50KVARH</t>
  </si>
  <si>
    <t xml:space="preserve">  16:08:11</t>
  </si>
  <si>
    <t xml:space="preserve">  75.40KWH</t>
  </si>
  <si>
    <t xml:space="preserve"> 86.57KVAH</t>
  </si>
  <si>
    <t>42.52KVARH</t>
  </si>
  <si>
    <t xml:space="preserve">  16:08:13</t>
  </si>
  <si>
    <t xml:space="preserve">  75.43KWH</t>
  </si>
  <si>
    <t xml:space="preserve"> 86.60KVAH</t>
  </si>
  <si>
    <t>42.53KVARH</t>
  </si>
  <si>
    <t xml:space="preserve">  16:08:15</t>
  </si>
  <si>
    <t xml:space="preserve">    133.6A</t>
  </si>
  <si>
    <t xml:space="preserve">  79.35KVA</t>
  </si>
  <si>
    <t>-35.97KVAR</t>
  </si>
  <si>
    <t xml:space="preserve">  75.47KWH</t>
  </si>
  <si>
    <t xml:space="preserve"> 86.65KVAH</t>
  </si>
  <si>
    <t>42.55KVARH</t>
  </si>
  <si>
    <t xml:space="preserve">  16:08:17</t>
  </si>
  <si>
    <t xml:space="preserve">  75.52KWH</t>
  </si>
  <si>
    <t xml:space="preserve"> 86.70KVAH</t>
  </si>
  <si>
    <t>42.58KVARH</t>
  </si>
  <si>
    <t xml:space="preserve">  16:08:19</t>
  </si>
  <si>
    <t xml:space="preserve">  75.56KWH</t>
  </si>
  <si>
    <t xml:space="preserve"> 86.75KVAH</t>
  </si>
  <si>
    <t>42.60KVARH</t>
  </si>
  <si>
    <t xml:space="preserve">  16:08:21</t>
  </si>
  <si>
    <t xml:space="preserve">  75.61KWH</t>
  </si>
  <si>
    <t xml:space="preserve"> 86.80KVAH</t>
  </si>
  <si>
    <t>42.62KVARH</t>
  </si>
  <si>
    <t xml:space="preserve">  16:08:23</t>
  </si>
  <si>
    <t xml:space="preserve">  75.64KWH</t>
  </si>
  <si>
    <t xml:space="preserve"> 86.83KVAH</t>
  </si>
  <si>
    <t>42.64KVARH</t>
  </si>
  <si>
    <t xml:space="preserve">  16:08:25</t>
  </si>
  <si>
    <t xml:space="preserve">  75.67KWH</t>
  </si>
  <si>
    <t xml:space="preserve"> 86.87KVAH</t>
  </si>
  <si>
    <t>42.66KVARH</t>
  </si>
  <si>
    <t xml:space="preserve">  16:08:27</t>
  </si>
  <si>
    <t xml:space="preserve">  75.70KWH</t>
  </si>
  <si>
    <t xml:space="preserve"> 86.90KVAH</t>
  </si>
  <si>
    <t>42.67KVARH</t>
  </si>
  <si>
    <t xml:space="preserve">  16:08:29</t>
  </si>
  <si>
    <t xml:space="preserve">  75.72KWH</t>
  </si>
  <si>
    <t xml:space="preserve"> 86.93KVAH</t>
  </si>
  <si>
    <t>42.69KVARH</t>
  </si>
  <si>
    <t xml:space="preserve">  16:08:31</t>
  </si>
  <si>
    <t xml:space="preserve">  75.75KWH</t>
  </si>
  <si>
    <t xml:space="preserve"> 86.97KVAH</t>
  </si>
  <si>
    <t>42.71KVARH</t>
  </si>
  <si>
    <t>시작점</t>
  </si>
  <si>
    <t>종료점</t>
  </si>
  <si>
    <t>차이</t>
  </si>
  <si>
    <t>변곡점</t>
  </si>
  <si>
    <t>변곡점</t>
    <phoneticPr fontId="2" type="noConversion"/>
  </si>
  <si>
    <t>플마</t>
  </si>
  <si>
    <t>고저</t>
  </si>
  <si>
    <t>마</t>
  </si>
  <si>
    <t>플</t>
  </si>
  <si>
    <t>저</t>
  </si>
  <si>
    <t>고</t>
  </si>
  <si>
    <t>플고</t>
  </si>
  <si>
    <t>플저</t>
  </si>
  <si>
    <t>마고</t>
  </si>
  <si>
    <t>마저</t>
  </si>
  <si>
    <t>비율</t>
  </si>
  <si>
    <t>총계</t>
  </si>
  <si>
    <t>최소전력</t>
  </si>
  <si>
    <t>로딩률</t>
  </si>
  <si>
    <t>언로딩률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</si>
</sst>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43" formatCode="_-* #,##0.00_-;\-* #,##0.00_-;_-* &quot;-&quot;??_-;_-@_-"/>
    <numFmt numFmtId="176" formatCode="0.00_ "/>
    <numFmt numFmtId="177" formatCode="#,##0_ "/>
    <numFmt numFmtId="178" formatCode="0_ "/>
    <numFmt numFmtId="179" formatCode="0.00_);[Red]\(0.00\)"/>
    <numFmt numFmtId="180" formatCode="0.0_ "/>
    <numFmt numFmtId="181" formatCode="#,##0.000_ "/>
    <numFmt numFmtId="182" formatCode="0.000_ "/>
    <numFmt numFmtId="183" formatCode="#,##0.00_ "/>
    <numFmt numFmtId="184" formatCode="0.000%"/>
    <numFmt numFmtId="185" formatCode="0.000_);[Red]\(0.000\)"/>
  </numFmts>
  <fonts count="4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굴림체"/>
      <family val="3"/>
      <charset val="129"/>
    </font>
    <font>
      <sz val="10"/>
      <color rgb="FF000000"/>
      <name val="굴림체"/>
      <family val="3"/>
      <charset val="129"/>
    </font>
    <font>
      <sz val="16"/>
      <color theme="1"/>
      <name val="휴먼명조"/>
      <family val="3"/>
      <charset val="129"/>
    </font>
    <font>
      <b/>
      <sz val="12"/>
      <color theme="1"/>
      <name val="휴먼명조"/>
      <family val="3"/>
      <charset val="129"/>
    </font>
    <font>
      <sz val="12"/>
      <color theme="1"/>
      <name val="맑은 고딕"/>
      <family val="3"/>
      <charset val="129"/>
      <scheme val="minor"/>
    </font>
    <font>
      <sz val="12"/>
      <color theme="1"/>
      <name val="휴먼명조"/>
      <family val="3"/>
      <charset val="129"/>
    </font>
    <font>
      <sz val="8"/>
      <color theme="1"/>
      <name val="휴먼명조"/>
      <family val="3"/>
      <charset val="129"/>
    </font>
    <font>
      <sz val="9"/>
      <color theme="1"/>
      <name val="휴먼명조"/>
      <family val="3"/>
      <charset val="129"/>
    </font>
    <font>
      <sz val="11"/>
      <color theme="1"/>
      <name val="휴먼명조"/>
      <family val="3"/>
      <charset val="129"/>
    </font>
    <font>
      <sz val="11"/>
      <color indexed="8"/>
      <name val="맑은 고딕"/>
      <family val="3"/>
      <charset val="129"/>
    </font>
    <font>
      <sz val="11"/>
      <color indexed="8"/>
      <name val="휴먼명조"/>
      <family val="3"/>
      <charset val="129"/>
    </font>
    <font>
      <sz val="8"/>
      <color theme="1"/>
      <name val="맑은 고딕"/>
      <family val="3"/>
      <charset val="129"/>
      <scheme val="minor"/>
    </font>
    <font>
      <sz val="7"/>
      <color theme="1"/>
      <name val="휴먼명조"/>
      <family val="3"/>
      <charset val="129"/>
    </font>
    <font>
      <b/>
      <sz val="12"/>
      <color rgb="FF000000"/>
      <name val="맑은 고딕"/>
      <family val="3"/>
      <charset val="129"/>
      <scheme val="minor"/>
    </font>
    <font>
      <b/>
      <sz val="12"/>
      <color rgb="FF000000"/>
      <name val="굴림"/>
      <family val="3"/>
      <charset val="129"/>
    </font>
    <font>
      <b/>
      <sz val="12"/>
      <color rgb="FF000000"/>
      <name val="휴먼명조"/>
      <family val="3"/>
      <charset val="129"/>
    </font>
    <font>
      <sz val="12"/>
      <color rgb="FF000000"/>
      <name val="맑은 고딕"/>
      <family val="3"/>
      <charset val="129"/>
      <scheme val="minor"/>
    </font>
    <font>
      <sz val="12"/>
      <color rgb="FF000000"/>
      <name val="휴먼명조"/>
      <family val="3"/>
      <charset val="129"/>
    </font>
    <font>
      <sz val="10"/>
      <color rgb="FF000000"/>
      <name val="휴먼명조"/>
      <family val="3"/>
      <charset val="129"/>
    </font>
    <font>
      <sz val="10"/>
      <color theme="1"/>
      <name val="휴먼명조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휴먼명조"/>
      <family val="3"/>
      <charset val="129"/>
    </font>
    <font>
      <b/>
      <sz val="10"/>
      <color theme="1"/>
      <name val="휴먼명조"/>
      <family val="3"/>
      <charset val="129"/>
    </font>
    <font>
      <sz val="9"/>
      <color rgb="FF000000"/>
      <name val="맑은 고딕"/>
      <family val="3"/>
      <charset val="129"/>
    </font>
    <font>
      <sz val="9"/>
      <color rgb="FF000000"/>
      <name val="굴림체"/>
      <family val="3"/>
      <charset val="129"/>
    </font>
    <font>
      <sz val="6"/>
      <color rgb="FF000000"/>
      <name val="맑은 고딕"/>
      <family val="3"/>
      <charset val="129"/>
      <scheme val="minor"/>
    </font>
    <font>
      <b/>
      <sz val="6"/>
      <color rgb="FF000000"/>
      <name val="맑은 고딕"/>
      <family val="3"/>
      <charset val="129"/>
    </font>
    <font>
      <sz val="8"/>
      <color rgb="FF000000"/>
      <name val="굴림체"/>
      <family val="3"/>
      <charset val="129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5E5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E0E5FA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/>
      <bottom/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</borders>
  <cellStyleXfs count="1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</cellStyleXfs>
  <cellXfs count="244">
    <xf numFmtId="0" fontId="0" fillId="0" borderId="0" xfId="0">
      <alignment vertical="center"/>
    </xf>
    <xf numFmtId="0" fontId="3" fillId="0" borderId="0" xfId="2">
      <alignment vertical="center"/>
    </xf>
    <xf numFmtId="0" fontId="5" fillId="3" borderId="0" xfId="2" applyFont="1" applyFill="1" applyAlignment="1">
      <alignment horizontal="center" vertical="center" wrapText="1"/>
    </xf>
    <xf numFmtId="0" fontId="7" fillId="0" borderId="0" xfId="2" applyFont="1">
      <alignment vertical="center"/>
    </xf>
    <xf numFmtId="0" fontId="5" fillId="3" borderId="6" xfId="2" applyFont="1" applyFill="1" applyBorder="1" applyAlignment="1">
      <alignment horizontal="center" vertical="center" wrapText="1"/>
    </xf>
    <xf numFmtId="0" fontId="5" fillId="0" borderId="0" xfId="2" applyFont="1" applyAlignment="1">
      <alignment horizontal="center" vertical="center" wrapText="1"/>
    </xf>
    <xf numFmtId="0" fontId="5" fillId="3" borderId="1" xfId="2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justify" vertical="center" wrapText="1"/>
    </xf>
    <xf numFmtId="176" fontId="9" fillId="4" borderId="6" xfId="0" applyNumberFormat="1" applyFont="1" applyFill="1" applyBorder="1" applyAlignment="1">
      <alignment horizontal="justify" vertical="center" wrapText="1"/>
    </xf>
    <xf numFmtId="176" fontId="9" fillId="0" borderId="6" xfId="2" applyNumberFormat="1" applyFont="1" applyBorder="1" applyAlignment="1">
      <alignment horizontal="justify" vertical="center" wrapText="1"/>
    </xf>
    <xf numFmtId="41" fontId="9" fillId="0" borderId="6" xfId="3" applyFont="1" applyFill="1" applyBorder="1" applyAlignment="1">
      <alignment horizontal="left" vertical="center" wrapText="1"/>
    </xf>
    <xf numFmtId="43" fontId="9" fillId="2" borderId="6" xfId="2" applyNumberFormat="1" applyFont="1" applyFill="1" applyBorder="1" applyAlignment="1">
      <alignment horizontal="center" vertical="center" wrapText="1"/>
    </xf>
    <xf numFmtId="43" fontId="11" fillId="0" borderId="0" xfId="2" applyNumberFormat="1" applyFont="1" applyAlignment="1">
      <alignment horizontal="center" vertical="center" wrapText="1"/>
    </xf>
    <xf numFmtId="43" fontId="11" fillId="0" borderId="1" xfId="2" applyNumberFormat="1" applyFont="1" applyBorder="1" applyAlignment="1">
      <alignment horizontal="center" vertical="center" wrapText="1"/>
    </xf>
    <xf numFmtId="0" fontId="11" fillId="0" borderId="1" xfId="2" applyFont="1" applyBorder="1" applyAlignment="1">
      <alignment horizontal="center" vertical="center" wrapText="1"/>
    </xf>
    <xf numFmtId="0" fontId="9" fillId="4" borderId="6" xfId="2" applyFont="1" applyFill="1" applyBorder="1" applyAlignment="1">
      <alignment horizontal="justify" vertical="center" wrapText="1"/>
    </xf>
    <xf numFmtId="0" fontId="9" fillId="4" borderId="6" xfId="2" applyFont="1" applyFill="1" applyBorder="1" applyAlignment="1">
      <alignment horizontal="center" vertical="center" wrapText="1"/>
    </xf>
    <xf numFmtId="10" fontId="9" fillId="4" borderId="6" xfId="2" applyNumberFormat="1" applyFont="1" applyFill="1" applyBorder="1" applyAlignment="1">
      <alignment horizontal="justify" vertical="center" wrapText="1"/>
    </xf>
    <xf numFmtId="176" fontId="9" fillId="4" borderId="6" xfId="2" applyNumberFormat="1" applyFont="1" applyFill="1" applyBorder="1" applyAlignment="1">
      <alignment horizontal="justify" vertical="center" wrapText="1"/>
    </xf>
    <xf numFmtId="0" fontId="9" fillId="0" borderId="6" xfId="2" applyFont="1" applyBorder="1" applyAlignment="1">
      <alignment horizontal="justify" vertical="center" wrapText="1"/>
    </xf>
    <xf numFmtId="0" fontId="9" fillId="0" borderId="6" xfId="2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43" fontId="9" fillId="0" borderId="6" xfId="2" applyNumberFormat="1" applyFont="1" applyBorder="1" applyAlignment="1">
      <alignment horizontal="center" vertical="center" wrapText="1"/>
    </xf>
    <xf numFmtId="0" fontId="12" fillId="0" borderId="6" xfId="2" applyFont="1" applyBorder="1" applyAlignment="1">
      <alignment horizontal="center" vertical="center" wrapText="1"/>
    </xf>
    <xf numFmtId="176" fontId="9" fillId="0" borderId="6" xfId="2" applyNumberFormat="1" applyFont="1" applyBorder="1" applyAlignment="1">
      <alignment horizontal="center" vertical="center" wrapText="1"/>
    </xf>
    <xf numFmtId="3" fontId="12" fillId="0" borderId="6" xfId="2" applyNumberFormat="1" applyFont="1" applyBorder="1" applyAlignment="1">
      <alignment horizontal="center" vertical="center" wrapText="1"/>
    </xf>
    <xf numFmtId="177" fontId="12" fillId="0" borderId="6" xfId="2" applyNumberFormat="1" applyFont="1" applyBorder="1" applyAlignment="1">
      <alignment horizontal="center" vertical="center" wrapText="1"/>
    </xf>
    <xf numFmtId="177" fontId="13" fillId="0" borderId="0" xfId="2" applyNumberFormat="1" applyFont="1" applyAlignment="1">
      <alignment horizontal="center" vertical="center" wrapText="1"/>
    </xf>
    <xf numFmtId="177" fontId="7" fillId="2" borderId="1" xfId="2" applyNumberFormat="1" applyFont="1" applyFill="1" applyBorder="1">
      <alignment vertical="center"/>
    </xf>
    <xf numFmtId="0" fontId="7" fillId="0" borderId="1" xfId="0" applyFont="1" applyBorder="1">
      <alignment vertical="center"/>
    </xf>
    <xf numFmtId="0" fontId="11" fillId="4" borderId="5" xfId="2" applyFont="1" applyFill="1" applyBorder="1" applyAlignment="1">
      <alignment horizontal="center" vertical="center" wrapText="1"/>
    </xf>
    <xf numFmtId="0" fontId="11" fillId="0" borderId="5" xfId="2" applyFont="1" applyBorder="1" applyAlignment="1">
      <alignment horizontal="center" vertical="center" wrapText="1"/>
    </xf>
    <xf numFmtId="0" fontId="11" fillId="2" borderId="5" xfId="2" applyFont="1" applyFill="1" applyBorder="1" applyAlignment="1">
      <alignment horizontal="center" vertical="center" wrapText="1"/>
    </xf>
    <xf numFmtId="176" fontId="11" fillId="2" borderId="5" xfId="2" applyNumberFormat="1" applyFont="1" applyFill="1" applyBorder="1" applyAlignment="1">
      <alignment horizontal="center" vertical="center" wrapText="1"/>
    </xf>
    <xf numFmtId="3" fontId="11" fillId="2" borderId="5" xfId="2" applyNumberFormat="1" applyFont="1" applyFill="1" applyBorder="1" applyAlignment="1">
      <alignment horizontal="center" vertical="center" wrapText="1"/>
    </xf>
    <xf numFmtId="178" fontId="7" fillId="0" borderId="0" xfId="2" applyNumberFormat="1" applyFont="1">
      <alignment vertical="center"/>
    </xf>
    <xf numFmtId="0" fontId="11" fillId="4" borderId="1" xfId="2" applyFont="1" applyFill="1" applyBorder="1" applyAlignment="1">
      <alignment horizontal="center" vertical="center" wrapText="1"/>
    </xf>
    <xf numFmtId="10" fontId="7" fillId="0" borderId="1" xfId="2" applyNumberFormat="1" applyFont="1" applyBorder="1" applyAlignment="1">
      <alignment horizontal="center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176" fontId="7" fillId="0" borderId="5" xfId="2" applyNumberFormat="1" applyFont="1" applyBorder="1" applyAlignment="1">
      <alignment horizontal="center" vertical="center" wrapText="1"/>
    </xf>
    <xf numFmtId="3" fontId="7" fillId="0" borderId="1" xfId="2" applyNumberFormat="1" applyFont="1" applyBorder="1" applyAlignment="1">
      <alignment horizontal="center" vertical="center" wrapText="1"/>
    </xf>
    <xf numFmtId="0" fontId="7" fillId="0" borderId="1" xfId="2" applyFont="1" applyBorder="1">
      <alignment vertical="center"/>
    </xf>
    <xf numFmtId="0" fontId="15" fillId="0" borderId="1" xfId="2" applyFont="1" applyBorder="1">
      <alignment vertical="center"/>
    </xf>
    <xf numFmtId="176" fontId="15" fillId="0" borderId="1" xfId="2" applyNumberFormat="1" applyFont="1" applyBorder="1">
      <alignment vertical="center"/>
    </xf>
    <xf numFmtId="178" fontId="15" fillId="0" borderId="1" xfId="2" applyNumberFormat="1" applyFont="1" applyBorder="1">
      <alignment vertical="center"/>
    </xf>
    <xf numFmtId="41" fontId="15" fillId="0" borderId="1" xfId="3" applyFont="1" applyBorder="1" applyAlignment="1">
      <alignment horizontal="center" vertical="center"/>
    </xf>
    <xf numFmtId="41" fontId="7" fillId="0" borderId="0" xfId="3" applyFont="1">
      <alignment vertical="center"/>
    </xf>
    <xf numFmtId="0" fontId="7" fillId="5" borderId="1" xfId="2" applyFont="1" applyFill="1" applyBorder="1">
      <alignment vertical="center"/>
    </xf>
    <xf numFmtId="177" fontId="15" fillId="2" borderId="1" xfId="2" applyNumberFormat="1" applyFont="1" applyFill="1" applyBorder="1">
      <alignment vertical="center"/>
    </xf>
    <xf numFmtId="176" fontId="3" fillId="4" borderId="0" xfId="2" applyNumberFormat="1" applyFill="1">
      <alignment vertical="center"/>
    </xf>
    <xf numFmtId="0" fontId="5" fillId="6" borderId="5" xfId="0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5" fillId="6" borderId="12" xfId="0" applyFont="1" applyFill="1" applyBorder="1" applyAlignment="1">
      <alignment horizontal="center" vertical="center" wrapText="1"/>
    </xf>
    <xf numFmtId="176" fontId="3" fillId="2" borderId="0" xfId="2" applyNumberFormat="1" applyFill="1">
      <alignment vertical="center"/>
    </xf>
    <xf numFmtId="0" fontId="5" fillId="6" borderId="10" xfId="0" applyFont="1" applyFill="1" applyBorder="1" applyAlignment="1">
      <alignment horizontal="center" vertical="center" wrapText="1"/>
    </xf>
    <xf numFmtId="0" fontId="16" fillId="6" borderId="10" xfId="0" applyFont="1" applyFill="1" applyBorder="1" applyAlignment="1">
      <alignment horizontal="center" vertical="center" wrapText="1"/>
    </xf>
    <xf numFmtId="0" fontId="16" fillId="6" borderId="13" xfId="0" applyFont="1" applyFill="1" applyBorder="1" applyAlignment="1">
      <alignment horizontal="center" vertical="center" wrapText="1"/>
    </xf>
    <xf numFmtId="0" fontId="5" fillId="6" borderId="14" xfId="0" applyFont="1" applyFill="1" applyBorder="1" applyAlignment="1">
      <alignment horizontal="center" vertical="center" wrapText="1"/>
    </xf>
    <xf numFmtId="0" fontId="3" fillId="4" borderId="0" xfId="2" applyFill="1">
      <alignment vertical="center"/>
    </xf>
    <xf numFmtId="0" fontId="16" fillId="6" borderId="15" xfId="0" applyFont="1" applyFill="1" applyBorder="1" applyAlignment="1">
      <alignment horizontal="center" vertical="center" wrapText="1"/>
    </xf>
    <xf numFmtId="0" fontId="0" fillId="6" borderId="15" xfId="0" applyFill="1" applyBorder="1" applyAlignment="1">
      <alignment vertical="center" wrapText="1"/>
    </xf>
    <xf numFmtId="0" fontId="0" fillId="6" borderId="16" xfId="0" applyFill="1" applyBorder="1" applyAlignment="1">
      <alignment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3" fontId="17" fillId="0" borderId="18" xfId="0" applyNumberFormat="1" applyFont="1" applyBorder="1" applyAlignment="1">
      <alignment horizontal="center" vertical="center" wrapText="1"/>
    </xf>
    <xf numFmtId="177" fontId="17" fillId="0" borderId="18" xfId="0" applyNumberFormat="1" applyFont="1" applyBorder="1" applyAlignment="1">
      <alignment horizontal="right" vertical="center" wrapText="1"/>
    </xf>
    <xf numFmtId="176" fontId="17" fillId="0" borderId="20" xfId="0" applyNumberFormat="1" applyFont="1" applyBorder="1" applyAlignment="1">
      <alignment horizontal="center" vertical="center" wrapText="1"/>
    </xf>
    <xf numFmtId="0" fontId="3" fillId="2" borderId="0" xfId="2" applyFill="1">
      <alignment vertical="center"/>
    </xf>
    <xf numFmtId="0" fontId="3" fillId="0" borderId="0" xfId="2" applyAlignment="1">
      <alignment horizontal="center" vertical="center"/>
    </xf>
    <xf numFmtId="180" fontId="3" fillId="0" borderId="0" xfId="2" applyNumberFormat="1">
      <alignment vertical="center"/>
    </xf>
    <xf numFmtId="177" fontId="3" fillId="2" borderId="0" xfId="2" applyNumberFormat="1" applyFill="1">
      <alignment vertical="center"/>
    </xf>
    <xf numFmtId="41" fontId="3" fillId="2" borderId="0" xfId="2" applyNumberFormat="1" applyFill="1">
      <alignment vertical="center"/>
    </xf>
    <xf numFmtId="0" fontId="18" fillId="0" borderId="21" xfId="2" applyFont="1" applyBorder="1">
      <alignment vertical="center"/>
    </xf>
    <xf numFmtId="0" fontId="3" fillId="0" borderId="22" xfId="2" applyBorder="1">
      <alignment vertical="center"/>
    </xf>
    <xf numFmtId="0" fontId="3" fillId="0" borderId="23" xfId="2" applyBorder="1">
      <alignment vertical="center"/>
    </xf>
    <xf numFmtId="0" fontId="19" fillId="0" borderId="21" xfId="2" applyFont="1" applyBorder="1">
      <alignment vertical="center"/>
    </xf>
    <xf numFmtId="0" fontId="20" fillId="0" borderId="22" xfId="2" applyFont="1" applyBorder="1">
      <alignment vertical="center"/>
    </xf>
    <xf numFmtId="0" fontId="19" fillId="0" borderId="24" xfId="2" applyFont="1" applyBorder="1">
      <alignment vertical="center"/>
    </xf>
    <xf numFmtId="0" fontId="20" fillId="0" borderId="25" xfId="2" applyFont="1" applyBorder="1">
      <alignment vertical="center"/>
    </xf>
    <xf numFmtId="0" fontId="3" fillId="0" borderId="25" xfId="2" applyBorder="1">
      <alignment vertical="center"/>
    </xf>
    <xf numFmtId="0" fontId="3" fillId="0" borderId="26" xfId="2" applyBorder="1">
      <alignment vertical="center"/>
    </xf>
    <xf numFmtId="0" fontId="21" fillId="0" borderId="27" xfId="2" applyFont="1" applyBorder="1">
      <alignment vertical="center"/>
    </xf>
    <xf numFmtId="0" fontId="20" fillId="0" borderId="0" xfId="2" applyFont="1">
      <alignment vertical="center"/>
    </xf>
    <xf numFmtId="0" fontId="3" fillId="0" borderId="28" xfId="2" applyBorder="1">
      <alignment vertical="center"/>
    </xf>
    <xf numFmtId="0" fontId="21" fillId="0" borderId="0" xfId="2" applyFont="1">
      <alignment vertical="center"/>
    </xf>
    <xf numFmtId="0" fontId="21" fillId="0" borderId="28" xfId="2" applyFont="1" applyBorder="1">
      <alignment vertical="center"/>
    </xf>
    <xf numFmtId="0" fontId="24" fillId="0" borderId="0" xfId="2" applyFont="1">
      <alignment vertical="center"/>
    </xf>
    <xf numFmtId="0" fontId="24" fillId="0" borderId="28" xfId="2" applyFont="1" applyBorder="1">
      <alignment vertical="center"/>
    </xf>
    <xf numFmtId="0" fontId="21" fillId="0" borderId="29" xfId="2" applyFont="1" applyBorder="1">
      <alignment vertical="center"/>
    </xf>
    <xf numFmtId="0" fontId="24" fillId="0" borderId="29" xfId="2" applyFont="1" applyBorder="1">
      <alignment vertical="center"/>
    </xf>
    <xf numFmtId="181" fontId="3" fillId="0" borderId="0" xfId="2" applyNumberFormat="1">
      <alignment vertical="center"/>
    </xf>
    <xf numFmtId="183" fontId="3" fillId="0" borderId="0" xfId="2" applyNumberFormat="1">
      <alignment vertical="center"/>
    </xf>
    <xf numFmtId="0" fontId="21" fillId="0" borderId="30" xfId="2" applyFont="1" applyBorder="1">
      <alignment vertical="center"/>
    </xf>
    <xf numFmtId="0" fontId="24" fillId="0" borderId="31" xfId="2" applyFont="1" applyBorder="1">
      <alignment vertical="center"/>
    </xf>
    <xf numFmtId="0" fontId="29" fillId="7" borderId="5" xfId="0" applyFont="1" applyFill="1" applyBorder="1" applyAlignment="1">
      <alignment horizontal="center" vertical="center" wrapText="1"/>
    </xf>
    <xf numFmtId="0" fontId="30" fillId="7" borderId="7" xfId="0" applyFont="1" applyFill="1" applyBorder="1" applyAlignment="1">
      <alignment horizontal="center" vertical="center" wrapText="1"/>
    </xf>
    <xf numFmtId="179" fontId="30" fillId="0" borderId="6" xfId="0" applyNumberFormat="1" applyFont="1" applyBorder="1" applyAlignment="1">
      <alignment horizontal="center" vertical="center" wrapText="1"/>
    </xf>
    <xf numFmtId="10" fontId="30" fillId="0" borderId="6" xfId="0" applyNumberFormat="1" applyFont="1" applyBorder="1" applyAlignment="1">
      <alignment horizontal="center" vertical="center" wrapText="1"/>
    </xf>
    <xf numFmtId="3" fontId="30" fillId="0" borderId="6" xfId="0" applyNumberFormat="1" applyFont="1" applyBorder="1" applyAlignment="1">
      <alignment horizontal="center" vertical="center" wrapText="1"/>
    </xf>
    <xf numFmtId="0" fontId="30" fillId="0" borderId="6" xfId="0" applyFont="1" applyBorder="1" applyAlignment="1">
      <alignment horizontal="center" vertical="center" wrapText="1"/>
    </xf>
    <xf numFmtId="0" fontId="32" fillId="0" borderId="5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4" fillId="0" borderId="10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32" fillId="0" borderId="6" xfId="0" applyFont="1" applyBorder="1" applyAlignment="1">
      <alignment horizontal="center" vertical="center" wrapText="1"/>
    </xf>
    <xf numFmtId="0" fontId="0" fillId="0" borderId="7" xfId="0" applyBorder="1" applyAlignment="1">
      <alignment vertical="center" wrapText="1"/>
    </xf>
    <xf numFmtId="0" fontId="34" fillId="0" borderId="7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right" vertical="center" wrapText="1"/>
    </xf>
    <xf numFmtId="176" fontId="35" fillId="0" borderId="5" xfId="0" applyNumberFormat="1" applyFont="1" applyBorder="1" applyAlignment="1">
      <alignment horizontal="right" vertical="center" wrapText="1"/>
    </xf>
    <xf numFmtId="0" fontId="7" fillId="0" borderId="10" xfId="0" applyFont="1" applyBorder="1" applyAlignment="1">
      <alignment horizontal="right" vertical="center" wrapText="1"/>
    </xf>
    <xf numFmtId="176" fontId="23" fillId="0" borderId="10" xfId="0" applyNumberFormat="1" applyFont="1" applyBorder="1" applyAlignment="1">
      <alignment horizontal="right" vertical="center" wrapText="1"/>
    </xf>
    <xf numFmtId="0" fontId="35" fillId="0" borderId="10" xfId="0" applyFont="1" applyBorder="1" applyAlignment="1">
      <alignment horizontal="right" vertical="center" wrapText="1"/>
    </xf>
    <xf numFmtId="0" fontId="23" fillId="0" borderId="7" xfId="0" applyFont="1" applyBorder="1" applyAlignment="1">
      <alignment horizontal="right" vertical="center" wrapText="1"/>
    </xf>
    <xf numFmtId="176" fontId="23" fillId="0" borderId="5" xfId="0" applyNumberFormat="1" applyFont="1" applyBorder="1" applyAlignment="1">
      <alignment horizontal="right" vertical="center" wrapText="1"/>
    </xf>
    <xf numFmtId="0" fontId="35" fillId="0" borderId="10" xfId="0" applyFont="1" applyBorder="1" applyAlignment="1">
      <alignment horizontal="center" vertical="center" wrapText="1"/>
    </xf>
    <xf numFmtId="0" fontId="7" fillId="0" borderId="40" xfId="0" applyFont="1" applyBorder="1" applyAlignment="1">
      <alignment horizontal="right" vertical="center" wrapText="1"/>
    </xf>
    <xf numFmtId="176" fontId="37" fillId="0" borderId="40" xfId="0" applyNumberFormat="1" applyFont="1" applyBorder="1" applyAlignment="1">
      <alignment horizontal="right" vertical="center" wrapText="1"/>
    </xf>
    <xf numFmtId="176" fontId="38" fillId="0" borderId="40" xfId="0" applyNumberFormat="1" applyFont="1" applyBorder="1" applyAlignment="1">
      <alignment horizontal="right" vertical="center" wrapText="1"/>
    </xf>
    <xf numFmtId="0" fontId="23" fillId="0" borderId="10" xfId="0" applyFont="1" applyBorder="1" applyAlignment="1">
      <alignment horizontal="right" vertical="center" wrapText="1"/>
    </xf>
    <xf numFmtId="176" fontId="37" fillId="0" borderId="10" xfId="0" applyNumberFormat="1" applyFont="1" applyBorder="1" applyAlignment="1">
      <alignment horizontal="right" vertical="center" wrapText="1"/>
    </xf>
    <xf numFmtId="176" fontId="10" fillId="2" borderId="6" xfId="0" applyNumberFormat="1" applyFont="1" applyFill="1" applyBorder="1" applyAlignment="1">
      <alignment horizontal="justify" vertical="center" wrapText="1"/>
    </xf>
    <xf numFmtId="179" fontId="9" fillId="0" borderId="6" xfId="2" applyNumberFormat="1" applyFont="1" applyBorder="1" applyAlignment="1">
      <alignment horizontal="center" vertical="center" wrapText="1"/>
    </xf>
    <xf numFmtId="179" fontId="11" fillId="2" borderId="5" xfId="2" applyNumberFormat="1" applyFont="1" applyFill="1" applyBorder="1" applyAlignment="1">
      <alignment horizontal="center" vertical="center" wrapText="1"/>
    </xf>
    <xf numFmtId="179" fontId="7" fillId="0" borderId="0" xfId="9" applyNumberFormat="1" applyFont="1">
      <alignment vertical="center"/>
    </xf>
    <xf numFmtId="179" fontId="3" fillId="2" borderId="0" xfId="2" applyNumberFormat="1" applyFill="1">
      <alignment vertical="center"/>
    </xf>
    <xf numFmtId="179" fontId="9" fillId="4" borderId="6" xfId="9" applyNumberFormat="1" applyFont="1" applyFill="1" applyBorder="1" applyAlignment="1">
      <alignment horizontal="justify" vertical="center" wrapText="1"/>
    </xf>
    <xf numFmtId="43" fontId="39" fillId="2" borderId="6" xfId="2" applyNumberFormat="1" applyFont="1" applyFill="1" applyBorder="1" applyAlignment="1">
      <alignment horizontal="center" vertical="center" wrapText="1"/>
    </xf>
    <xf numFmtId="3" fontId="40" fillId="0" borderId="18" xfId="0" applyNumberFormat="1" applyFont="1" applyBorder="1" applyAlignment="1">
      <alignment horizontal="right" vertical="center" wrapText="1"/>
    </xf>
    <xf numFmtId="41" fontId="3" fillId="2" borderId="0" xfId="1" applyFont="1" applyFill="1">
      <alignment vertical="center"/>
    </xf>
    <xf numFmtId="3" fontId="40" fillId="0" borderId="19" xfId="0" applyNumberFormat="1" applyFont="1" applyBorder="1" applyAlignment="1">
      <alignment horizontal="right" vertical="center" wrapText="1"/>
    </xf>
    <xf numFmtId="43" fontId="41" fillId="0" borderId="0" xfId="2" applyNumberFormat="1" applyFont="1" applyAlignment="1">
      <alignment horizontal="center" vertical="center" wrapText="1"/>
    </xf>
    <xf numFmtId="176" fontId="39" fillId="0" borderId="6" xfId="2" applyNumberFormat="1" applyFont="1" applyBorder="1" applyAlignment="1">
      <alignment horizontal="justify" vertical="center" wrapText="1"/>
    </xf>
    <xf numFmtId="176" fontId="42" fillId="0" borderId="6" xfId="2" applyNumberFormat="1" applyFont="1" applyBorder="1" applyAlignment="1">
      <alignment horizontal="center" vertical="center" wrapText="1"/>
    </xf>
    <xf numFmtId="176" fontId="43" fillId="0" borderId="18" xfId="0" applyNumberFormat="1" applyFont="1" applyBorder="1" applyAlignment="1">
      <alignment horizontal="center" vertical="center" wrapText="1"/>
    </xf>
    <xf numFmtId="177" fontId="7" fillId="2" borderId="0" xfId="2" applyNumberFormat="1" applyFont="1" applyFill="1" applyAlignment="1">
      <alignment horizontal="center" vertical="center"/>
    </xf>
    <xf numFmtId="0" fontId="5" fillId="3" borderId="2" xfId="2" applyFont="1" applyFill="1" applyBorder="1" applyAlignment="1">
      <alignment horizontal="center" vertical="center" wrapText="1"/>
    </xf>
    <xf numFmtId="0" fontId="5" fillId="3" borderId="3" xfId="2" applyFont="1" applyFill="1" applyBorder="1" applyAlignment="1">
      <alignment horizontal="center" vertical="center" wrapText="1"/>
    </xf>
    <xf numFmtId="0" fontId="5" fillId="3" borderId="4" xfId="2" applyFont="1" applyFill="1" applyBorder="1" applyAlignment="1">
      <alignment horizontal="center" vertical="center" wrapText="1"/>
    </xf>
    <xf numFmtId="0" fontId="5" fillId="3" borderId="5" xfId="2" applyFont="1" applyFill="1" applyBorder="1" applyAlignment="1">
      <alignment horizontal="center" vertical="center" wrapText="1"/>
    </xf>
    <xf numFmtId="0" fontId="5" fillId="3" borderId="7" xfId="2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 wrapText="1"/>
    </xf>
    <xf numFmtId="0" fontId="5" fillId="6" borderId="15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21" fillId="2" borderId="0" xfId="2" applyFont="1" applyFill="1" applyAlignment="1">
      <alignment horizontal="center" vertical="center"/>
    </xf>
    <xf numFmtId="176" fontId="21" fillId="2" borderId="0" xfId="2" applyNumberFormat="1" applyFont="1" applyFill="1" applyAlignment="1">
      <alignment horizontal="center" vertical="center"/>
    </xf>
    <xf numFmtId="41" fontId="24" fillId="2" borderId="0" xfId="1" applyFont="1" applyFill="1" applyBorder="1" applyAlignment="1">
      <alignment horizontal="center" vertical="center"/>
    </xf>
    <xf numFmtId="41" fontId="24" fillId="2" borderId="0" xfId="2" applyNumberFormat="1" applyFont="1" applyFill="1" applyAlignment="1">
      <alignment horizontal="center" vertical="center"/>
    </xf>
    <xf numFmtId="0" fontId="24" fillId="2" borderId="0" xfId="2" applyFont="1" applyFill="1" applyAlignment="1">
      <alignment horizontal="center" vertical="center"/>
    </xf>
    <xf numFmtId="41" fontId="21" fillId="2" borderId="0" xfId="2" applyNumberFormat="1" applyFont="1" applyFill="1" applyAlignment="1">
      <alignment horizontal="center" vertical="center"/>
    </xf>
    <xf numFmtId="10" fontId="21" fillId="2" borderId="0" xfId="2" applyNumberFormat="1" applyFont="1" applyFill="1" applyAlignment="1">
      <alignment horizontal="center" vertical="center"/>
    </xf>
    <xf numFmtId="177" fontId="23" fillId="2" borderId="0" xfId="2" applyNumberFormat="1" applyFont="1" applyFill="1" applyAlignment="1">
      <alignment horizontal="center" vertical="center"/>
    </xf>
    <xf numFmtId="0" fontId="23" fillId="2" borderId="0" xfId="2" applyFont="1" applyFill="1" applyAlignment="1">
      <alignment horizontal="center" vertical="center"/>
    </xf>
    <xf numFmtId="176" fontId="24" fillId="2" borderId="0" xfId="2" applyNumberFormat="1" applyFont="1" applyFill="1" applyAlignment="1">
      <alignment horizontal="center" vertical="center"/>
    </xf>
    <xf numFmtId="183" fontId="23" fillId="2" borderId="0" xfId="1" applyNumberFormat="1" applyFont="1" applyFill="1" applyBorder="1" applyAlignment="1">
      <alignment horizontal="center" vertical="center"/>
    </xf>
    <xf numFmtId="41" fontId="21" fillId="2" borderId="0" xfId="1" applyFont="1" applyFill="1" applyBorder="1" applyAlignment="1">
      <alignment horizontal="center" vertical="center"/>
    </xf>
    <xf numFmtId="182" fontId="24" fillId="2" borderId="0" xfId="2" applyNumberFormat="1" applyFont="1" applyFill="1" applyAlignment="1">
      <alignment horizontal="center" vertical="center"/>
    </xf>
    <xf numFmtId="179" fontId="21" fillId="2" borderId="0" xfId="2" applyNumberFormat="1" applyFont="1" applyFill="1" applyAlignment="1">
      <alignment horizontal="center" vertical="center"/>
    </xf>
    <xf numFmtId="184" fontId="23" fillId="2" borderId="0" xfId="2" applyNumberFormat="1" applyFont="1" applyFill="1" applyAlignment="1">
      <alignment horizontal="center" vertical="center"/>
    </xf>
    <xf numFmtId="177" fontId="28" fillId="2" borderId="0" xfId="2" applyNumberFormat="1" applyFont="1" applyFill="1" applyAlignment="1">
      <alignment horizontal="center" vertical="center"/>
    </xf>
    <xf numFmtId="0" fontId="28" fillId="2" borderId="0" xfId="2" applyFont="1" applyFill="1" applyAlignment="1">
      <alignment horizontal="center" vertical="center"/>
    </xf>
    <xf numFmtId="179" fontId="27" fillId="2" borderId="0" xfId="2" applyNumberFormat="1" applyFont="1" applyFill="1" applyAlignment="1">
      <alignment horizontal="center" vertical="center"/>
    </xf>
    <xf numFmtId="0" fontId="27" fillId="2" borderId="0" xfId="2" applyFont="1" applyFill="1" applyAlignment="1">
      <alignment horizontal="center" vertical="center"/>
    </xf>
    <xf numFmtId="179" fontId="22" fillId="2" borderId="0" xfId="2" applyNumberFormat="1" applyFont="1" applyFill="1" applyAlignment="1">
      <alignment horizontal="center" vertical="center"/>
    </xf>
    <xf numFmtId="0" fontId="22" fillId="2" borderId="0" xfId="2" applyFont="1" applyFill="1" applyAlignment="1">
      <alignment horizontal="center" vertical="center"/>
    </xf>
    <xf numFmtId="41" fontId="22" fillId="2" borderId="0" xfId="2" applyNumberFormat="1" applyFont="1" applyFill="1" applyAlignment="1">
      <alignment horizontal="center" vertical="center"/>
    </xf>
    <xf numFmtId="176" fontId="28" fillId="2" borderId="0" xfId="2" applyNumberFormat="1" applyFont="1" applyFill="1" applyAlignment="1">
      <alignment horizontal="center" vertical="center"/>
    </xf>
    <xf numFmtId="182" fontId="22" fillId="2" borderId="0" xfId="2" applyNumberFormat="1" applyFont="1" applyFill="1" applyAlignment="1">
      <alignment horizontal="center" vertical="center"/>
    </xf>
    <xf numFmtId="179" fontId="24" fillId="2" borderId="0" xfId="2" applyNumberFormat="1" applyFont="1" applyFill="1" applyAlignment="1">
      <alignment horizontal="center" vertical="center"/>
    </xf>
    <xf numFmtId="179" fontId="23" fillId="2" borderId="0" xfId="2" applyNumberFormat="1" applyFont="1" applyFill="1" applyAlignment="1">
      <alignment horizontal="center" vertical="center"/>
    </xf>
    <xf numFmtId="0" fontId="24" fillId="0" borderId="0" xfId="2" applyFont="1" applyAlignment="1">
      <alignment horizontal="center" vertical="center"/>
    </xf>
    <xf numFmtId="10" fontId="24" fillId="0" borderId="0" xfId="2" applyNumberFormat="1" applyFont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7" fillId="0" borderId="0" xfId="2" quotePrefix="1" applyFont="1" applyAlignment="1">
      <alignment horizontal="center" vertical="center"/>
    </xf>
    <xf numFmtId="0" fontId="27" fillId="0" borderId="0" xfId="2" applyFont="1" applyAlignment="1">
      <alignment horizontal="center" vertical="center"/>
    </xf>
    <xf numFmtId="41" fontId="22" fillId="2" borderId="0" xfId="1" applyFont="1" applyFill="1" applyBorder="1" applyAlignment="1">
      <alignment horizontal="center" vertical="center"/>
    </xf>
    <xf numFmtId="0" fontId="3" fillId="2" borderId="0" xfId="2" applyFill="1" applyAlignment="1">
      <alignment horizontal="center" vertical="center"/>
    </xf>
    <xf numFmtId="0" fontId="21" fillId="0" borderId="27" xfId="2" applyFont="1" applyBorder="1" applyAlignment="1">
      <alignment horizontal="center" vertical="center"/>
    </xf>
    <xf numFmtId="0" fontId="21" fillId="0" borderId="0" xfId="2" quotePrefix="1" applyFont="1" applyAlignment="1">
      <alignment horizontal="center" vertical="center"/>
    </xf>
    <xf numFmtId="0" fontId="22" fillId="0" borderId="29" xfId="2" quotePrefix="1" applyFont="1" applyBorder="1" applyAlignment="1">
      <alignment horizontal="center" vertical="center"/>
    </xf>
    <xf numFmtId="176" fontId="19" fillId="0" borderId="40" xfId="0" applyNumberFormat="1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justify" vertical="center" wrapText="1"/>
    </xf>
    <xf numFmtId="0" fontId="7" fillId="0" borderId="10" xfId="0" applyFont="1" applyBorder="1" applyAlignment="1">
      <alignment horizontal="justify" vertical="center" wrapText="1"/>
    </xf>
    <xf numFmtId="0" fontId="7" fillId="0" borderId="15" xfId="0" applyFont="1" applyBorder="1" applyAlignment="1">
      <alignment horizontal="justify" vertical="center" wrapText="1"/>
    </xf>
    <xf numFmtId="0" fontId="20" fillId="0" borderId="40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center" vertical="center" wrapText="1"/>
    </xf>
    <xf numFmtId="0" fontId="7" fillId="0" borderId="40" xfId="0" applyFont="1" applyBorder="1" applyAlignment="1">
      <alignment horizontal="justify" vertical="center" wrapText="1"/>
    </xf>
    <xf numFmtId="0" fontId="7" fillId="0" borderId="7" xfId="0" applyFont="1" applyBorder="1" applyAlignment="1">
      <alignment horizontal="justify" vertical="center" wrapText="1"/>
    </xf>
    <xf numFmtId="10" fontId="19" fillId="0" borderId="40" xfId="0" applyNumberFormat="1" applyFont="1" applyBorder="1" applyAlignment="1">
      <alignment horizontal="center" vertical="center" wrapText="1"/>
    </xf>
    <xf numFmtId="43" fontId="19" fillId="0" borderId="40" xfId="0" applyNumberFormat="1" applyFont="1" applyBorder="1" applyAlignment="1">
      <alignment horizontal="center" vertical="center" wrapText="1"/>
    </xf>
    <xf numFmtId="179" fontId="19" fillId="0" borderId="40" xfId="0" applyNumberFormat="1" applyFont="1" applyBorder="1" applyAlignment="1">
      <alignment horizontal="center" vertical="center" wrapText="1"/>
    </xf>
    <xf numFmtId="179" fontId="19" fillId="0" borderId="10" xfId="0" applyNumberFormat="1" applyFont="1" applyBorder="1" applyAlignment="1">
      <alignment horizontal="center" vertical="center" wrapText="1"/>
    </xf>
    <xf numFmtId="179" fontId="19" fillId="0" borderId="7" xfId="0" applyNumberFormat="1" applyFont="1" applyBorder="1" applyAlignment="1">
      <alignment horizontal="center" vertical="center" wrapText="1"/>
    </xf>
    <xf numFmtId="176" fontId="19" fillId="0" borderId="10" xfId="0" applyNumberFormat="1" applyFont="1" applyBorder="1" applyAlignment="1">
      <alignment horizontal="center" vertical="center" wrapText="1"/>
    </xf>
    <xf numFmtId="176" fontId="19" fillId="0" borderId="7" xfId="0" applyNumberFormat="1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185" fontId="21" fillId="0" borderId="5" xfId="0" applyNumberFormat="1" applyFont="1" applyBorder="1" applyAlignment="1">
      <alignment horizontal="center" vertical="center" wrapText="1"/>
    </xf>
    <xf numFmtId="185" fontId="21" fillId="0" borderId="10" xfId="0" applyNumberFormat="1" applyFont="1" applyBorder="1" applyAlignment="1">
      <alignment horizontal="center" vertical="center" wrapText="1"/>
    </xf>
    <xf numFmtId="185" fontId="21" fillId="0" borderId="7" xfId="0" applyNumberFormat="1" applyFont="1" applyBorder="1" applyAlignment="1">
      <alignment horizontal="center" vertical="center" wrapText="1"/>
    </xf>
    <xf numFmtId="176" fontId="21" fillId="0" borderId="5" xfId="0" applyNumberFormat="1" applyFont="1" applyBorder="1" applyAlignment="1">
      <alignment horizontal="center" vertical="center" wrapText="1"/>
    </xf>
    <xf numFmtId="176" fontId="21" fillId="0" borderId="10" xfId="0" applyNumberFormat="1" applyFont="1" applyBorder="1" applyAlignment="1">
      <alignment horizontal="center" vertical="center" wrapText="1"/>
    </xf>
    <xf numFmtId="176" fontId="21" fillId="0" borderId="7" xfId="0" applyNumberFormat="1" applyFont="1" applyBorder="1" applyAlignment="1">
      <alignment horizontal="center" vertical="center" wrapText="1"/>
    </xf>
    <xf numFmtId="179" fontId="7" fillId="0" borderId="5" xfId="0" applyNumberFormat="1" applyFont="1" applyBorder="1" applyAlignment="1">
      <alignment horizontal="justify" vertical="center" wrapText="1"/>
    </xf>
    <xf numFmtId="179" fontId="7" fillId="0" borderId="10" xfId="0" applyNumberFormat="1" applyFont="1" applyBorder="1" applyAlignment="1">
      <alignment horizontal="justify" vertical="center" wrapText="1"/>
    </xf>
    <xf numFmtId="179" fontId="7" fillId="0" borderId="15" xfId="0" applyNumberFormat="1" applyFont="1" applyBorder="1" applyAlignment="1">
      <alignment horizontal="justify" vertical="center" wrapText="1"/>
    </xf>
    <xf numFmtId="0" fontId="29" fillId="0" borderId="2" xfId="0" applyFont="1" applyBorder="1" applyAlignment="1">
      <alignment horizontal="justify" vertical="center" wrapText="1"/>
    </xf>
    <xf numFmtId="0" fontId="29" fillId="0" borderId="3" xfId="0" applyFont="1" applyBorder="1" applyAlignment="1">
      <alignment horizontal="justify" vertical="center" wrapText="1"/>
    </xf>
    <xf numFmtId="0" fontId="29" fillId="0" borderId="4" xfId="0" applyFont="1" applyBorder="1" applyAlignment="1">
      <alignment horizontal="justify" vertical="center" wrapText="1"/>
    </xf>
    <xf numFmtId="0" fontId="32" fillId="0" borderId="5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wrapText="1"/>
    </xf>
    <xf numFmtId="0" fontId="32" fillId="0" borderId="7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0" borderId="34" xfId="0" applyFont="1" applyBorder="1" applyAlignment="1">
      <alignment horizontal="center" vertical="center" wrapText="1"/>
    </xf>
    <xf numFmtId="0" fontId="32" fillId="0" borderId="35" xfId="0" applyFont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2" fillId="0" borderId="37" xfId="0" applyFont="1" applyBorder="1" applyAlignment="1">
      <alignment horizontal="center" vertical="center" wrapText="1"/>
    </xf>
    <xf numFmtId="0" fontId="32" fillId="0" borderId="38" xfId="0" applyFont="1" applyBorder="1" applyAlignment="1">
      <alignment horizontal="center" vertical="center" wrapText="1"/>
    </xf>
    <xf numFmtId="0" fontId="32" fillId="0" borderId="39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justify" vertical="center" wrapText="1"/>
    </xf>
    <xf numFmtId="0" fontId="20" fillId="0" borderId="10" xfId="0" applyFont="1" applyBorder="1" applyAlignment="1">
      <alignment horizontal="justify" vertical="center" wrapText="1"/>
    </xf>
    <xf numFmtId="0" fontId="20" fillId="0" borderId="7" xfId="0" applyFont="1" applyBorder="1" applyAlignment="1">
      <alignment horizontal="justify" vertical="center" wrapText="1"/>
    </xf>
    <xf numFmtId="10" fontId="21" fillId="0" borderId="5" xfId="0" applyNumberFormat="1" applyFont="1" applyBorder="1" applyAlignment="1">
      <alignment horizontal="center" vertical="center" wrapText="1"/>
    </xf>
    <xf numFmtId="43" fontId="21" fillId="0" borderId="5" xfId="0" applyNumberFormat="1" applyFont="1" applyBorder="1" applyAlignment="1">
      <alignment horizontal="center" vertical="center" wrapText="1"/>
    </xf>
    <xf numFmtId="179" fontId="21" fillId="0" borderId="5" xfId="0" applyNumberFormat="1" applyFont="1" applyBorder="1" applyAlignment="1">
      <alignment horizontal="center" vertical="center" wrapText="1"/>
    </xf>
    <xf numFmtId="179" fontId="21" fillId="0" borderId="10" xfId="0" applyNumberFormat="1" applyFont="1" applyBorder="1" applyAlignment="1">
      <alignment horizontal="center" vertical="center" wrapText="1"/>
    </xf>
    <xf numFmtId="179" fontId="21" fillId="0" borderId="7" xfId="0" applyNumberFormat="1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41" xfId="0" applyFill="1" applyBorder="1">
      <alignment vertical="center"/>
    </xf>
  </cellXfs>
  <cellStyles count="12">
    <cellStyle name="백분율" xfId="9" builtinId="5"/>
    <cellStyle name="쉼표 [0]" xfId="1" builtinId="6"/>
    <cellStyle name="쉼표 [0] 2" xfId="3" xr:uid="{00000000-0005-0000-0000-000001000000}"/>
    <cellStyle name="쉼표 [0] 2 2" xfId="11" xr:uid="{7B1E078E-59C1-4D2F-8BC0-773D69CF72B4}"/>
    <cellStyle name="쉼표 [0] 3" xfId="10" xr:uid="{078A2BE0-6CA7-4629-B4DE-78E41FB5F1D7}"/>
    <cellStyle name="표준" xfId="0" builtinId="0"/>
    <cellStyle name="표준 2" xfId="2" xr:uid="{00000000-0005-0000-0000-000004000000}"/>
    <cellStyle name="표준 3" xfId="4" xr:uid="{00000000-0005-0000-0000-000006000000}"/>
    <cellStyle name="표준 3 2" xfId="5" xr:uid="{00000000-0005-0000-0000-000007000000}"/>
    <cellStyle name="표준 3 3" xfId="6" xr:uid="{00000000-0005-0000-0000-000008000000}"/>
    <cellStyle name="표준 4" xfId="7" xr:uid="{00000000-0005-0000-0000-000009000000}"/>
    <cellStyle name="표준 5" xfId="8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테스트 타이틀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EDChart!$B$2:$B$2510</c:f>
              <c:numCache>
                <c:formatCode>General</c:formatCode>
                <c:ptCount val="2509"/>
                <c:pt idx="0">
                  <c:v>52.32</c:v>
                </c:pt>
                <c:pt idx="1">
                  <c:v>52.08</c:v>
                </c:pt>
                <c:pt idx="2">
                  <c:v>52.14</c:v>
                </c:pt>
                <c:pt idx="3">
                  <c:v>52.02</c:v>
                </c:pt>
                <c:pt idx="4">
                  <c:v>51.9</c:v>
                </c:pt>
                <c:pt idx="5">
                  <c:v>51.84</c:v>
                </c:pt>
                <c:pt idx="6">
                  <c:v>51.69</c:v>
                </c:pt>
                <c:pt idx="7">
                  <c:v>51.63</c:v>
                </c:pt>
                <c:pt idx="8">
                  <c:v>51.57</c:v>
                </c:pt>
                <c:pt idx="9">
                  <c:v>51.39</c:v>
                </c:pt>
                <c:pt idx="10">
                  <c:v>51.24</c:v>
                </c:pt>
                <c:pt idx="11">
                  <c:v>51.15</c:v>
                </c:pt>
                <c:pt idx="12">
                  <c:v>51.18</c:v>
                </c:pt>
                <c:pt idx="13">
                  <c:v>51.06</c:v>
                </c:pt>
                <c:pt idx="14">
                  <c:v>50.91</c:v>
                </c:pt>
                <c:pt idx="15">
                  <c:v>50.85</c:v>
                </c:pt>
                <c:pt idx="16">
                  <c:v>50.76</c:v>
                </c:pt>
                <c:pt idx="17">
                  <c:v>50.61</c:v>
                </c:pt>
                <c:pt idx="18">
                  <c:v>50.46</c:v>
                </c:pt>
                <c:pt idx="19">
                  <c:v>50.34</c:v>
                </c:pt>
                <c:pt idx="20">
                  <c:v>50.37</c:v>
                </c:pt>
                <c:pt idx="21">
                  <c:v>50.31</c:v>
                </c:pt>
                <c:pt idx="22">
                  <c:v>50.19</c:v>
                </c:pt>
                <c:pt idx="23">
                  <c:v>50.04</c:v>
                </c:pt>
                <c:pt idx="24">
                  <c:v>81.39</c:v>
                </c:pt>
                <c:pt idx="25">
                  <c:v>82.17</c:v>
                </c:pt>
                <c:pt idx="26">
                  <c:v>83.04</c:v>
                </c:pt>
                <c:pt idx="27">
                  <c:v>79.260000000000005</c:v>
                </c:pt>
                <c:pt idx="28">
                  <c:v>52.83</c:v>
                </c:pt>
                <c:pt idx="29">
                  <c:v>52.71</c:v>
                </c:pt>
                <c:pt idx="30">
                  <c:v>52.53</c:v>
                </c:pt>
                <c:pt idx="31">
                  <c:v>52.47</c:v>
                </c:pt>
                <c:pt idx="32">
                  <c:v>52.41</c:v>
                </c:pt>
                <c:pt idx="33">
                  <c:v>52.17</c:v>
                </c:pt>
                <c:pt idx="34">
                  <c:v>51.99</c:v>
                </c:pt>
                <c:pt idx="35">
                  <c:v>51.93</c:v>
                </c:pt>
                <c:pt idx="36">
                  <c:v>51.93</c:v>
                </c:pt>
                <c:pt idx="37">
                  <c:v>51.69</c:v>
                </c:pt>
                <c:pt idx="38">
                  <c:v>51.63</c:v>
                </c:pt>
                <c:pt idx="39">
                  <c:v>51.6</c:v>
                </c:pt>
                <c:pt idx="40">
                  <c:v>51.45</c:v>
                </c:pt>
                <c:pt idx="41">
                  <c:v>51.39</c:v>
                </c:pt>
                <c:pt idx="42">
                  <c:v>51.24</c:v>
                </c:pt>
                <c:pt idx="43">
                  <c:v>51.18</c:v>
                </c:pt>
                <c:pt idx="44">
                  <c:v>51.06</c:v>
                </c:pt>
                <c:pt idx="45">
                  <c:v>50.94</c:v>
                </c:pt>
                <c:pt idx="46">
                  <c:v>50.88</c:v>
                </c:pt>
                <c:pt idx="47">
                  <c:v>50.79</c:v>
                </c:pt>
                <c:pt idx="48">
                  <c:v>50.7</c:v>
                </c:pt>
                <c:pt idx="49">
                  <c:v>50.58</c:v>
                </c:pt>
                <c:pt idx="50">
                  <c:v>50.52</c:v>
                </c:pt>
                <c:pt idx="51">
                  <c:v>50.46</c:v>
                </c:pt>
                <c:pt idx="52">
                  <c:v>50.34</c:v>
                </c:pt>
                <c:pt idx="53">
                  <c:v>50.16</c:v>
                </c:pt>
                <c:pt idx="54">
                  <c:v>50.16</c:v>
                </c:pt>
                <c:pt idx="55">
                  <c:v>80.459999999999994</c:v>
                </c:pt>
                <c:pt idx="56">
                  <c:v>81.45</c:v>
                </c:pt>
                <c:pt idx="57">
                  <c:v>82.56</c:v>
                </c:pt>
                <c:pt idx="58">
                  <c:v>83.01</c:v>
                </c:pt>
                <c:pt idx="59">
                  <c:v>53.01</c:v>
                </c:pt>
                <c:pt idx="60">
                  <c:v>52.71</c:v>
                </c:pt>
                <c:pt idx="61">
                  <c:v>52.56</c:v>
                </c:pt>
                <c:pt idx="62">
                  <c:v>52.41</c:v>
                </c:pt>
                <c:pt idx="63">
                  <c:v>52.2</c:v>
                </c:pt>
                <c:pt idx="64">
                  <c:v>52.23</c:v>
                </c:pt>
                <c:pt idx="65">
                  <c:v>52.05</c:v>
                </c:pt>
                <c:pt idx="66">
                  <c:v>52.05</c:v>
                </c:pt>
                <c:pt idx="67">
                  <c:v>51.81</c:v>
                </c:pt>
                <c:pt idx="68">
                  <c:v>51.69</c:v>
                </c:pt>
                <c:pt idx="69">
                  <c:v>51.66</c:v>
                </c:pt>
                <c:pt idx="70">
                  <c:v>51.57</c:v>
                </c:pt>
                <c:pt idx="71">
                  <c:v>51.54</c:v>
                </c:pt>
                <c:pt idx="72">
                  <c:v>51.36</c:v>
                </c:pt>
                <c:pt idx="73">
                  <c:v>51.24</c:v>
                </c:pt>
                <c:pt idx="74">
                  <c:v>51.12</c:v>
                </c:pt>
                <c:pt idx="75">
                  <c:v>51.03</c:v>
                </c:pt>
                <c:pt idx="76">
                  <c:v>51.03</c:v>
                </c:pt>
                <c:pt idx="77">
                  <c:v>50.88</c:v>
                </c:pt>
                <c:pt idx="78">
                  <c:v>50.7</c:v>
                </c:pt>
                <c:pt idx="79">
                  <c:v>50.64</c:v>
                </c:pt>
                <c:pt idx="80">
                  <c:v>50.52</c:v>
                </c:pt>
                <c:pt idx="81">
                  <c:v>50.46</c:v>
                </c:pt>
                <c:pt idx="82">
                  <c:v>50.43</c:v>
                </c:pt>
                <c:pt idx="83">
                  <c:v>50.28</c:v>
                </c:pt>
                <c:pt idx="84">
                  <c:v>50.13</c:v>
                </c:pt>
                <c:pt idx="85">
                  <c:v>50.19</c:v>
                </c:pt>
                <c:pt idx="86">
                  <c:v>80.58</c:v>
                </c:pt>
                <c:pt idx="87">
                  <c:v>81.66</c:v>
                </c:pt>
                <c:pt idx="88">
                  <c:v>82.71</c:v>
                </c:pt>
                <c:pt idx="89">
                  <c:v>83.13</c:v>
                </c:pt>
                <c:pt idx="90">
                  <c:v>53.25</c:v>
                </c:pt>
                <c:pt idx="91">
                  <c:v>52.77</c:v>
                </c:pt>
                <c:pt idx="92">
                  <c:v>52.68</c:v>
                </c:pt>
                <c:pt idx="93">
                  <c:v>52.53</c:v>
                </c:pt>
                <c:pt idx="94">
                  <c:v>52.29</c:v>
                </c:pt>
                <c:pt idx="95">
                  <c:v>52.23</c:v>
                </c:pt>
                <c:pt idx="96">
                  <c:v>52.05</c:v>
                </c:pt>
                <c:pt idx="97">
                  <c:v>52.08</c:v>
                </c:pt>
                <c:pt idx="98">
                  <c:v>51.9</c:v>
                </c:pt>
                <c:pt idx="99">
                  <c:v>51.78</c:v>
                </c:pt>
                <c:pt idx="100">
                  <c:v>51.69</c:v>
                </c:pt>
                <c:pt idx="101">
                  <c:v>51.6</c:v>
                </c:pt>
                <c:pt idx="102">
                  <c:v>51.51</c:v>
                </c:pt>
                <c:pt idx="103">
                  <c:v>51.42</c:v>
                </c:pt>
                <c:pt idx="104">
                  <c:v>51.36</c:v>
                </c:pt>
                <c:pt idx="105">
                  <c:v>51.21</c:v>
                </c:pt>
                <c:pt idx="106">
                  <c:v>51.18</c:v>
                </c:pt>
                <c:pt idx="107">
                  <c:v>51.15</c:v>
                </c:pt>
                <c:pt idx="108">
                  <c:v>50.94</c:v>
                </c:pt>
                <c:pt idx="109">
                  <c:v>50.91</c:v>
                </c:pt>
                <c:pt idx="110">
                  <c:v>50.76</c:v>
                </c:pt>
                <c:pt idx="111">
                  <c:v>50.67</c:v>
                </c:pt>
                <c:pt idx="112">
                  <c:v>50.49</c:v>
                </c:pt>
                <c:pt idx="113">
                  <c:v>50.49</c:v>
                </c:pt>
                <c:pt idx="114">
                  <c:v>50.52</c:v>
                </c:pt>
                <c:pt idx="115">
                  <c:v>50.25</c:v>
                </c:pt>
                <c:pt idx="116">
                  <c:v>50.22</c:v>
                </c:pt>
                <c:pt idx="117">
                  <c:v>50.13</c:v>
                </c:pt>
                <c:pt idx="118">
                  <c:v>63.72</c:v>
                </c:pt>
                <c:pt idx="119">
                  <c:v>81.900000000000006</c:v>
                </c:pt>
                <c:pt idx="120">
                  <c:v>82.5</c:v>
                </c:pt>
                <c:pt idx="121">
                  <c:v>83.04</c:v>
                </c:pt>
                <c:pt idx="122">
                  <c:v>53.01</c:v>
                </c:pt>
                <c:pt idx="123">
                  <c:v>52.71</c:v>
                </c:pt>
                <c:pt idx="124">
                  <c:v>52.59</c:v>
                </c:pt>
                <c:pt idx="125">
                  <c:v>52.5</c:v>
                </c:pt>
                <c:pt idx="126">
                  <c:v>52.32</c:v>
                </c:pt>
                <c:pt idx="127">
                  <c:v>52.17</c:v>
                </c:pt>
                <c:pt idx="128">
                  <c:v>52.11</c:v>
                </c:pt>
                <c:pt idx="129">
                  <c:v>52.05</c:v>
                </c:pt>
                <c:pt idx="130">
                  <c:v>51.75</c:v>
                </c:pt>
                <c:pt idx="131">
                  <c:v>51.81</c:v>
                </c:pt>
                <c:pt idx="132">
                  <c:v>51.66</c:v>
                </c:pt>
                <c:pt idx="133">
                  <c:v>51.75</c:v>
                </c:pt>
                <c:pt idx="134">
                  <c:v>51.42</c:v>
                </c:pt>
                <c:pt idx="135">
                  <c:v>51.36</c:v>
                </c:pt>
                <c:pt idx="136">
                  <c:v>51.45</c:v>
                </c:pt>
                <c:pt idx="137">
                  <c:v>50.61</c:v>
                </c:pt>
                <c:pt idx="138">
                  <c:v>50.34</c:v>
                </c:pt>
                <c:pt idx="139">
                  <c:v>50.34</c:v>
                </c:pt>
                <c:pt idx="140">
                  <c:v>50.43</c:v>
                </c:pt>
                <c:pt idx="141">
                  <c:v>50.37</c:v>
                </c:pt>
                <c:pt idx="142">
                  <c:v>50.34</c:v>
                </c:pt>
                <c:pt idx="143">
                  <c:v>50.31</c:v>
                </c:pt>
                <c:pt idx="144">
                  <c:v>50.19</c:v>
                </c:pt>
                <c:pt idx="145">
                  <c:v>54.57</c:v>
                </c:pt>
                <c:pt idx="146">
                  <c:v>80.67</c:v>
                </c:pt>
                <c:pt idx="147">
                  <c:v>82.26</c:v>
                </c:pt>
                <c:pt idx="148">
                  <c:v>83.19</c:v>
                </c:pt>
                <c:pt idx="149">
                  <c:v>70.44</c:v>
                </c:pt>
                <c:pt idx="150">
                  <c:v>52.89</c:v>
                </c:pt>
                <c:pt idx="151">
                  <c:v>52.77</c:v>
                </c:pt>
                <c:pt idx="152">
                  <c:v>52.68</c:v>
                </c:pt>
                <c:pt idx="153">
                  <c:v>52.5</c:v>
                </c:pt>
                <c:pt idx="154">
                  <c:v>52.5</c:v>
                </c:pt>
                <c:pt idx="155">
                  <c:v>52.35</c:v>
                </c:pt>
                <c:pt idx="156">
                  <c:v>52.38</c:v>
                </c:pt>
                <c:pt idx="157">
                  <c:v>52.17</c:v>
                </c:pt>
                <c:pt idx="158">
                  <c:v>52.14</c:v>
                </c:pt>
                <c:pt idx="159">
                  <c:v>52.05</c:v>
                </c:pt>
                <c:pt idx="160">
                  <c:v>51.93</c:v>
                </c:pt>
                <c:pt idx="161">
                  <c:v>51.93</c:v>
                </c:pt>
                <c:pt idx="162">
                  <c:v>51.78</c:v>
                </c:pt>
                <c:pt idx="163">
                  <c:v>51.66</c:v>
                </c:pt>
                <c:pt idx="164">
                  <c:v>51.72</c:v>
                </c:pt>
                <c:pt idx="165">
                  <c:v>51.69</c:v>
                </c:pt>
                <c:pt idx="166">
                  <c:v>51.57</c:v>
                </c:pt>
                <c:pt idx="167">
                  <c:v>51.45</c:v>
                </c:pt>
                <c:pt idx="168">
                  <c:v>51.36</c:v>
                </c:pt>
                <c:pt idx="169">
                  <c:v>51.27</c:v>
                </c:pt>
                <c:pt idx="170">
                  <c:v>51.33</c:v>
                </c:pt>
                <c:pt idx="171">
                  <c:v>51.18</c:v>
                </c:pt>
                <c:pt idx="172">
                  <c:v>51.18</c:v>
                </c:pt>
                <c:pt idx="173">
                  <c:v>51.09</c:v>
                </c:pt>
                <c:pt idx="174">
                  <c:v>50.97</c:v>
                </c:pt>
                <c:pt idx="175">
                  <c:v>51.03</c:v>
                </c:pt>
                <c:pt idx="176">
                  <c:v>50.91</c:v>
                </c:pt>
                <c:pt idx="177">
                  <c:v>50.97</c:v>
                </c:pt>
                <c:pt idx="178">
                  <c:v>50.76</c:v>
                </c:pt>
                <c:pt idx="179">
                  <c:v>50.82</c:v>
                </c:pt>
                <c:pt idx="180">
                  <c:v>50.76</c:v>
                </c:pt>
                <c:pt idx="181">
                  <c:v>50.82</c:v>
                </c:pt>
                <c:pt idx="182">
                  <c:v>50.73</c:v>
                </c:pt>
                <c:pt idx="183">
                  <c:v>50.64</c:v>
                </c:pt>
                <c:pt idx="184">
                  <c:v>50.58</c:v>
                </c:pt>
                <c:pt idx="185">
                  <c:v>50.55</c:v>
                </c:pt>
                <c:pt idx="186">
                  <c:v>50.49</c:v>
                </c:pt>
                <c:pt idx="187">
                  <c:v>50.58</c:v>
                </c:pt>
                <c:pt idx="188">
                  <c:v>50.49</c:v>
                </c:pt>
                <c:pt idx="189">
                  <c:v>50.46</c:v>
                </c:pt>
                <c:pt idx="190">
                  <c:v>50.34</c:v>
                </c:pt>
                <c:pt idx="191">
                  <c:v>50.34</c:v>
                </c:pt>
                <c:pt idx="192">
                  <c:v>50.31</c:v>
                </c:pt>
                <c:pt idx="193">
                  <c:v>50.13</c:v>
                </c:pt>
                <c:pt idx="194">
                  <c:v>50.25</c:v>
                </c:pt>
                <c:pt idx="195">
                  <c:v>50.1</c:v>
                </c:pt>
                <c:pt idx="196">
                  <c:v>50.04</c:v>
                </c:pt>
                <c:pt idx="197">
                  <c:v>81.45</c:v>
                </c:pt>
                <c:pt idx="198">
                  <c:v>82.17</c:v>
                </c:pt>
                <c:pt idx="199">
                  <c:v>83.28</c:v>
                </c:pt>
                <c:pt idx="200">
                  <c:v>75.33</c:v>
                </c:pt>
                <c:pt idx="201">
                  <c:v>53.1</c:v>
                </c:pt>
                <c:pt idx="202">
                  <c:v>52.86</c:v>
                </c:pt>
                <c:pt idx="203">
                  <c:v>52.77</c:v>
                </c:pt>
                <c:pt idx="204">
                  <c:v>52.8</c:v>
                </c:pt>
                <c:pt idx="205">
                  <c:v>52.71</c:v>
                </c:pt>
                <c:pt idx="206">
                  <c:v>52.56</c:v>
                </c:pt>
                <c:pt idx="207">
                  <c:v>52.59</c:v>
                </c:pt>
                <c:pt idx="208">
                  <c:v>52.5</c:v>
                </c:pt>
                <c:pt idx="209">
                  <c:v>52.44</c:v>
                </c:pt>
                <c:pt idx="210">
                  <c:v>52.29</c:v>
                </c:pt>
                <c:pt idx="211">
                  <c:v>52.29</c:v>
                </c:pt>
                <c:pt idx="212">
                  <c:v>52.29</c:v>
                </c:pt>
                <c:pt idx="213">
                  <c:v>52.26</c:v>
                </c:pt>
                <c:pt idx="214">
                  <c:v>52.05</c:v>
                </c:pt>
                <c:pt idx="215">
                  <c:v>52.11</c:v>
                </c:pt>
                <c:pt idx="216">
                  <c:v>52.02</c:v>
                </c:pt>
                <c:pt idx="217">
                  <c:v>52.11</c:v>
                </c:pt>
                <c:pt idx="218">
                  <c:v>51.99</c:v>
                </c:pt>
                <c:pt idx="219">
                  <c:v>51.87</c:v>
                </c:pt>
                <c:pt idx="220">
                  <c:v>51.9</c:v>
                </c:pt>
                <c:pt idx="221">
                  <c:v>51.9</c:v>
                </c:pt>
                <c:pt idx="222">
                  <c:v>51.69</c:v>
                </c:pt>
                <c:pt idx="223">
                  <c:v>51.66</c:v>
                </c:pt>
                <c:pt idx="224">
                  <c:v>51.69</c:v>
                </c:pt>
                <c:pt idx="225">
                  <c:v>51.69</c:v>
                </c:pt>
                <c:pt idx="226">
                  <c:v>51.72</c:v>
                </c:pt>
                <c:pt idx="227">
                  <c:v>51.48</c:v>
                </c:pt>
                <c:pt idx="228">
                  <c:v>51.51</c:v>
                </c:pt>
                <c:pt idx="229">
                  <c:v>51.57</c:v>
                </c:pt>
                <c:pt idx="230">
                  <c:v>51.33</c:v>
                </c:pt>
                <c:pt idx="231">
                  <c:v>51.24</c:v>
                </c:pt>
                <c:pt idx="232">
                  <c:v>51.36</c:v>
                </c:pt>
                <c:pt idx="233">
                  <c:v>51.3</c:v>
                </c:pt>
                <c:pt idx="234">
                  <c:v>51.24</c:v>
                </c:pt>
                <c:pt idx="235">
                  <c:v>51.15</c:v>
                </c:pt>
                <c:pt idx="236">
                  <c:v>51.18</c:v>
                </c:pt>
                <c:pt idx="237">
                  <c:v>51</c:v>
                </c:pt>
                <c:pt idx="238">
                  <c:v>51.12</c:v>
                </c:pt>
                <c:pt idx="239">
                  <c:v>51.09</c:v>
                </c:pt>
                <c:pt idx="240">
                  <c:v>51</c:v>
                </c:pt>
                <c:pt idx="241">
                  <c:v>50.88</c:v>
                </c:pt>
                <c:pt idx="242">
                  <c:v>50.85</c:v>
                </c:pt>
                <c:pt idx="243">
                  <c:v>50.88</c:v>
                </c:pt>
                <c:pt idx="244">
                  <c:v>50.76</c:v>
                </c:pt>
                <c:pt idx="245">
                  <c:v>50.61</c:v>
                </c:pt>
                <c:pt idx="246">
                  <c:v>50.61</c:v>
                </c:pt>
                <c:pt idx="247">
                  <c:v>50.61</c:v>
                </c:pt>
                <c:pt idx="248">
                  <c:v>50.43</c:v>
                </c:pt>
                <c:pt idx="249">
                  <c:v>50.46</c:v>
                </c:pt>
                <c:pt idx="250">
                  <c:v>50.31</c:v>
                </c:pt>
                <c:pt idx="251">
                  <c:v>50.37</c:v>
                </c:pt>
                <c:pt idx="252">
                  <c:v>50.4</c:v>
                </c:pt>
                <c:pt idx="253">
                  <c:v>50.31</c:v>
                </c:pt>
                <c:pt idx="254">
                  <c:v>50.4</c:v>
                </c:pt>
                <c:pt idx="255">
                  <c:v>50.34</c:v>
                </c:pt>
                <c:pt idx="256">
                  <c:v>50.28</c:v>
                </c:pt>
                <c:pt idx="257">
                  <c:v>50.22</c:v>
                </c:pt>
                <c:pt idx="258">
                  <c:v>50.13</c:v>
                </c:pt>
                <c:pt idx="259">
                  <c:v>50.19</c:v>
                </c:pt>
                <c:pt idx="260">
                  <c:v>68.28</c:v>
                </c:pt>
                <c:pt idx="261">
                  <c:v>82.02</c:v>
                </c:pt>
                <c:pt idx="262">
                  <c:v>82.65</c:v>
                </c:pt>
                <c:pt idx="263">
                  <c:v>82.62</c:v>
                </c:pt>
                <c:pt idx="264">
                  <c:v>56.13</c:v>
                </c:pt>
                <c:pt idx="265">
                  <c:v>53.01</c:v>
                </c:pt>
                <c:pt idx="266">
                  <c:v>52.92</c:v>
                </c:pt>
                <c:pt idx="267">
                  <c:v>52.92</c:v>
                </c:pt>
                <c:pt idx="268">
                  <c:v>52.65</c:v>
                </c:pt>
                <c:pt idx="269">
                  <c:v>52.74</c:v>
                </c:pt>
                <c:pt idx="270">
                  <c:v>52.74</c:v>
                </c:pt>
                <c:pt idx="271">
                  <c:v>52.71</c:v>
                </c:pt>
                <c:pt idx="272">
                  <c:v>52.53</c:v>
                </c:pt>
                <c:pt idx="273">
                  <c:v>52.47</c:v>
                </c:pt>
                <c:pt idx="274">
                  <c:v>52.47</c:v>
                </c:pt>
                <c:pt idx="275">
                  <c:v>52.47</c:v>
                </c:pt>
                <c:pt idx="276">
                  <c:v>52.41</c:v>
                </c:pt>
                <c:pt idx="277">
                  <c:v>52.29</c:v>
                </c:pt>
                <c:pt idx="278">
                  <c:v>52.41</c:v>
                </c:pt>
                <c:pt idx="279">
                  <c:v>52.23</c:v>
                </c:pt>
                <c:pt idx="280">
                  <c:v>52.38</c:v>
                </c:pt>
                <c:pt idx="281">
                  <c:v>52.29</c:v>
                </c:pt>
                <c:pt idx="282">
                  <c:v>52.26</c:v>
                </c:pt>
                <c:pt idx="283">
                  <c:v>52.14</c:v>
                </c:pt>
                <c:pt idx="284">
                  <c:v>52.08</c:v>
                </c:pt>
                <c:pt idx="285">
                  <c:v>52.08</c:v>
                </c:pt>
                <c:pt idx="286">
                  <c:v>52.17</c:v>
                </c:pt>
                <c:pt idx="287">
                  <c:v>52.11</c:v>
                </c:pt>
                <c:pt idx="288">
                  <c:v>52.02</c:v>
                </c:pt>
                <c:pt idx="289">
                  <c:v>52.02</c:v>
                </c:pt>
                <c:pt idx="290">
                  <c:v>52.02</c:v>
                </c:pt>
                <c:pt idx="291">
                  <c:v>51.84</c:v>
                </c:pt>
                <c:pt idx="292">
                  <c:v>51.72</c:v>
                </c:pt>
                <c:pt idx="293">
                  <c:v>51.72</c:v>
                </c:pt>
                <c:pt idx="294">
                  <c:v>51.54</c:v>
                </c:pt>
                <c:pt idx="295">
                  <c:v>51.54</c:v>
                </c:pt>
                <c:pt idx="296">
                  <c:v>51.48</c:v>
                </c:pt>
                <c:pt idx="297">
                  <c:v>51.36</c:v>
                </c:pt>
                <c:pt idx="298">
                  <c:v>51.33</c:v>
                </c:pt>
                <c:pt idx="299">
                  <c:v>51.15</c:v>
                </c:pt>
                <c:pt idx="300">
                  <c:v>51.24</c:v>
                </c:pt>
                <c:pt idx="301">
                  <c:v>51.15</c:v>
                </c:pt>
                <c:pt idx="302">
                  <c:v>51.18</c:v>
                </c:pt>
                <c:pt idx="303">
                  <c:v>50.91</c:v>
                </c:pt>
                <c:pt idx="304">
                  <c:v>50.91</c:v>
                </c:pt>
                <c:pt idx="305">
                  <c:v>50.94</c:v>
                </c:pt>
                <c:pt idx="306">
                  <c:v>50.82</c:v>
                </c:pt>
                <c:pt idx="307">
                  <c:v>50.79</c:v>
                </c:pt>
                <c:pt idx="308">
                  <c:v>50.61</c:v>
                </c:pt>
                <c:pt idx="309">
                  <c:v>50.61</c:v>
                </c:pt>
                <c:pt idx="310">
                  <c:v>50.49</c:v>
                </c:pt>
                <c:pt idx="311">
                  <c:v>50.52</c:v>
                </c:pt>
                <c:pt idx="312">
                  <c:v>50.4</c:v>
                </c:pt>
                <c:pt idx="313">
                  <c:v>50.49</c:v>
                </c:pt>
                <c:pt idx="314">
                  <c:v>50.16</c:v>
                </c:pt>
                <c:pt idx="315">
                  <c:v>50.16</c:v>
                </c:pt>
                <c:pt idx="316">
                  <c:v>50.13</c:v>
                </c:pt>
                <c:pt idx="317">
                  <c:v>81.12</c:v>
                </c:pt>
                <c:pt idx="318">
                  <c:v>81.96</c:v>
                </c:pt>
                <c:pt idx="319">
                  <c:v>82.86</c:v>
                </c:pt>
                <c:pt idx="320">
                  <c:v>58.44</c:v>
                </c:pt>
                <c:pt idx="321">
                  <c:v>53.1</c:v>
                </c:pt>
                <c:pt idx="322">
                  <c:v>52.89</c:v>
                </c:pt>
                <c:pt idx="323">
                  <c:v>52.8</c:v>
                </c:pt>
                <c:pt idx="324">
                  <c:v>52.77</c:v>
                </c:pt>
                <c:pt idx="325">
                  <c:v>52.44</c:v>
                </c:pt>
                <c:pt idx="326">
                  <c:v>52.41</c:v>
                </c:pt>
                <c:pt idx="327">
                  <c:v>52.5</c:v>
                </c:pt>
                <c:pt idx="328">
                  <c:v>52.26</c:v>
                </c:pt>
                <c:pt idx="329">
                  <c:v>52.23</c:v>
                </c:pt>
                <c:pt idx="330">
                  <c:v>51.99</c:v>
                </c:pt>
                <c:pt idx="331">
                  <c:v>52.2</c:v>
                </c:pt>
                <c:pt idx="332">
                  <c:v>51.96</c:v>
                </c:pt>
                <c:pt idx="333">
                  <c:v>51.9</c:v>
                </c:pt>
                <c:pt idx="334">
                  <c:v>51.84</c:v>
                </c:pt>
                <c:pt idx="335">
                  <c:v>51.66</c:v>
                </c:pt>
                <c:pt idx="336">
                  <c:v>51.69</c:v>
                </c:pt>
                <c:pt idx="337">
                  <c:v>51.57</c:v>
                </c:pt>
                <c:pt idx="338">
                  <c:v>51.51</c:v>
                </c:pt>
                <c:pt idx="339">
                  <c:v>51.39</c:v>
                </c:pt>
                <c:pt idx="340">
                  <c:v>51.33</c:v>
                </c:pt>
                <c:pt idx="341">
                  <c:v>51.18</c:v>
                </c:pt>
                <c:pt idx="342">
                  <c:v>51.06</c:v>
                </c:pt>
                <c:pt idx="343">
                  <c:v>51</c:v>
                </c:pt>
                <c:pt idx="344">
                  <c:v>50.82</c:v>
                </c:pt>
                <c:pt idx="345">
                  <c:v>50.85</c:v>
                </c:pt>
                <c:pt idx="346">
                  <c:v>50.7</c:v>
                </c:pt>
                <c:pt idx="347">
                  <c:v>50.61</c:v>
                </c:pt>
                <c:pt idx="348">
                  <c:v>50.64</c:v>
                </c:pt>
                <c:pt idx="349">
                  <c:v>50.4</c:v>
                </c:pt>
                <c:pt idx="350">
                  <c:v>50.31</c:v>
                </c:pt>
                <c:pt idx="351">
                  <c:v>50.37</c:v>
                </c:pt>
                <c:pt idx="352">
                  <c:v>50.22</c:v>
                </c:pt>
                <c:pt idx="353">
                  <c:v>50.1</c:v>
                </c:pt>
                <c:pt idx="354">
                  <c:v>80.52</c:v>
                </c:pt>
                <c:pt idx="355">
                  <c:v>81.599999999999994</c:v>
                </c:pt>
                <c:pt idx="356">
                  <c:v>82.68</c:v>
                </c:pt>
                <c:pt idx="357">
                  <c:v>83.13</c:v>
                </c:pt>
                <c:pt idx="358">
                  <c:v>53.22</c:v>
                </c:pt>
                <c:pt idx="359">
                  <c:v>52.86</c:v>
                </c:pt>
                <c:pt idx="360">
                  <c:v>52.8</c:v>
                </c:pt>
                <c:pt idx="361">
                  <c:v>52.62</c:v>
                </c:pt>
                <c:pt idx="362">
                  <c:v>52.65</c:v>
                </c:pt>
                <c:pt idx="363">
                  <c:v>52.47</c:v>
                </c:pt>
                <c:pt idx="364">
                  <c:v>52.32</c:v>
                </c:pt>
                <c:pt idx="365">
                  <c:v>52.29</c:v>
                </c:pt>
                <c:pt idx="366">
                  <c:v>52.17</c:v>
                </c:pt>
                <c:pt idx="367">
                  <c:v>52.23</c:v>
                </c:pt>
                <c:pt idx="368">
                  <c:v>52.05</c:v>
                </c:pt>
                <c:pt idx="369">
                  <c:v>52.02</c:v>
                </c:pt>
                <c:pt idx="370">
                  <c:v>51.84</c:v>
                </c:pt>
                <c:pt idx="371">
                  <c:v>51.84</c:v>
                </c:pt>
                <c:pt idx="372">
                  <c:v>51.75</c:v>
                </c:pt>
                <c:pt idx="373">
                  <c:v>51.69</c:v>
                </c:pt>
                <c:pt idx="374">
                  <c:v>51.57</c:v>
                </c:pt>
                <c:pt idx="375">
                  <c:v>51.63</c:v>
                </c:pt>
                <c:pt idx="376">
                  <c:v>51.42</c:v>
                </c:pt>
                <c:pt idx="377">
                  <c:v>51.24</c:v>
                </c:pt>
                <c:pt idx="378">
                  <c:v>51.36</c:v>
                </c:pt>
                <c:pt idx="379">
                  <c:v>51.27</c:v>
                </c:pt>
                <c:pt idx="380">
                  <c:v>51.24</c:v>
                </c:pt>
                <c:pt idx="381">
                  <c:v>51.15</c:v>
                </c:pt>
                <c:pt idx="382">
                  <c:v>51.03</c:v>
                </c:pt>
                <c:pt idx="383">
                  <c:v>50.97</c:v>
                </c:pt>
                <c:pt idx="384">
                  <c:v>50.97</c:v>
                </c:pt>
                <c:pt idx="385">
                  <c:v>50.79</c:v>
                </c:pt>
                <c:pt idx="386">
                  <c:v>50.82</c:v>
                </c:pt>
                <c:pt idx="387">
                  <c:v>50.73</c:v>
                </c:pt>
                <c:pt idx="388">
                  <c:v>50.61</c:v>
                </c:pt>
                <c:pt idx="389">
                  <c:v>50.61</c:v>
                </c:pt>
                <c:pt idx="390">
                  <c:v>50.4</c:v>
                </c:pt>
                <c:pt idx="391">
                  <c:v>50.43</c:v>
                </c:pt>
                <c:pt idx="392">
                  <c:v>50.31</c:v>
                </c:pt>
                <c:pt idx="393">
                  <c:v>50.43</c:v>
                </c:pt>
                <c:pt idx="394">
                  <c:v>50.22</c:v>
                </c:pt>
                <c:pt idx="395">
                  <c:v>50.13</c:v>
                </c:pt>
                <c:pt idx="396">
                  <c:v>50.19</c:v>
                </c:pt>
                <c:pt idx="397">
                  <c:v>81.09</c:v>
                </c:pt>
                <c:pt idx="398">
                  <c:v>81.96</c:v>
                </c:pt>
                <c:pt idx="399">
                  <c:v>82.92</c:v>
                </c:pt>
                <c:pt idx="400">
                  <c:v>57.42</c:v>
                </c:pt>
                <c:pt idx="401">
                  <c:v>53.01</c:v>
                </c:pt>
                <c:pt idx="402">
                  <c:v>52.74</c:v>
                </c:pt>
                <c:pt idx="403">
                  <c:v>52.77</c:v>
                </c:pt>
                <c:pt idx="404">
                  <c:v>52.71</c:v>
                </c:pt>
                <c:pt idx="405">
                  <c:v>52.53</c:v>
                </c:pt>
                <c:pt idx="406">
                  <c:v>52.44</c:v>
                </c:pt>
                <c:pt idx="407">
                  <c:v>52.44</c:v>
                </c:pt>
                <c:pt idx="408">
                  <c:v>52.32</c:v>
                </c:pt>
                <c:pt idx="409">
                  <c:v>52.2</c:v>
                </c:pt>
                <c:pt idx="410">
                  <c:v>52.08</c:v>
                </c:pt>
                <c:pt idx="411">
                  <c:v>51.93</c:v>
                </c:pt>
                <c:pt idx="412">
                  <c:v>52.02</c:v>
                </c:pt>
                <c:pt idx="413">
                  <c:v>51.84</c:v>
                </c:pt>
                <c:pt idx="414">
                  <c:v>51.84</c:v>
                </c:pt>
                <c:pt idx="415">
                  <c:v>51.6</c:v>
                </c:pt>
                <c:pt idx="416">
                  <c:v>51.69</c:v>
                </c:pt>
                <c:pt idx="417">
                  <c:v>51.6</c:v>
                </c:pt>
                <c:pt idx="418">
                  <c:v>51.51</c:v>
                </c:pt>
                <c:pt idx="419">
                  <c:v>51.51</c:v>
                </c:pt>
                <c:pt idx="420">
                  <c:v>51.33</c:v>
                </c:pt>
                <c:pt idx="421">
                  <c:v>51.39</c:v>
                </c:pt>
                <c:pt idx="422">
                  <c:v>51.27</c:v>
                </c:pt>
                <c:pt idx="423">
                  <c:v>51.06</c:v>
                </c:pt>
                <c:pt idx="424">
                  <c:v>51.18</c:v>
                </c:pt>
                <c:pt idx="425">
                  <c:v>51.18</c:v>
                </c:pt>
                <c:pt idx="426">
                  <c:v>50.94</c:v>
                </c:pt>
                <c:pt idx="427">
                  <c:v>50.88</c:v>
                </c:pt>
                <c:pt idx="428">
                  <c:v>50.85</c:v>
                </c:pt>
                <c:pt idx="429">
                  <c:v>50.79</c:v>
                </c:pt>
                <c:pt idx="430">
                  <c:v>50.7</c:v>
                </c:pt>
                <c:pt idx="431">
                  <c:v>50.64</c:v>
                </c:pt>
                <c:pt idx="432">
                  <c:v>50.55</c:v>
                </c:pt>
                <c:pt idx="433">
                  <c:v>50.49</c:v>
                </c:pt>
                <c:pt idx="434">
                  <c:v>55.05</c:v>
                </c:pt>
                <c:pt idx="435">
                  <c:v>81.540000000000006</c:v>
                </c:pt>
                <c:pt idx="436">
                  <c:v>82.62</c:v>
                </c:pt>
                <c:pt idx="437">
                  <c:v>83.04</c:v>
                </c:pt>
                <c:pt idx="438">
                  <c:v>53.1</c:v>
                </c:pt>
                <c:pt idx="439">
                  <c:v>52.77</c:v>
                </c:pt>
                <c:pt idx="440">
                  <c:v>52.53</c:v>
                </c:pt>
                <c:pt idx="441">
                  <c:v>52.71</c:v>
                </c:pt>
                <c:pt idx="442">
                  <c:v>52.56</c:v>
                </c:pt>
                <c:pt idx="443">
                  <c:v>52.38</c:v>
                </c:pt>
                <c:pt idx="444">
                  <c:v>52.38</c:v>
                </c:pt>
                <c:pt idx="445">
                  <c:v>52.35</c:v>
                </c:pt>
                <c:pt idx="446">
                  <c:v>52.41</c:v>
                </c:pt>
                <c:pt idx="447">
                  <c:v>52.32</c:v>
                </c:pt>
                <c:pt idx="448">
                  <c:v>52.14</c:v>
                </c:pt>
                <c:pt idx="449">
                  <c:v>52.2</c:v>
                </c:pt>
                <c:pt idx="450">
                  <c:v>52.14</c:v>
                </c:pt>
                <c:pt idx="451">
                  <c:v>52.02</c:v>
                </c:pt>
                <c:pt idx="452">
                  <c:v>52.14</c:v>
                </c:pt>
                <c:pt idx="453">
                  <c:v>51.99</c:v>
                </c:pt>
                <c:pt idx="454">
                  <c:v>52.02</c:v>
                </c:pt>
                <c:pt idx="455">
                  <c:v>51.9</c:v>
                </c:pt>
                <c:pt idx="456">
                  <c:v>51.84</c:v>
                </c:pt>
                <c:pt idx="457">
                  <c:v>51.75</c:v>
                </c:pt>
                <c:pt idx="458">
                  <c:v>51.75</c:v>
                </c:pt>
                <c:pt idx="459">
                  <c:v>51.66</c:v>
                </c:pt>
                <c:pt idx="460">
                  <c:v>51.63</c:v>
                </c:pt>
                <c:pt idx="461">
                  <c:v>51.54</c:v>
                </c:pt>
                <c:pt idx="462">
                  <c:v>51.42</c:v>
                </c:pt>
                <c:pt idx="463">
                  <c:v>51.54</c:v>
                </c:pt>
                <c:pt idx="464">
                  <c:v>51.48</c:v>
                </c:pt>
                <c:pt idx="465">
                  <c:v>51.45</c:v>
                </c:pt>
                <c:pt idx="466">
                  <c:v>51.39</c:v>
                </c:pt>
                <c:pt idx="467">
                  <c:v>51.36</c:v>
                </c:pt>
                <c:pt idx="468">
                  <c:v>51.21</c:v>
                </c:pt>
                <c:pt idx="469">
                  <c:v>51.33</c:v>
                </c:pt>
                <c:pt idx="470">
                  <c:v>51.21</c:v>
                </c:pt>
                <c:pt idx="471">
                  <c:v>51.15</c:v>
                </c:pt>
                <c:pt idx="472">
                  <c:v>51.09</c:v>
                </c:pt>
                <c:pt idx="473">
                  <c:v>51.09</c:v>
                </c:pt>
                <c:pt idx="474">
                  <c:v>51.21</c:v>
                </c:pt>
                <c:pt idx="475">
                  <c:v>51.03</c:v>
                </c:pt>
                <c:pt idx="476">
                  <c:v>51.09</c:v>
                </c:pt>
                <c:pt idx="477">
                  <c:v>51</c:v>
                </c:pt>
                <c:pt idx="478">
                  <c:v>50.94</c:v>
                </c:pt>
                <c:pt idx="479">
                  <c:v>50.76</c:v>
                </c:pt>
                <c:pt idx="480">
                  <c:v>50.82</c:v>
                </c:pt>
                <c:pt idx="481">
                  <c:v>50.85</c:v>
                </c:pt>
                <c:pt idx="482">
                  <c:v>50.61</c:v>
                </c:pt>
                <c:pt idx="483">
                  <c:v>50.7</c:v>
                </c:pt>
                <c:pt idx="484">
                  <c:v>50.7</c:v>
                </c:pt>
                <c:pt idx="485">
                  <c:v>50.64</c:v>
                </c:pt>
                <c:pt idx="486">
                  <c:v>50.61</c:v>
                </c:pt>
                <c:pt idx="487">
                  <c:v>50.61</c:v>
                </c:pt>
                <c:pt idx="488">
                  <c:v>50.55</c:v>
                </c:pt>
                <c:pt idx="489">
                  <c:v>50.43</c:v>
                </c:pt>
                <c:pt idx="490">
                  <c:v>50.43</c:v>
                </c:pt>
                <c:pt idx="491">
                  <c:v>50.52</c:v>
                </c:pt>
                <c:pt idx="492">
                  <c:v>50.31</c:v>
                </c:pt>
                <c:pt idx="493">
                  <c:v>50.34</c:v>
                </c:pt>
                <c:pt idx="494">
                  <c:v>50.22</c:v>
                </c:pt>
                <c:pt idx="495">
                  <c:v>50.25</c:v>
                </c:pt>
                <c:pt idx="496">
                  <c:v>50.22</c:v>
                </c:pt>
                <c:pt idx="497">
                  <c:v>50.13</c:v>
                </c:pt>
                <c:pt idx="498">
                  <c:v>50.19</c:v>
                </c:pt>
                <c:pt idx="499">
                  <c:v>50.16</c:v>
                </c:pt>
                <c:pt idx="500">
                  <c:v>71.58</c:v>
                </c:pt>
                <c:pt idx="501">
                  <c:v>81.33</c:v>
                </c:pt>
                <c:pt idx="502">
                  <c:v>82.59</c:v>
                </c:pt>
                <c:pt idx="503">
                  <c:v>81.36</c:v>
                </c:pt>
                <c:pt idx="504">
                  <c:v>54.03</c:v>
                </c:pt>
                <c:pt idx="505">
                  <c:v>52.98</c:v>
                </c:pt>
                <c:pt idx="506">
                  <c:v>52.98</c:v>
                </c:pt>
                <c:pt idx="507">
                  <c:v>52.92</c:v>
                </c:pt>
                <c:pt idx="508">
                  <c:v>52.68</c:v>
                </c:pt>
                <c:pt idx="509">
                  <c:v>52.83</c:v>
                </c:pt>
                <c:pt idx="510">
                  <c:v>52.62</c:v>
                </c:pt>
                <c:pt idx="511">
                  <c:v>52.65</c:v>
                </c:pt>
                <c:pt idx="512">
                  <c:v>52.59</c:v>
                </c:pt>
                <c:pt idx="513">
                  <c:v>52.5</c:v>
                </c:pt>
                <c:pt idx="514">
                  <c:v>52.56</c:v>
                </c:pt>
                <c:pt idx="515">
                  <c:v>52.38</c:v>
                </c:pt>
                <c:pt idx="516">
                  <c:v>52.29</c:v>
                </c:pt>
                <c:pt idx="517">
                  <c:v>52.26</c:v>
                </c:pt>
                <c:pt idx="518">
                  <c:v>52.35</c:v>
                </c:pt>
                <c:pt idx="519">
                  <c:v>52.23</c:v>
                </c:pt>
                <c:pt idx="520">
                  <c:v>52.17</c:v>
                </c:pt>
                <c:pt idx="521">
                  <c:v>52.14</c:v>
                </c:pt>
                <c:pt idx="522">
                  <c:v>52.14</c:v>
                </c:pt>
                <c:pt idx="523">
                  <c:v>52.11</c:v>
                </c:pt>
                <c:pt idx="524">
                  <c:v>52.02</c:v>
                </c:pt>
                <c:pt idx="525">
                  <c:v>52.05</c:v>
                </c:pt>
                <c:pt idx="526">
                  <c:v>51.96</c:v>
                </c:pt>
                <c:pt idx="527">
                  <c:v>51.81</c:v>
                </c:pt>
                <c:pt idx="528">
                  <c:v>51.9</c:v>
                </c:pt>
                <c:pt idx="529">
                  <c:v>51.81</c:v>
                </c:pt>
                <c:pt idx="530">
                  <c:v>51.75</c:v>
                </c:pt>
                <c:pt idx="531">
                  <c:v>51.75</c:v>
                </c:pt>
                <c:pt idx="532">
                  <c:v>51.84</c:v>
                </c:pt>
                <c:pt idx="533">
                  <c:v>51.66</c:v>
                </c:pt>
                <c:pt idx="534">
                  <c:v>51.69</c:v>
                </c:pt>
                <c:pt idx="535">
                  <c:v>51.51</c:v>
                </c:pt>
                <c:pt idx="536">
                  <c:v>51.57</c:v>
                </c:pt>
                <c:pt idx="537">
                  <c:v>51.45</c:v>
                </c:pt>
                <c:pt idx="538">
                  <c:v>51.36</c:v>
                </c:pt>
                <c:pt idx="539">
                  <c:v>51.45</c:v>
                </c:pt>
                <c:pt idx="540">
                  <c:v>51.36</c:v>
                </c:pt>
                <c:pt idx="541">
                  <c:v>51.24</c:v>
                </c:pt>
                <c:pt idx="542">
                  <c:v>51.36</c:v>
                </c:pt>
                <c:pt idx="543">
                  <c:v>51.24</c:v>
                </c:pt>
                <c:pt idx="544">
                  <c:v>51.18</c:v>
                </c:pt>
                <c:pt idx="545">
                  <c:v>51.18</c:v>
                </c:pt>
                <c:pt idx="546">
                  <c:v>51.15</c:v>
                </c:pt>
                <c:pt idx="547">
                  <c:v>51.06</c:v>
                </c:pt>
                <c:pt idx="548">
                  <c:v>51.03</c:v>
                </c:pt>
                <c:pt idx="549">
                  <c:v>51</c:v>
                </c:pt>
                <c:pt idx="550">
                  <c:v>50.97</c:v>
                </c:pt>
                <c:pt idx="551">
                  <c:v>50.94</c:v>
                </c:pt>
                <c:pt idx="552">
                  <c:v>50.91</c:v>
                </c:pt>
                <c:pt idx="553">
                  <c:v>50.94</c:v>
                </c:pt>
                <c:pt idx="554">
                  <c:v>50.73</c:v>
                </c:pt>
                <c:pt idx="555">
                  <c:v>50.76</c:v>
                </c:pt>
                <c:pt idx="556">
                  <c:v>50.79</c:v>
                </c:pt>
                <c:pt idx="557">
                  <c:v>50.64</c:v>
                </c:pt>
                <c:pt idx="558">
                  <c:v>50.7</c:v>
                </c:pt>
                <c:pt idx="559">
                  <c:v>50.7</c:v>
                </c:pt>
                <c:pt idx="560">
                  <c:v>50.64</c:v>
                </c:pt>
                <c:pt idx="561">
                  <c:v>50.64</c:v>
                </c:pt>
                <c:pt idx="562">
                  <c:v>50.55</c:v>
                </c:pt>
                <c:pt idx="563">
                  <c:v>50.55</c:v>
                </c:pt>
                <c:pt idx="564">
                  <c:v>50.55</c:v>
                </c:pt>
                <c:pt idx="565">
                  <c:v>50.46</c:v>
                </c:pt>
                <c:pt idx="566">
                  <c:v>50.43</c:v>
                </c:pt>
                <c:pt idx="567">
                  <c:v>50.43</c:v>
                </c:pt>
                <c:pt idx="568">
                  <c:v>50.37</c:v>
                </c:pt>
                <c:pt idx="569">
                  <c:v>50.4</c:v>
                </c:pt>
                <c:pt idx="570">
                  <c:v>50.31</c:v>
                </c:pt>
                <c:pt idx="571">
                  <c:v>50.19</c:v>
                </c:pt>
                <c:pt idx="572">
                  <c:v>50.37</c:v>
                </c:pt>
                <c:pt idx="573">
                  <c:v>50.31</c:v>
                </c:pt>
                <c:pt idx="574">
                  <c:v>50.25</c:v>
                </c:pt>
                <c:pt idx="575">
                  <c:v>50.28</c:v>
                </c:pt>
                <c:pt idx="576">
                  <c:v>50.16</c:v>
                </c:pt>
                <c:pt idx="577">
                  <c:v>50.19</c:v>
                </c:pt>
                <c:pt idx="578">
                  <c:v>50.19</c:v>
                </c:pt>
                <c:pt idx="579">
                  <c:v>50.28</c:v>
                </c:pt>
                <c:pt idx="580">
                  <c:v>50.22</c:v>
                </c:pt>
                <c:pt idx="581">
                  <c:v>54.18</c:v>
                </c:pt>
                <c:pt idx="582">
                  <c:v>81.66</c:v>
                </c:pt>
                <c:pt idx="583">
                  <c:v>82.8</c:v>
                </c:pt>
                <c:pt idx="584">
                  <c:v>83.19</c:v>
                </c:pt>
                <c:pt idx="585">
                  <c:v>53.1</c:v>
                </c:pt>
                <c:pt idx="586">
                  <c:v>52.83</c:v>
                </c:pt>
                <c:pt idx="587">
                  <c:v>52.86</c:v>
                </c:pt>
                <c:pt idx="588">
                  <c:v>52.68</c:v>
                </c:pt>
                <c:pt idx="589">
                  <c:v>52.53</c:v>
                </c:pt>
                <c:pt idx="590">
                  <c:v>52.56</c:v>
                </c:pt>
                <c:pt idx="591">
                  <c:v>52.35</c:v>
                </c:pt>
                <c:pt idx="592">
                  <c:v>52.23</c:v>
                </c:pt>
                <c:pt idx="593">
                  <c:v>52.23</c:v>
                </c:pt>
                <c:pt idx="594">
                  <c:v>51.96</c:v>
                </c:pt>
                <c:pt idx="595">
                  <c:v>51.96</c:v>
                </c:pt>
                <c:pt idx="596">
                  <c:v>51.9</c:v>
                </c:pt>
                <c:pt idx="597">
                  <c:v>51.81</c:v>
                </c:pt>
                <c:pt idx="598">
                  <c:v>51.6</c:v>
                </c:pt>
                <c:pt idx="599">
                  <c:v>51.75</c:v>
                </c:pt>
                <c:pt idx="600">
                  <c:v>51.45</c:v>
                </c:pt>
                <c:pt idx="601">
                  <c:v>51.45</c:v>
                </c:pt>
                <c:pt idx="602">
                  <c:v>51.36</c:v>
                </c:pt>
                <c:pt idx="603">
                  <c:v>51.06</c:v>
                </c:pt>
                <c:pt idx="604">
                  <c:v>51.03</c:v>
                </c:pt>
                <c:pt idx="605">
                  <c:v>50.91</c:v>
                </c:pt>
                <c:pt idx="606">
                  <c:v>50.88</c:v>
                </c:pt>
                <c:pt idx="607">
                  <c:v>50.7</c:v>
                </c:pt>
                <c:pt idx="608">
                  <c:v>50.67</c:v>
                </c:pt>
                <c:pt idx="609">
                  <c:v>50.52</c:v>
                </c:pt>
                <c:pt idx="610">
                  <c:v>50.49</c:v>
                </c:pt>
                <c:pt idx="611">
                  <c:v>50.37</c:v>
                </c:pt>
                <c:pt idx="612">
                  <c:v>50.34</c:v>
                </c:pt>
                <c:pt idx="613">
                  <c:v>50.25</c:v>
                </c:pt>
                <c:pt idx="614">
                  <c:v>53.25</c:v>
                </c:pt>
                <c:pt idx="615">
                  <c:v>80.55</c:v>
                </c:pt>
                <c:pt idx="616">
                  <c:v>82.29</c:v>
                </c:pt>
                <c:pt idx="617">
                  <c:v>82.71</c:v>
                </c:pt>
                <c:pt idx="618">
                  <c:v>71.400000000000006</c:v>
                </c:pt>
                <c:pt idx="619">
                  <c:v>52.74</c:v>
                </c:pt>
                <c:pt idx="620">
                  <c:v>52.68</c:v>
                </c:pt>
                <c:pt idx="621">
                  <c:v>52.68</c:v>
                </c:pt>
                <c:pt idx="622">
                  <c:v>52.44</c:v>
                </c:pt>
                <c:pt idx="623">
                  <c:v>52.23</c:v>
                </c:pt>
                <c:pt idx="624">
                  <c:v>52.05</c:v>
                </c:pt>
                <c:pt idx="625">
                  <c:v>52.05</c:v>
                </c:pt>
                <c:pt idx="626">
                  <c:v>51.9</c:v>
                </c:pt>
                <c:pt idx="627">
                  <c:v>51.96</c:v>
                </c:pt>
                <c:pt idx="628">
                  <c:v>51.81</c:v>
                </c:pt>
                <c:pt idx="629">
                  <c:v>51.69</c:v>
                </c:pt>
                <c:pt idx="630">
                  <c:v>51.63</c:v>
                </c:pt>
                <c:pt idx="631">
                  <c:v>51.48</c:v>
                </c:pt>
                <c:pt idx="632">
                  <c:v>51.45</c:v>
                </c:pt>
                <c:pt idx="633">
                  <c:v>51.33</c:v>
                </c:pt>
                <c:pt idx="634">
                  <c:v>51.3</c:v>
                </c:pt>
                <c:pt idx="635">
                  <c:v>51.12</c:v>
                </c:pt>
                <c:pt idx="636">
                  <c:v>50.97</c:v>
                </c:pt>
                <c:pt idx="637">
                  <c:v>50.91</c:v>
                </c:pt>
                <c:pt idx="638">
                  <c:v>50.85</c:v>
                </c:pt>
                <c:pt idx="639">
                  <c:v>50.7</c:v>
                </c:pt>
                <c:pt idx="640">
                  <c:v>50.55</c:v>
                </c:pt>
                <c:pt idx="641">
                  <c:v>50.58</c:v>
                </c:pt>
                <c:pt idx="642">
                  <c:v>50.46</c:v>
                </c:pt>
                <c:pt idx="643">
                  <c:v>50.43</c:v>
                </c:pt>
                <c:pt idx="644">
                  <c:v>50.16</c:v>
                </c:pt>
                <c:pt idx="645">
                  <c:v>50.07</c:v>
                </c:pt>
                <c:pt idx="646">
                  <c:v>59.76</c:v>
                </c:pt>
                <c:pt idx="647">
                  <c:v>81.66</c:v>
                </c:pt>
                <c:pt idx="648">
                  <c:v>82.26</c:v>
                </c:pt>
                <c:pt idx="649">
                  <c:v>83.01</c:v>
                </c:pt>
                <c:pt idx="650">
                  <c:v>53.16</c:v>
                </c:pt>
                <c:pt idx="651">
                  <c:v>52.83</c:v>
                </c:pt>
                <c:pt idx="652">
                  <c:v>52.62</c:v>
                </c:pt>
                <c:pt idx="653">
                  <c:v>52.41</c:v>
                </c:pt>
                <c:pt idx="654">
                  <c:v>52.35</c:v>
                </c:pt>
                <c:pt idx="655">
                  <c:v>52.29</c:v>
                </c:pt>
                <c:pt idx="656">
                  <c:v>52.2</c:v>
                </c:pt>
                <c:pt idx="657">
                  <c:v>52.02</c:v>
                </c:pt>
                <c:pt idx="658">
                  <c:v>51.84</c:v>
                </c:pt>
                <c:pt idx="659">
                  <c:v>51.87</c:v>
                </c:pt>
                <c:pt idx="660">
                  <c:v>51.72</c:v>
                </c:pt>
                <c:pt idx="661">
                  <c:v>51.6</c:v>
                </c:pt>
                <c:pt idx="662">
                  <c:v>51.54</c:v>
                </c:pt>
                <c:pt idx="663">
                  <c:v>51.36</c:v>
                </c:pt>
                <c:pt idx="664">
                  <c:v>51.33</c:v>
                </c:pt>
                <c:pt idx="665">
                  <c:v>51.12</c:v>
                </c:pt>
                <c:pt idx="666">
                  <c:v>51.18</c:v>
                </c:pt>
                <c:pt idx="667">
                  <c:v>51.03</c:v>
                </c:pt>
                <c:pt idx="668">
                  <c:v>51</c:v>
                </c:pt>
                <c:pt idx="669">
                  <c:v>50.82</c:v>
                </c:pt>
                <c:pt idx="670">
                  <c:v>50.73</c:v>
                </c:pt>
                <c:pt idx="671">
                  <c:v>50.61</c:v>
                </c:pt>
                <c:pt idx="672">
                  <c:v>50.61</c:v>
                </c:pt>
                <c:pt idx="673">
                  <c:v>50.55</c:v>
                </c:pt>
                <c:pt idx="674">
                  <c:v>50.52</c:v>
                </c:pt>
                <c:pt idx="675">
                  <c:v>50.37</c:v>
                </c:pt>
                <c:pt idx="676">
                  <c:v>50.28</c:v>
                </c:pt>
                <c:pt idx="677">
                  <c:v>50.25</c:v>
                </c:pt>
                <c:pt idx="678">
                  <c:v>50.13</c:v>
                </c:pt>
                <c:pt idx="679">
                  <c:v>50.19</c:v>
                </c:pt>
                <c:pt idx="680">
                  <c:v>80.760000000000005</c:v>
                </c:pt>
                <c:pt idx="681">
                  <c:v>82.35</c:v>
                </c:pt>
                <c:pt idx="682">
                  <c:v>82.83</c:v>
                </c:pt>
                <c:pt idx="683">
                  <c:v>65.28</c:v>
                </c:pt>
                <c:pt idx="684">
                  <c:v>53.22</c:v>
                </c:pt>
                <c:pt idx="685">
                  <c:v>52.77</c:v>
                </c:pt>
                <c:pt idx="686">
                  <c:v>52.86</c:v>
                </c:pt>
                <c:pt idx="687">
                  <c:v>52.68</c:v>
                </c:pt>
                <c:pt idx="688">
                  <c:v>52.65</c:v>
                </c:pt>
                <c:pt idx="689">
                  <c:v>52.41</c:v>
                </c:pt>
                <c:pt idx="690">
                  <c:v>52.38</c:v>
                </c:pt>
                <c:pt idx="691">
                  <c:v>52.41</c:v>
                </c:pt>
                <c:pt idx="692">
                  <c:v>52.29</c:v>
                </c:pt>
                <c:pt idx="693">
                  <c:v>52.17</c:v>
                </c:pt>
                <c:pt idx="694">
                  <c:v>52.02</c:v>
                </c:pt>
                <c:pt idx="695">
                  <c:v>51.99</c:v>
                </c:pt>
                <c:pt idx="696">
                  <c:v>51.9</c:v>
                </c:pt>
                <c:pt idx="697">
                  <c:v>51.96</c:v>
                </c:pt>
                <c:pt idx="698">
                  <c:v>51.81</c:v>
                </c:pt>
                <c:pt idx="699">
                  <c:v>51.63</c:v>
                </c:pt>
                <c:pt idx="700">
                  <c:v>51.66</c:v>
                </c:pt>
                <c:pt idx="701">
                  <c:v>51.57</c:v>
                </c:pt>
                <c:pt idx="702">
                  <c:v>51.45</c:v>
                </c:pt>
                <c:pt idx="703">
                  <c:v>51.45</c:v>
                </c:pt>
                <c:pt idx="704">
                  <c:v>51.39</c:v>
                </c:pt>
                <c:pt idx="705">
                  <c:v>51.27</c:v>
                </c:pt>
                <c:pt idx="706">
                  <c:v>51.18</c:v>
                </c:pt>
                <c:pt idx="707">
                  <c:v>51.24</c:v>
                </c:pt>
                <c:pt idx="708">
                  <c:v>50.97</c:v>
                </c:pt>
                <c:pt idx="709">
                  <c:v>50.79</c:v>
                </c:pt>
                <c:pt idx="710">
                  <c:v>50.91</c:v>
                </c:pt>
                <c:pt idx="711">
                  <c:v>50.88</c:v>
                </c:pt>
                <c:pt idx="712">
                  <c:v>50.82</c:v>
                </c:pt>
                <c:pt idx="713">
                  <c:v>50.76</c:v>
                </c:pt>
                <c:pt idx="714">
                  <c:v>50.67</c:v>
                </c:pt>
                <c:pt idx="715">
                  <c:v>50.58</c:v>
                </c:pt>
                <c:pt idx="716">
                  <c:v>50.67</c:v>
                </c:pt>
                <c:pt idx="717">
                  <c:v>50.4</c:v>
                </c:pt>
                <c:pt idx="718">
                  <c:v>50.34</c:v>
                </c:pt>
                <c:pt idx="719">
                  <c:v>50.28</c:v>
                </c:pt>
                <c:pt idx="720">
                  <c:v>50.04</c:v>
                </c:pt>
                <c:pt idx="721">
                  <c:v>62.37</c:v>
                </c:pt>
                <c:pt idx="722">
                  <c:v>81.81</c:v>
                </c:pt>
                <c:pt idx="723">
                  <c:v>82.35</c:v>
                </c:pt>
                <c:pt idx="724">
                  <c:v>83.04</c:v>
                </c:pt>
                <c:pt idx="725">
                  <c:v>53.07</c:v>
                </c:pt>
                <c:pt idx="726">
                  <c:v>52.89</c:v>
                </c:pt>
                <c:pt idx="727">
                  <c:v>52.68</c:v>
                </c:pt>
                <c:pt idx="728">
                  <c:v>52.56</c:v>
                </c:pt>
                <c:pt idx="729">
                  <c:v>52.38</c:v>
                </c:pt>
                <c:pt idx="730">
                  <c:v>52.35</c:v>
                </c:pt>
                <c:pt idx="731">
                  <c:v>51.84</c:v>
                </c:pt>
                <c:pt idx="732">
                  <c:v>51.36</c:v>
                </c:pt>
                <c:pt idx="733">
                  <c:v>51.42</c:v>
                </c:pt>
                <c:pt idx="734">
                  <c:v>51.39</c:v>
                </c:pt>
                <c:pt idx="735">
                  <c:v>51.3</c:v>
                </c:pt>
                <c:pt idx="736">
                  <c:v>51.42</c:v>
                </c:pt>
                <c:pt idx="737">
                  <c:v>51.33</c:v>
                </c:pt>
                <c:pt idx="738">
                  <c:v>51.3</c:v>
                </c:pt>
                <c:pt idx="739">
                  <c:v>51.48</c:v>
                </c:pt>
                <c:pt idx="740">
                  <c:v>51.18</c:v>
                </c:pt>
                <c:pt idx="741">
                  <c:v>51.24</c:v>
                </c:pt>
                <c:pt idx="742">
                  <c:v>51.15</c:v>
                </c:pt>
                <c:pt idx="743">
                  <c:v>51.06</c:v>
                </c:pt>
                <c:pt idx="744">
                  <c:v>51.09</c:v>
                </c:pt>
                <c:pt idx="745">
                  <c:v>51.06</c:v>
                </c:pt>
                <c:pt idx="746">
                  <c:v>51.03</c:v>
                </c:pt>
                <c:pt idx="747">
                  <c:v>50.97</c:v>
                </c:pt>
                <c:pt idx="748">
                  <c:v>50.91</c:v>
                </c:pt>
                <c:pt idx="749">
                  <c:v>50.85</c:v>
                </c:pt>
                <c:pt idx="750">
                  <c:v>50.76</c:v>
                </c:pt>
                <c:pt idx="751">
                  <c:v>50.73</c:v>
                </c:pt>
                <c:pt idx="752">
                  <c:v>50.67</c:v>
                </c:pt>
                <c:pt idx="753">
                  <c:v>50.67</c:v>
                </c:pt>
                <c:pt idx="754">
                  <c:v>50.7</c:v>
                </c:pt>
                <c:pt idx="755">
                  <c:v>50.61</c:v>
                </c:pt>
                <c:pt idx="756">
                  <c:v>50.61</c:v>
                </c:pt>
                <c:pt idx="757">
                  <c:v>50.49</c:v>
                </c:pt>
                <c:pt idx="758">
                  <c:v>50.46</c:v>
                </c:pt>
                <c:pt idx="759">
                  <c:v>50.55</c:v>
                </c:pt>
                <c:pt idx="760">
                  <c:v>50.28</c:v>
                </c:pt>
                <c:pt idx="761">
                  <c:v>50.28</c:v>
                </c:pt>
                <c:pt idx="762">
                  <c:v>50.37</c:v>
                </c:pt>
                <c:pt idx="763">
                  <c:v>50.34</c:v>
                </c:pt>
                <c:pt idx="764">
                  <c:v>50.25</c:v>
                </c:pt>
                <c:pt idx="765">
                  <c:v>50.22</c:v>
                </c:pt>
                <c:pt idx="766">
                  <c:v>50.13</c:v>
                </c:pt>
                <c:pt idx="767">
                  <c:v>50.1</c:v>
                </c:pt>
                <c:pt idx="768">
                  <c:v>80.94</c:v>
                </c:pt>
                <c:pt idx="769">
                  <c:v>82.44</c:v>
                </c:pt>
                <c:pt idx="770">
                  <c:v>82.86</c:v>
                </c:pt>
                <c:pt idx="771">
                  <c:v>62.67</c:v>
                </c:pt>
                <c:pt idx="772">
                  <c:v>53.19</c:v>
                </c:pt>
                <c:pt idx="773">
                  <c:v>52.92</c:v>
                </c:pt>
                <c:pt idx="774">
                  <c:v>52.8</c:v>
                </c:pt>
                <c:pt idx="775">
                  <c:v>52.86</c:v>
                </c:pt>
                <c:pt idx="776">
                  <c:v>52.74</c:v>
                </c:pt>
                <c:pt idx="777">
                  <c:v>52.62</c:v>
                </c:pt>
                <c:pt idx="778">
                  <c:v>52.44</c:v>
                </c:pt>
                <c:pt idx="779">
                  <c:v>52.44</c:v>
                </c:pt>
                <c:pt idx="780">
                  <c:v>52.5</c:v>
                </c:pt>
                <c:pt idx="781">
                  <c:v>52.44</c:v>
                </c:pt>
                <c:pt idx="782">
                  <c:v>52.26</c:v>
                </c:pt>
                <c:pt idx="783">
                  <c:v>52.29</c:v>
                </c:pt>
                <c:pt idx="784">
                  <c:v>52.17</c:v>
                </c:pt>
                <c:pt idx="785">
                  <c:v>52.11</c:v>
                </c:pt>
                <c:pt idx="786">
                  <c:v>52.14</c:v>
                </c:pt>
                <c:pt idx="787">
                  <c:v>52.02</c:v>
                </c:pt>
                <c:pt idx="788">
                  <c:v>51.9</c:v>
                </c:pt>
                <c:pt idx="789">
                  <c:v>51.96</c:v>
                </c:pt>
                <c:pt idx="790">
                  <c:v>51.9</c:v>
                </c:pt>
                <c:pt idx="791">
                  <c:v>51.93</c:v>
                </c:pt>
                <c:pt idx="792">
                  <c:v>51.75</c:v>
                </c:pt>
                <c:pt idx="793">
                  <c:v>51.75</c:v>
                </c:pt>
                <c:pt idx="794">
                  <c:v>51.6</c:v>
                </c:pt>
                <c:pt idx="795">
                  <c:v>51.66</c:v>
                </c:pt>
                <c:pt idx="796">
                  <c:v>51.6</c:v>
                </c:pt>
                <c:pt idx="797">
                  <c:v>51.54</c:v>
                </c:pt>
                <c:pt idx="798">
                  <c:v>51.51</c:v>
                </c:pt>
                <c:pt idx="799">
                  <c:v>51.48</c:v>
                </c:pt>
                <c:pt idx="800">
                  <c:v>51.42</c:v>
                </c:pt>
                <c:pt idx="801">
                  <c:v>51.33</c:v>
                </c:pt>
                <c:pt idx="802">
                  <c:v>51.39</c:v>
                </c:pt>
                <c:pt idx="803">
                  <c:v>51.15</c:v>
                </c:pt>
                <c:pt idx="804">
                  <c:v>51.21</c:v>
                </c:pt>
                <c:pt idx="805">
                  <c:v>51.21</c:v>
                </c:pt>
                <c:pt idx="806">
                  <c:v>51.39</c:v>
                </c:pt>
                <c:pt idx="807">
                  <c:v>51.06</c:v>
                </c:pt>
                <c:pt idx="808">
                  <c:v>51.09</c:v>
                </c:pt>
                <c:pt idx="809">
                  <c:v>51.03</c:v>
                </c:pt>
                <c:pt idx="810">
                  <c:v>50.97</c:v>
                </c:pt>
                <c:pt idx="811">
                  <c:v>50.85</c:v>
                </c:pt>
                <c:pt idx="812">
                  <c:v>50.91</c:v>
                </c:pt>
                <c:pt idx="813">
                  <c:v>50.82</c:v>
                </c:pt>
                <c:pt idx="814">
                  <c:v>50.88</c:v>
                </c:pt>
                <c:pt idx="815">
                  <c:v>50.73</c:v>
                </c:pt>
                <c:pt idx="816">
                  <c:v>50.64</c:v>
                </c:pt>
                <c:pt idx="817">
                  <c:v>50.64</c:v>
                </c:pt>
                <c:pt idx="818">
                  <c:v>50.58</c:v>
                </c:pt>
                <c:pt idx="819">
                  <c:v>50.58</c:v>
                </c:pt>
                <c:pt idx="820">
                  <c:v>50.52</c:v>
                </c:pt>
                <c:pt idx="821">
                  <c:v>50.52</c:v>
                </c:pt>
                <c:pt idx="822">
                  <c:v>50.43</c:v>
                </c:pt>
                <c:pt idx="823">
                  <c:v>50.4</c:v>
                </c:pt>
                <c:pt idx="824">
                  <c:v>50.52</c:v>
                </c:pt>
                <c:pt idx="825">
                  <c:v>50.34</c:v>
                </c:pt>
                <c:pt idx="826">
                  <c:v>50.34</c:v>
                </c:pt>
                <c:pt idx="827">
                  <c:v>50.25</c:v>
                </c:pt>
                <c:pt idx="828">
                  <c:v>50.19</c:v>
                </c:pt>
                <c:pt idx="829">
                  <c:v>50.1</c:v>
                </c:pt>
                <c:pt idx="830">
                  <c:v>81</c:v>
                </c:pt>
                <c:pt idx="831">
                  <c:v>81.93</c:v>
                </c:pt>
                <c:pt idx="832">
                  <c:v>82.98</c:v>
                </c:pt>
                <c:pt idx="833">
                  <c:v>61.47</c:v>
                </c:pt>
                <c:pt idx="834">
                  <c:v>53.16</c:v>
                </c:pt>
                <c:pt idx="835">
                  <c:v>52.95</c:v>
                </c:pt>
                <c:pt idx="836">
                  <c:v>52.95</c:v>
                </c:pt>
                <c:pt idx="837">
                  <c:v>52.86</c:v>
                </c:pt>
                <c:pt idx="838">
                  <c:v>52.71</c:v>
                </c:pt>
                <c:pt idx="839">
                  <c:v>52.65</c:v>
                </c:pt>
                <c:pt idx="840">
                  <c:v>52.56</c:v>
                </c:pt>
                <c:pt idx="841">
                  <c:v>52.56</c:v>
                </c:pt>
                <c:pt idx="842">
                  <c:v>52.47</c:v>
                </c:pt>
                <c:pt idx="843">
                  <c:v>52.26</c:v>
                </c:pt>
                <c:pt idx="844">
                  <c:v>52.38</c:v>
                </c:pt>
                <c:pt idx="845">
                  <c:v>52.41</c:v>
                </c:pt>
                <c:pt idx="846">
                  <c:v>52.29</c:v>
                </c:pt>
                <c:pt idx="847">
                  <c:v>52.23</c:v>
                </c:pt>
                <c:pt idx="848">
                  <c:v>52.17</c:v>
                </c:pt>
                <c:pt idx="849">
                  <c:v>51.96</c:v>
                </c:pt>
                <c:pt idx="850">
                  <c:v>51.99</c:v>
                </c:pt>
                <c:pt idx="851">
                  <c:v>51.96</c:v>
                </c:pt>
                <c:pt idx="852">
                  <c:v>51.84</c:v>
                </c:pt>
                <c:pt idx="853">
                  <c:v>51.99</c:v>
                </c:pt>
                <c:pt idx="854">
                  <c:v>51.84</c:v>
                </c:pt>
                <c:pt idx="855">
                  <c:v>51.81</c:v>
                </c:pt>
                <c:pt idx="856">
                  <c:v>51.75</c:v>
                </c:pt>
                <c:pt idx="857">
                  <c:v>51.75</c:v>
                </c:pt>
                <c:pt idx="858">
                  <c:v>51.63</c:v>
                </c:pt>
                <c:pt idx="859">
                  <c:v>51.69</c:v>
                </c:pt>
                <c:pt idx="860">
                  <c:v>51.6</c:v>
                </c:pt>
                <c:pt idx="861">
                  <c:v>51.6</c:v>
                </c:pt>
                <c:pt idx="862">
                  <c:v>51.57</c:v>
                </c:pt>
                <c:pt idx="863">
                  <c:v>51.72</c:v>
                </c:pt>
                <c:pt idx="864">
                  <c:v>51.51</c:v>
                </c:pt>
                <c:pt idx="865">
                  <c:v>51.42</c:v>
                </c:pt>
                <c:pt idx="866">
                  <c:v>51.51</c:v>
                </c:pt>
                <c:pt idx="867">
                  <c:v>51.57</c:v>
                </c:pt>
                <c:pt idx="868">
                  <c:v>51.48</c:v>
                </c:pt>
                <c:pt idx="869">
                  <c:v>51.45</c:v>
                </c:pt>
                <c:pt idx="870">
                  <c:v>51.36</c:v>
                </c:pt>
                <c:pt idx="871">
                  <c:v>51.39</c:v>
                </c:pt>
                <c:pt idx="872">
                  <c:v>51.36</c:v>
                </c:pt>
                <c:pt idx="873">
                  <c:v>51.3</c:v>
                </c:pt>
                <c:pt idx="874">
                  <c:v>51.24</c:v>
                </c:pt>
                <c:pt idx="875">
                  <c:v>51.18</c:v>
                </c:pt>
                <c:pt idx="876">
                  <c:v>51.09</c:v>
                </c:pt>
                <c:pt idx="877">
                  <c:v>51.09</c:v>
                </c:pt>
                <c:pt idx="878">
                  <c:v>51.21</c:v>
                </c:pt>
                <c:pt idx="879">
                  <c:v>51.06</c:v>
                </c:pt>
                <c:pt idx="880">
                  <c:v>51.06</c:v>
                </c:pt>
                <c:pt idx="881">
                  <c:v>51</c:v>
                </c:pt>
                <c:pt idx="882">
                  <c:v>50.91</c:v>
                </c:pt>
                <c:pt idx="883">
                  <c:v>50.94</c:v>
                </c:pt>
                <c:pt idx="884">
                  <c:v>50.94</c:v>
                </c:pt>
                <c:pt idx="885">
                  <c:v>50.82</c:v>
                </c:pt>
                <c:pt idx="886">
                  <c:v>50.79</c:v>
                </c:pt>
                <c:pt idx="887">
                  <c:v>50.64</c:v>
                </c:pt>
                <c:pt idx="888">
                  <c:v>50.64</c:v>
                </c:pt>
                <c:pt idx="889">
                  <c:v>50.61</c:v>
                </c:pt>
                <c:pt idx="890">
                  <c:v>50.49</c:v>
                </c:pt>
                <c:pt idx="891">
                  <c:v>50.43</c:v>
                </c:pt>
                <c:pt idx="892">
                  <c:v>50.31</c:v>
                </c:pt>
                <c:pt idx="893">
                  <c:v>50.31</c:v>
                </c:pt>
                <c:pt idx="894">
                  <c:v>50.19</c:v>
                </c:pt>
                <c:pt idx="895">
                  <c:v>52.23</c:v>
                </c:pt>
                <c:pt idx="896">
                  <c:v>80.459999999999994</c:v>
                </c:pt>
                <c:pt idx="897">
                  <c:v>82.23</c:v>
                </c:pt>
                <c:pt idx="898">
                  <c:v>82.74</c:v>
                </c:pt>
                <c:pt idx="899">
                  <c:v>73.17</c:v>
                </c:pt>
                <c:pt idx="900">
                  <c:v>52.95</c:v>
                </c:pt>
                <c:pt idx="901">
                  <c:v>52.89</c:v>
                </c:pt>
                <c:pt idx="902">
                  <c:v>52.77</c:v>
                </c:pt>
                <c:pt idx="903">
                  <c:v>52.59</c:v>
                </c:pt>
                <c:pt idx="904">
                  <c:v>52.41</c:v>
                </c:pt>
                <c:pt idx="905">
                  <c:v>52.47</c:v>
                </c:pt>
                <c:pt idx="906">
                  <c:v>52.35</c:v>
                </c:pt>
                <c:pt idx="907">
                  <c:v>52.35</c:v>
                </c:pt>
                <c:pt idx="908">
                  <c:v>52.23</c:v>
                </c:pt>
                <c:pt idx="909">
                  <c:v>52.2</c:v>
                </c:pt>
                <c:pt idx="910">
                  <c:v>52.08</c:v>
                </c:pt>
                <c:pt idx="911">
                  <c:v>51.93</c:v>
                </c:pt>
                <c:pt idx="912">
                  <c:v>51.81</c:v>
                </c:pt>
                <c:pt idx="913">
                  <c:v>51.75</c:v>
                </c:pt>
                <c:pt idx="914">
                  <c:v>51.72</c:v>
                </c:pt>
                <c:pt idx="915">
                  <c:v>51.81</c:v>
                </c:pt>
                <c:pt idx="916">
                  <c:v>51.66</c:v>
                </c:pt>
                <c:pt idx="917">
                  <c:v>51.57</c:v>
                </c:pt>
                <c:pt idx="918">
                  <c:v>51.39</c:v>
                </c:pt>
                <c:pt idx="919">
                  <c:v>51.45</c:v>
                </c:pt>
                <c:pt idx="920">
                  <c:v>51.3</c:v>
                </c:pt>
                <c:pt idx="921">
                  <c:v>51.21</c:v>
                </c:pt>
                <c:pt idx="922">
                  <c:v>51.24</c:v>
                </c:pt>
                <c:pt idx="923">
                  <c:v>51.09</c:v>
                </c:pt>
                <c:pt idx="924">
                  <c:v>51.12</c:v>
                </c:pt>
                <c:pt idx="925">
                  <c:v>51</c:v>
                </c:pt>
                <c:pt idx="926">
                  <c:v>50.82</c:v>
                </c:pt>
                <c:pt idx="927">
                  <c:v>50.91</c:v>
                </c:pt>
                <c:pt idx="928">
                  <c:v>50.67</c:v>
                </c:pt>
                <c:pt idx="929">
                  <c:v>50.67</c:v>
                </c:pt>
                <c:pt idx="930">
                  <c:v>50.64</c:v>
                </c:pt>
                <c:pt idx="931">
                  <c:v>50.64</c:v>
                </c:pt>
                <c:pt idx="932">
                  <c:v>50.52</c:v>
                </c:pt>
                <c:pt idx="933">
                  <c:v>50.43</c:v>
                </c:pt>
                <c:pt idx="934">
                  <c:v>50.37</c:v>
                </c:pt>
                <c:pt idx="935">
                  <c:v>50.28</c:v>
                </c:pt>
                <c:pt idx="936">
                  <c:v>50.19</c:v>
                </c:pt>
                <c:pt idx="937">
                  <c:v>50.16</c:v>
                </c:pt>
                <c:pt idx="938">
                  <c:v>50.19</c:v>
                </c:pt>
                <c:pt idx="939">
                  <c:v>81.209999999999994</c:v>
                </c:pt>
                <c:pt idx="940">
                  <c:v>82.02</c:v>
                </c:pt>
                <c:pt idx="941">
                  <c:v>82.95</c:v>
                </c:pt>
                <c:pt idx="942">
                  <c:v>80.16</c:v>
                </c:pt>
                <c:pt idx="943">
                  <c:v>52.89</c:v>
                </c:pt>
                <c:pt idx="944">
                  <c:v>52.68</c:v>
                </c:pt>
                <c:pt idx="945">
                  <c:v>52.86</c:v>
                </c:pt>
                <c:pt idx="946">
                  <c:v>52.62</c:v>
                </c:pt>
                <c:pt idx="947">
                  <c:v>52.47</c:v>
                </c:pt>
                <c:pt idx="948">
                  <c:v>52.53</c:v>
                </c:pt>
                <c:pt idx="949">
                  <c:v>52.38</c:v>
                </c:pt>
                <c:pt idx="950">
                  <c:v>52.41</c:v>
                </c:pt>
                <c:pt idx="951">
                  <c:v>52.05</c:v>
                </c:pt>
                <c:pt idx="952">
                  <c:v>52.05</c:v>
                </c:pt>
                <c:pt idx="953">
                  <c:v>51.99</c:v>
                </c:pt>
                <c:pt idx="954">
                  <c:v>51.93</c:v>
                </c:pt>
                <c:pt idx="955">
                  <c:v>51.81</c:v>
                </c:pt>
                <c:pt idx="956">
                  <c:v>51.69</c:v>
                </c:pt>
                <c:pt idx="957">
                  <c:v>51.69</c:v>
                </c:pt>
                <c:pt idx="958">
                  <c:v>51.66</c:v>
                </c:pt>
                <c:pt idx="959">
                  <c:v>51.63</c:v>
                </c:pt>
                <c:pt idx="960">
                  <c:v>51.54</c:v>
                </c:pt>
                <c:pt idx="961">
                  <c:v>51.36</c:v>
                </c:pt>
                <c:pt idx="962">
                  <c:v>51.33</c:v>
                </c:pt>
                <c:pt idx="963">
                  <c:v>51.3</c:v>
                </c:pt>
                <c:pt idx="964">
                  <c:v>51.12</c:v>
                </c:pt>
                <c:pt idx="965">
                  <c:v>51.15</c:v>
                </c:pt>
                <c:pt idx="966">
                  <c:v>51.15</c:v>
                </c:pt>
                <c:pt idx="967">
                  <c:v>51.09</c:v>
                </c:pt>
                <c:pt idx="968">
                  <c:v>51</c:v>
                </c:pt>
                <c:pt idx="969">
                  <c:v>50.88</c:v>
                </c:pt>
                <c:pt idx="970">
                  <c:v>50.91</c:v>
                </c:pt>
                <c:pt idx="971">
                  <c:v>50.79</c:v>
                </c:pt>
                <c:pt idx="972">
                  <c:v>50.76</c:v>
                </c:pt>
                <c:pt idx="973">
                  <c:v>50.67</c:v>
                </c:pt>
                <c:pt idx="974">
                  <c:v>50.52</c:v>
                </c:pt>
                <c:pt idx="975">
                  <c:v>50.43</c:v>
                </c:pt>
                <c:pt idx="976">
                  <c:v>50.4</c:v>
                </c:pt>
                <c:pt idx="977">
                  <c:v>50.25</c:v>
                </c:pt>
                <c:pt idx="978">
                  <c:v>50.31</c:v>
                </c:pt>
                <c:pt idx="979">
                  <c:v>50.19</c:v>
                </c:pt>
                <c:pt idx="980">
                  <c:v>50.1</c:v>
                </c:pt>
                <c:pt idx="981">
                  <c:v>50.13</c:v>
                </c:pt>
                <c:pt idx="982">
                  <c:v>50.13</c:v>
                </c:pt>
                <c:pt idx="983">
                  <c:v>78.87</c:v>
                </c:pt>
                <c:pt idx="984">
                  <c:v>82.05</c:v>
                </c:pt>
                <c:pt idx="985">
                  <c:v>83.1</c:v>
                </c:pt>
                <c:pt idx="986">
                  <c:v>78.239999999999995</c:v>
                </c:pt>
                <c:pt idx="987">
                  <c:v>52.86</c:v>
                </c:pt>
                <c:pt idx="988">
                  <c:v>52.68</c:v>
                </c:pt>
                <c:pt idx="989">
                  <c:v>52.77</c:v>
                </c:pt>
                <c:pt idx="990">
                  <c:v>52.53</c:v>
                </c:pt>
                <c:pt idx="991">
                  <c:v>52.53</c:v>
                </c:pt>
                <c:pt idx="992">
                  <c:v>52.5</c:v>
                </c:pt>
                <c:pt idx="993">
                  <c:v>52.38</c:v>
                </c:pt>
                <c:pt idx="994">
                  <c:v>52.29</c:v>
                </c:pt>
                <c:pt idx="995">
                  <c:v>52.17</c:v>
                </c:pt>
                <c:pt idx="996">
                  <c:v>52.17</c:v>
                </c:pt>
                <c:pt idx="997">
                  <c:v>52.23</c:v>
                </c:pt>
                <c:pt idx="998">
                  <c:v>51.99</c:v>
                </c:pt>
                <c:pt idx="999">
                  <c:v>51.9</c:v>
                </c:pt>
                <c:pt idx="1000">
                  <c:v>51.87</c:v>
                </c:pt>
                <c:pt idx="1001">
                  <c:v>51.9</c:v>
                </c:pt>
                <c:pt idx="1002">
                  <c:v>51.69</c:v>
                </c:pt>
                <c:pt idx="1003">
                  <c:v>51.63</c:v>
                </c:pt>
                <c:pt idx="1004">
                  <c:v>51.75</c:v>
                </c:pt>
                <c:pt idx="1005">
                  <c:v>51.6</c:v>
                </c:pt>
                <c:pt idx="1006">
                  <c:v>51.63</c:v>
                </c:pt>
                <c:pt idx="1007">
                  <c:v>51.42</c:v>
                </c:pt>
                <c:pt idx="1008">
                  <c:v>51.33</c:v>
                </c:pt>
                <c:pt idx="1009">
                  <c:v>51.39</c:v>
                </c:pt>
                <c:pt idx="1010">
                  <c:v>51.3</c:v>
                </c:pt>
                <c:pt idx="1011">
                  <c:v>51.09</c:v>
                </c:pt>
                <c:pt idx="1012">
                  <c:v>51.18</c:v>
                </c:pt>
                <c:pt idx="1013">
                  <c:v>51.21</c:v>
                </c:pt>
                <c:pt idx="1014">
                  <c:v>51.21</c:v>
                </c:pt>
                <c:pt idx="1015">
                  <c:v>50.94</c:v>
                </c:pt>
                <c:pt idx="1016">
                  <c:v>50.82</c:v>
                </c:pt>
                <c:pt idx="1017">
                  <c:v>50.82</c:v>
                </c:pt>
                <c:pt idx="1018">
                  <c:v>50.76</c:v>
                </c:pt>
                <c:pt idx="1019">
                  <c:v>50.7</c:v>
                </c:pt>
                <c:pt idx="1020">
                  <c:v>50.67</c:v>
                </c:pt>
                <c:pt idx="1021">
                  <c:v>50.7</c:v>
                </c:pt>
                <c:pt idx="1022">
                  <c:v>50.58</c:v>
                </c:pt>
                <c:pt idx="1023">
                  <c:v>50.55</c:v>
                </c:pt>
                <c:pt idx="1024">
                  <c:v>50.4</c:v>
                </c:pt>
                <c:pt idx="1025">
                  <c:v>50.46</c:v>
                </c:pt>
                <c:pt idx="1026">
                  <c:v>50.37</c:v>
                </c:pt>
                <c:pt idx="1027">
                  <c:v>50.28</c:v>
                </c:pt>
                <c:pt idx="1028">
                  <c:v>65.64</c:v>
                </c:pt>
                <c:pt idx="1029">
                  <c:v>81.569999999999993</c:v>
                </c:pt>
                <c:pt idx="1030">
                  <c:v>82.11</c:v>
                </c:pt>
                <c:pt idx="1031">
                  <c:v>83.07</c:v>
                </c:pt>
                <c:pt idx="1032">
                  <c:v>81.09</c:v>
                </c:pt>
                <c:pt idx="1033">
                  <c:v>53.16</c:v>
                </c:pt>
                <c:pt idx="1034">
                  <c:v>52.83</c:v>
                </c:pt>
                <c:pt idx="1035">
                  <c:v>52.8</c:v>
                </c:pt>
                <c:pt idx="1036">
                  <c:v>52.86</c:v>
                </c:pt>
                <c:pt idx="1037">
                  <c:v>52.77</c:v>
                </c:pt>
                <c:pt idx="1038">
                  <c:v>52.86</c:v>
                </c:pt>
                <c:pt idx="1039">
                  <c:v>52.68</c:v>
                </c:pt>
                <c:pt idx="1040">
                  <c:v>52.56</c:v>
                </c:pt>
                <c:pt idx="1041">
                  <c:v>52.59</c:v>
                </c:pt>
                <c:pt idx="1042">
                  <c:v>52.59</c:v>
                </c:pt>
                <c:pt idx="1043">
                  <c:v>52.5</c:v>
                </c:pt>
                <c:pt idx="1044">
                  <c:v>52.35</c:v>
                </c:pt>
                <c:pt idx="1045">
                  <c:v>52.44</c:v>
                </c:pt>
                <c:pt idx="1046">
                  <c:v>52.17</c:v>
                </c:pt>
                <c:pt idx="1047">
                  <c:v>52.35</c:v>
                </c:pt>
                <c:pt idx="1048">
                  <c:v>52.2</c:v>
                </c:pt>
                <c:pt idx="1049">
                  <c:v>52.26</c:v>
                </c:pt>
                <c:pt idx="1050">
                  <c:v>52.14</c:v>
                </c:pt>
                <c:pt idx="1051">
                  <c:v>52.14</c:v>
                </c:pt>
                <c:pt idx="1052">
                  <c:v>52.14</c:v>
                </c:pt>
                <c:pt idx="1053">
                  <c:v>52.08</c:v>
                </c:pt>
                <c:pt idx="1054">
                  <c:v>52.05</c:v>
                </c:pt>
                <c:pt idx="1055">
                  <c:v>51.93</c:v>
                </c:pt>
                <c:pt idx="1056">
                  <c:v>51.87</c:v>
                </c:pt>
                <c:pt idx="1057">
                  <c:v>51.81</c:v>
                </c:pt>
                <c:pt idx="1058">
                  <c:v>51.81</c:v>
                </c:pt>
                <c:pt idx="1059">
                  <c:v>51.93</c:v>
                </c:pt>
                <c:pt idx="1060">
                  <c:v>51.66</c:v>
                </c:pt>
                <c:pt idx="1061">
                  <c:v>51.75</c:v>
                </c:pt>
                <c:pt idx="1062">
                  <c:v>51.75</c:v>
                </c:pt>
                <c:pt idx="1063">
                  <c:v>51.66</c:v>
                </c:pt>
                <c:pt idx="1064">
                  <c:v>51.51</c:v>
                </c:pt>
                <c:pt idx="1065">
                  <c:v>51.57</c:v>
                </c:pt>
                <c:pt idx="1066">
                  <c:v>51.51</c:v>
                </c:pt>
                <c:pt idx="1067">
                  <c:v>51.42</c:v>
                </c:pt>
                <c:pt idx="1068">
                  <c:v>51.42</c:v>
                </c:pt>
                <c:pt idx="1069">
                  <c:v>51.39</c:v>
                </c:pt>
                <c:pt idx="1070">
                  <c:v>51.42</c:v>
                </c:pt>
                <c:pt idx="1071">
                  <c:v>51.21</c:v>
                </c:pt>
                <c:pt idx="1072">
                  <c:v>51.33</c:v>
                </c:pt>
                <c:pt idx="1073">
                  <c:v>51.21</c:v>
                </c:pt>
                <c:pt idx="1074">
                  <c:v>51.06</c:v>
                </c:pt>
                <c:pt idx="1075">
                  <c:v>51.18</c:v>
                </c:pt>
                <c:pt idx="1076">
                  <c:v>51.09</c:v>
                </c:pt>
                <c:pt idx="1077">
                  <c:v>51.03</c:v>
                </c:pt>
                <c:pt idx="1078">
                  <c:v>50.97</c:v>
                </c:pt>
                <c:pt idx="1079">
                  <c:v>51.03</c:v>
                </c:pt>
                <c:pt idx="1080">
                  <c:v>50.88</c:v>
                </c:pt>
                <c:pt idx="1081">
                  <c:v>50.85</c:v>
                </c:pt>
                <c:pt idx="1082">
                  <c:v>50.85</c:v>
                </c:pt>
                <c:pt idx="1083">
                  <c:v>50.82</c:v>
                </c:pt>
                <c:pt idx="1084">
                  <c:v>50.85</c:v>
                </c:pt>
                <c:pt idx="1085">
                  <c:v>50.82</c:v>
                </c:pt>
                <c:pt idx="1086">
                  <c:v>50.88</c:v>
                </c:pt>
                <c:pt idx="1087">
                  <c:v>50.7</c:v>
                </c:pt>
                <c:pt idx="1088">
                  <c:v>50.58</c:v>
                </c:pt>
                <c:pt idx="1089">
                  <c:v>50.58</c:v>
                </c:pt>
                <c:pt idx="1090">
                  <c:v>50.58</c:v>
                </c:pt>
                <c:pt idx="1091">
                  <c:v>50.61</c:v>
                </c:pt>
                <c:pt idx="1092">
                  <c:v>50.52</c:v>
                </c:pt>
                <c:pt idx="1093">
                  <c:v>50.55</c:v>
                </c:pt>
                <c:pt idx="1094">
                  <c:v>50.49</c:v>
                </c:pt>
                <c:pt idx="1095">
                  <c:v>50.37</c:v>
                </c:pt>
                <c:pt idx="1096">
                  <c:v>50.31</c:v>
                </c:pt>
                <c:pt idx="1097">
                  <c:v>50.34</c:v>
                </c:pt>
                <c:pt idx="1098">
                  <c:v>50.25</c:v>
                </c:pt>
                <c:pt idx="1099">
                  <c:v>50.19</c:v>
                </c:pt>
                <c:pt idx="1100">
                  <c:v>50.16</c:v>
                </c:pt>
                <c:pt idx="1101">
                  <c:v>50.19</c:v>
                </c:pt>
                <c:pt idx="1102">
                  <c:v>50.16</c:v>
                </c:pt>
                <c:pt idx="1103">
                  <c:v>49.98</c:v>
                </c:pt>
                <c:pt idx="1104">
                  <c:v>50.1</c:v>
                </c:pt>
                <c:pt idx="1105">
                  <c:v>80.73</c:v>
                </c:pt>
                <c:pt idx="1106">
                  <c:v>82.38</c:v>
                </c:pt>
                <c:pt idx="1107">
                  <c:v>82.8</c:v>
                </c:pt>
                <c:pt idx="1108">
                  <c:v>67.38</c:v>
                </c:pt>
                <c:pt idx="1109">
                  <c:v>53.16</c:v>
                </c:pt>
                <c:pt idx="1110">
                  <c:v>52.92</c:v>
                </c:pt>
                <c:pt idx="1111">
                  <c:v>52.89</c:v>
                </c:pt>
                <c:pt idx="1112">
                  <c:v>52.92</c:v>
                </c:pt>
                <c:pt idx="1113">
                  <c:v>52.77</c:v>
                </c:pt>
                <c:pt idx="1114">
                  <c:v>52.74</c:v>
                </c:pt>
                <c:pt idx="1115">
                  <c:v>52.77</c:v>
                </c:pt>
                <c:pt idx="1116">
                  <c:v>52.62</c:v>
                </c:pt>
                <c:pt idx="1117">
                  <c:v>52.59</c:v>
                </c:pt>
                <c:pt idx="1118">
                  <c:v>52.38</c:v>
                </c:pt>
                <c:pt idx="1119">
                  <c:v>52.56</c:v>
                </c:pt>
                <c:pt idx="1120">
                  <c:v>52.35</c:v>
                </c:pt>
                <c:pt idx="1121">
                  <c:v>52.23</c:v>
                </c:pt>
                <c:pt idx="1122">
                  <c:v>52.26</c:v>
                </c:pt>
                <c:pt idx="1123">
                  <c:v>52.2</c:v>
                </c:pt>
                <c:pt idx="1124">
                  <c:v>52.05</c:v>
                </c:pt>
                <c:pt idx="1125">
                  <c:v>52.14</c:v>
                </c:pt>
                <c:pt idx="1126">
                  <c:v>52.08</c:v>
                </c:pt>
                <c:pt idx="1127">
                  <c:v>52.14</c:v>
                </c:pt>
                <c:pt idx="1128">
                  <c:v>51.96</c:v>
                </c:pt>
                <c:pt idx="1129">
                  <c:v>51.99</c:v>
                </c:pt>
                <c:pt idx="1130">
                  <c:v>51.93</c:v>
                </c:pt>
                <c:pt idx="1131">
                  <c:v>51.93</c:v>
                </c:pt>
                <c:pt idx="1132">
                  <c:v>51.72</c:v>
                </c:pt>
                <c:pt idx="1133">
                  <c:v>51.75</c:v>
                </c:pt>
                <c:pt idx="1134">
                  <c:v>51.69</c:v>
                </c:pt>
                <c:pt idx="1135">
                  <c:v>51.72</c:v>
                </c:pt>
                <c:pt idx="1136">
                  <c:v>51.51</c:v>
                </c:pt>
                <c:pt idx="1137">
                  <c:v>51.66</c:v>
                </c:pt>
                <c:pt idx="1138">
                  <c:v>51.57</c:v>
                </c:pt>
                <c:pt idx="1139">
                  <c:v>51.45</c:v>
                </c:pt>
                <c:pt idx="1140">
                  <c:v>51.54</c:v>
                </c:pt>
                <c:pt idx="1141">
                  <c:v>51.48</c:v>
                </c:pt>
                <c:pt idx="1142">
                  <c:v>51.45</c:v>
                </c:pt>
                <c:pt idx="1143">
                  <c:v>51.36</c:v>
                </c:pt>
                <c:pt idx="1144">
                  <c:v>51.24</c:v>
                </c:pt>
                <c:pt idx="1145">
                  <c:v>51.36</c:v>
                </c:pt>
                <c:pt idx="1146">
                  <c:v>51.3</c:v>
                </c:pt>
                <c:pt idx="1147">
                  <c:v>51.27</c:v>
                </c:pt>
                <c:pt idx="1148">
                  <c:v>51.18</c:v>
                </c:pt>
                <c:pt idx="1149">
                  <c:v>51.12</c:v>
                </c:pt>
                <c:pt idx="1150">
                  <c:v>51.06</c:v>
                </c:pt>
                <c:pt idx="1151">
                  <c:v>51.15</c:v>
                </c:pt>
                <c:pt idx="1152">
                  <c:v>51.06</c:v>
                </c:pt>
                <c:pt idx="1153">
                  <c:v>51.09</c:v>
                </c:pt>
                <c:pt idx="1154">
                  <c:v>51.06</c:v>
                </c:pt>
                <c:pt idx="1155">
                  <c:v>51.06</c:v>
                </c:pt>
                <c:pt idx="1156">
                  <c:v>50.97</c:v>
                </c:pt>
                <c:pt idx="1157">
                  <c:v>51</c:v>
                </c:pt>
                <c:pt idx="1158">
                  <c:v>50.94</c:v>
                </c:pt>
                <c:pt idx="1159">
                  <c:v>50.82</c:v>
                </c:pt>
                <c:pt idx="1160">
                  <c:v>50.88</c:v>
                </c:pt>
                <c:pt idx="1161">
                  <c:v>50.94</c:v>
                </c:pt>
                <c:pt idx="1162">
                  <c:v>50.97</c:v>
                </c:pt>
                <c:pt idx="1163">
                  <c:v>50.88</c:v>
                </c:pt>
                <c:pt idx="1164">
                  <c:v>50.85</c:v>
                </c:pt>
                <c:pt idx="1165">
                  <c:v>50.7</c:v>
                </c:pt>
                <c:pt idx="1166">
                  <c:v>50.7</c:v>
                </c:pt>
                <c:pt idx="1167">
                  <c:v>50.52</c:v>
                </c:pt>
                <c:pt idx="1168">
                  <c:v>50.58</c:v>
                </c:pt>
                <c:pt idx="1169">
                  <c:v>50.61</c:v>
                </c:pt>
                <c:pt idx="1170">
                  <c:v>50.64</c:v>
                </c:pt>
                <c:pt idx="1171">
                  <c:v>50.46</c:v>
                </c:pt>
                <c:pt idx="1172">
                  <c:v>50.43</c:v>
                </c:pt>
                <c:pt idx="1173">
                  <c:v>50.43</c:v>
                </c:pt>
                <c:pt idx="1174">
                  <c:v>50.28</c:v>
                </c:pt>
                <c:pt idx="1175">
                  <c:v>50.25</c:v>
                </c:pt>
                <c:pt idx="1176">
                  <c:v>50.16</c:v>
                </c:pt>
                <c:pt idx="1177">
                  <c:v>50.25</c:v>
                </c:pt>
                <c:pt idx="1178">
                  <c:v>50.1</c:v>
                </c:pt>
                <c:pt idx="1179">
                  <c:v>50.19</c:v>
                </c:pt>
                <c:pt idx="1180">
                  <c:v>80.849999999999994</c:v>
                </c:pt>
                <c:pt idx="1181">
                  <c:v>81.75</c:v>
                </c:pt>
                <c:pt idx="1182">
                  <c:v>82.8</c:v>
                </c:pt>
                <c:pt idx="1183">
                  <c:v>62.79</c:v>
                </c:pt>
                <c:pt idx="1184">
                  <c:v>52.89</c:v>
                </c:pt>
                <c:pt idx="1185">
                  <c:v>52.59</c:v>
                </c:pt>
                <c:pt idx="1186">
                  <c:v>52.47</c:v>
                </c:pt>
                <c:pt idx="1187">
                  <c:v>52.32</c:v>
                </c:pt>
                <c:pt idx="1188">
                  <c:v>52.23</c:v>
                </c:pt>
                <c:pt idx="1189">
                  <c:v>52.11</c:v>
                </c:pt>
                <c:pt idx="1190">
                  <c:v>51.99</c:v>
                </c:pt>
                <c:pt idx="1191">
                  <c:v>51.66</c:v>
                </c:pt>
                <c:pt idx="1192">
                  <c:v>51.69</c:v>
                </c:pt>
                <c:pt idx="1193">
                  <c:v>51.6</c:v>
                </c:pt>
                <c:pt idx="1194">
                  <c:v>51.51</c:v>
                </c:pt>
                <c:pt idx="1195">
                  <c:v>51.39</c:v>
                </c:pt>
                <c:pt idx="1196">
                  <c:v>51.27</c:v>
                </c:pt>
                <c:pt idx="1197">
                  <c:v>51.27</c:v>
                </c:pt>
                <c:pt idx="1198">
                  <c:v>51.06</c:v>
                </c:pt>
                <c:pt idx="1199">
                  <c:v>50.94</c:v>
                </c:pt>
                <c:pt idx="1200">
                  <c:v>50.79</c:v>
                </c:pt>
                <c:pt idx="1201">
                  <c:v>50.7</c:v>
                </c:pt>
                <c:pt idx="1202">
                  <c:v>50.64</c:v>
                </c:pt>
                <c:pt idx="1203">
                  <c:v>50.31</c:v>
                </c:pt>
                <c:pt idx="1204">
                  <c:v>50.19</c:v>
                </c:pt>
                <c:pt idx="1205">
                  <c:v>50.19</c:v>
                </c:pt>
                <c:pt idx="1206">
                  <c:v>70.05</c:v>
                </c:pt>
                <c:pt idx="1207">
                  <c:v>81.150000000000006</c:v>
                </c:pt>
                <c:pt idx="1208">
                  <c:v>82.38</c:v>
                </c:pt>
                <c:pt idx="1209">
                  <c:v>81.75</c:v>
                </c:pt>
                <c:pt idx="1210">
                  <c:v>54.69</c:v>
                </c:pt>
                <c:pt idx="1211">
                  <c:v>52.47</c:v>
                </c:pt>
                <c:pt idx="1212">
                  <c:v>52.38</c:v>
                </c:pt>
                <c:pt idx="1213">
                  <c:v>52.23</c:v>
                </c:pt>
                <c:pt idx="1214">
                  <c:v>51.9</c:v>
                </c:pt>
                <c:pt idx="1215">
                  <c:v>51.69</c:v>
                </c:pt>
                <c:pt idx="1216">
                  <c:v>51.57</c:v>
                </c:pt>
                <c:pt idx="1217">
                  <c:v>51.57</c:v>
                </c:pt>
                <c:pt idx="1218">
                  <c:v>51.36</c:v>
                </c:pt>
                <c:pt idx="1219">
                  <c:v>51.06</c:v>
                </c:pt>
                <c:pt idx="1220">
                  <c:v>51.15</c:v>
                </c:pt>
                <c:pt idx="1221">
                  <c:v>50.88</c:v>
                </c:pt>
                <c:pt idx="1222">
                  <c:v>50.67</c:v>
                </c:pt>
                <c:pt idx="1223">
                  <c:v>50.61</c:v>
                </c:pt>
                <c:pt idx="1224">
                  <c:v>50.55</c:v>
                </c:pt>
                <c:pt idx="1225">
                  <c:v>50.37</c:v>
                </c:pt>
                <c:pt idx="1226">
                  <c:v>50.1</c:v>
                </c:pt>
                <c:pt idx="1227">
                  <c:v>78.03</c:v>
                </c:pt>
                <c:pt idx="1228">
                  <c:v>81.3</c:v>
                </c:pt>
                <c:pt idx="1229">
                  <c:v>82.53</c:v>
                </c:pt>
                <c:pt idx="1230">
                  <c:v>82.98</c:v>
                </c:pt>
                <c:pt idx="1231">
                  <c:v>53.13</c:v>
                </c:pt>
                <c:pt idx="1232">
                  <c:v>52.65</c:v>
                </c:pt>
                <c:pt idx="1233">
                  <c:v>52.38</c:v>
                </c:pt>
                <c:pt idx="1234">
                  <c:v>52.29</c:v>
                </c:pt>
                <c:pt idx="1235">
                  <c:v>52.23</c:v>
                </c:pt>
                <c:pt idx="1236">
                  <c:v>52.05</c:v>
                </c:pt>
                <c:pt idx="1237">
                  <c:v>51.93</c:v>
                </c:pt>
                <c:pt idx="1238">
                  <c:v>51.84</c:v>
                </c:pt>
                <c:pt idx="1239">
                  <c:v>51.78</c:v>
                </c:pt>
                <c:pt idx="1240">
                  <c:v>51.69</c:v>
                </c:pt>
                <c:pt idx="1241">
                  <c:v>51.42</c:v>
                </c:pt>
                <c:pt idx="1242">
                  <c:v>51.42</c:v>
                </c:pt>
                <c:pt idx="1243">
                  <c:v>51.3</c:v>
                </c:pt>
                <c:pt idx="1244">
                  <c:v>51.24</c:v>
                </c:pt>
                <c:pt idx="1245">
                  <c:v>51.12</c:v>
                </c:pt>
                <c:pt idx="1246">
                  <c:v>51.12</c:v>
                </c:pt>
                <c:pt idx="1247">
                  <c:v>50.88</c:v>
                </c:pt>
                <c:pt idx="1248">
                  <c:v>50.88</c:v>
                </c:pt>
                <c:pt idx="1249">
                  <c:v>50.7</c:v>
                </c:pt>
                <c:pt idx="1250">
                  <c:v>50.61</c:v>
                </c:pt>
                <c:pt idx="1251">
                  <c:v>50.55</c:v>
                </c:pt>
                <c:pt idx="1252">
                  <c:v>50.37</c:v>
                </c:pt>
                <c:pt idx="1253">
                  <c:v>50.49</c:v>
                </c:pt>
                <c:pt idx="1254">
                  <c:v>50.25</c:v>
                </c:pt>
                <c:pt idx="1255">
                  <c:v>50.25</c:v>
                </c:pt>
                <c:pt idx="1256">
                  <c:v>50.07</c:v>
                </c:pt>
                <c:pt idx="1257">
                  <c:v>80.73</c:v>
                </c:pt>
                <c:pt idx="1258">
                  <c:v>82.29</c:v>
                </c:pt>
                <c:pt idx="1259">
                  <c:v>82.83</c:v>
                </c:pt>
                <c:pt idx="1260">
                  <c:v>65.58</c:v>
                </c:pt>
                <c:pt idx="1261">
                  <c:v>53.07</c:v>
                </c:pt>
                <c:pt idx="1262">
                  <c:v>52.71</c:v>
                </c:pt>
                <c:pt idx="1263">
                  <c:v>52.5</c:v>
                </c:pt>
                <c:pt idx="1264">
                  <c:v>52.53</c:v>
                </c:pt>
                <c:pt idx="1265">
                  <c:v>52.47</c:v>
                </c:pt>
                <c:pt idx="1266">
                  <c:v>52.23</c:v>
                </c:pt>
                <c:pt idx="1267">
                  <c:v>52.05</c:v>
                </c:pt>
                <c:pt idx="1268">
                  <c:v>52.02</c:v>
                </c:pt>
                <c:pt idx="1269">
                  <c:v>51.93</c:v>
                </c:pt>
                <c:pt idx="1270">
                  <c:v>51.69</c:v>
                </c:pt>
                <c:pt idx="1271">
                  <c:v>51.63</c:v>
                </c:pt>
                <c:pt idx="1272">
                  <c:v>51.57</c:v>
                </c:pt>
                <c:pt idx="1273">
                  <c:v>51.48</c:v>
                </c:pt>
                <c:pt idx="1274">
                  <c:v>51.3</c:v>
                </c:pt>
                <c:pt idx="1275">
                  <c:v>51.27</c:v>
                </c:pt>
                <c:pt idx="1276">
                  <c:v>51.15</c:v>
                </c:pt>
                <c:pt idx="1277">
                  <c:v>51.15</c:v>
                </c:pt>
                <c:pt idx="1278">
                  <c:v>50.94</c:v>
                </c:pt>
                <c:pt idx="1279">
                  <c:v>50.91</c:v>
                </c:pt>
                <c:pt idx="1280">
                  <c:v>50.73</c:v>
                </c:pt>
                <c:pt idx="1281">
                  <c:v>50.79</c:v>
                </c:pt>
                <c:pt idx="1282">
                  <c:v>50.52</c:v>
                </c:pt>
                <c:pt idx="1283">
                  <c:v>50.4</c:v>
                </c:pt>
                <c:pt idx="1284">
                  <c:v>50.37</c:v>
                </c:pt>
                <c:pt idx="1285">
                  <c:v>50.37</c:v>
                </c:pt>
                <c:pt idx="1286">
                  <c:v>50.19</c:v>
                </c:pt>
                <c:pt idx="1287">
                  <c:v>50.19</c:v>
                </c:pt>
                <c:pt idx="1288">
                  <c:v>66.33</c:v>
                </c:pt>
                <c:pt idx="1289">
                  <c:v>81.93</c:v>
                </c:pt>
                <c:pt idx="1290">
                  <c:v>82.47</c:v>
                </c:pt>
                <c:pt idx="1291">
                  <c:v>82.83</c:v>
                </c:pt>
                <c:pt idx="1292">
                  <c:v>58.38</c:v>
                </c:pt>
                <c:pt idx="1293">
                  <c:v>52.65</c:v>
                </c:pt>
                <c:pt idx="1294">
                  <c:v>52.56</c:v>
                </c:pt>
                <c:pt idx="1295">
                  <c:v>52.53</c:v>
                </c:pt>
                <c:pt idx="1296">
                  <c:v>52.35</c:v>
                </c:pt>
                <c:pt idx="1297">
                  <c:v>52.23</c:v>
                </c:pt>
                <c:pt idx="1298">
                  <c:v>51.99</c:v>
                </c:pt>
                <c:pt idx="1299">
                  <c:v>51.84</c:v>
                </c:pt>
                <c:pt idx="1300">
                  <c:v>51.78</c:v>
                </c:pt>
                <c:pt idx="1301">
                  <c:v>51.57</c:v>
                </c:pt>
                <c:pt idx="1302">
                  <c:v>51.39</c:v>
                </c:pt>
                <c:pt idx="1303">
                  <c:v>51.24</c:v>
                </c:pt>
                <c:pt idx="1304">
                  <c:v>51.15</c:v>
                </c:pt>
                <c:pt idx="1305">
                  <c:v>51</c:v>
                </c:pt>
                <c:pt idx="1306">
                  <c:v>50.82</c:v>
                </c:pt>
                <c:pt idx="1307">
                  <c:v>50.79</c:v>
                </c:pt>
                <c:pt idx="1308">
                  <c:v>50.76</c:v>
                </c:pt>
                <c:pt idx="1309">
                  <c:v>50.61</c:v>
                </c:pt>
                <c:pt idx="1310">
                  <c:v>50.58</c:v>
                </c:pt>
                <c:pt idx="1311">
                  <c:v>50.4</c:v>
                </c:pt>
                <c:pt idx="1312">
                  <c:v>50.25</c:v>
                </c:pt>
                <c:pt idx="1313">
                  <c:v>50.28</c:v>
                </c:pt>
                <c:pt idx="1314">
                  <c:v>50.04</c:v>
                </c:pt>
                <c:pt idx="1315">
                  <c:v>50.55</c:v>
                </c:pt>
                <c:pt idx="1316">
                  <c:v>81.510000000000005</c:v>
                </c:pt>
                <c:pt idx="1317">
                  <c:v>82.65</c:v>
                </c:pt>
                <c:pt idx="1318">
                  <c:v>83.13</c:v>
                </c:pt>
                <c:pt idx="1319">
                  <c:v>53.1</c:v>
                </c:pt>
                <c:pt idx="1320">
                  <c:v>52.68</c:v>
                </c:pt>
                <c:pt idx="1321">
                  <c:v>52.53</c:v>
                </c:pt>
                <c:pt idx="1322">
                  <c:v>52.47</c:v>
                </c:pt>
                <c:pt idx="1323">
                  <c:v>52.29</c:v>
                </c:pt>
                <c:pt idx="1324">
                  <c:v>52.26</c:v>
                </c:pt>
                <c:pt idx="1325">
                  <c:v>51.3</c:v>
                </c:pt>
                <c:pt idx="1326">
                  <c:v>51.3</c:v>
                </c:pt>
                <c:pt idx="1327">
                  <c:v>51.3</c:v>
                </c:pt>
                <c:pt idx="1328">
                  <c:v>51.06</c:v>
                </c:pt>
                <c:pt idx="1329">
                  <c:v>51.09</c:v>
                </c:pt>
                <c:pt idx="1330">
                  <c:v>51.03</c:v>
                </c:pt>
                <c:pt idx="1331">
                  <c:v>51</c:v>
                </c:pt>
                <c:pt idx="1332">
                  <c:v>50.79</c:v>
                </c:pt>
                <c:pt idx="1333">
                  <c:v>50.91</c:v>
                </c:pt>
                <c:pt idx="1334">
                  <c:v>50.67</c:v>
                </c:pt>
                <c:pt idx="1335">
                  <c:v>50.55</c:v>
                </c:pt>
                <c:pt idx="1336">
                  <c:v>50.55</c:v>
                </c:pt>
                <c:pt idx="1337">
                  <c:v>50.4</c:v>
                </c:pt>
                <c:pt idx="1338">
                  <c:v>50.34</c:v>
                </c:pt>
                <c:pt idx="1339">
                  <c:v>50.16</c:v>
                </c:pt>
                <c:pt idx="1340">
                  <c:v>50.25</c:v>
                </c:pt>
                <c:pt idx="1341">
                  <c:v>50.22</c:v>
                </c:pt>
                <c:pt idx="1342">
                  <c:v>50.1</c:v>
                </c:pt>
                <c:pt idx="1343">
                  <c:v>81.180000000000007</c:v>
                </c:pt>
                <c:pt idx="1344">
                  <c:v>82.05</c:v>
                </c:pt>
                <c:pt idx="1345">
                  <c:v>83.01</c:v>
                </c:pt>
                <c:pt idx="1346">
                  <c:v>81.87</c:v>
                </c:pt>
                <c:pt idx="1347">
                  <c:v>52.86</c:v>
                </c:pt>
                <c:pt idx="1348">
                  <c:v>52.59</c:v>
                </c:pt>
                <c:pt idx="1349">
                  <c:v>52.47</c:v>
                </c:pt>
                <c:pt idx="1350">
                  <c:v>52.32</c:v>
                </c:pt>
                <c:pt idx="1351">
                  <c:v>52.17</c:v>
                </c:pt>
                <c:pt idx="1352">
                  <c:v>52.08</c:v>
                </c:pt>
                <c:pt idx="1353">
                  <c:v>51.84</c:v>
                </c:pt>
                <c:pt idx="1354">
                  <c:v>51.81</c:v>
                </c:pt>
                <c:pt idx="1355">
                  <c:v>51.6</c:v>
                </c:pt>
                <c:pt idx="1356">
                  <c:v>51.54</c:v>
                </c:pt>
                <c:pt idx="1357">
                  <c:v>51.33</c:v>
                </c:pt>
                <c:pt idx="1358">
                  <c:v>51.24</c:v>
                </c:pt>
                <c:pt idx="1359">
                  <c:v>51.27</c:v>
                </c:pt>
                <c:pt idx="1360">
                  <c:v>51.12</c:v>
                </c:pt>
                <c:pt idx="1361">
                  <c:v>50.88</c:v>
                </c:pt>
                <c:pt idx="1362">
                  <c:v>50.82</c:v>
                </c:pt>
                <c:pt idx="1363">
                  <c:v>50.7</c:v>
                </c:pt>
                <c:pt idx="1364">
                  <c:v>50.58</c:v>
                </c:pt>
                <c:pt idx="1365">
                  <c:v>50.46</c:v>
                </c:pt>
                <c:pt idx="1366">
                  <c:v>50.43</c:v>
                </c:pt>
                <c:pt idx="1367">
                  <c:v>50.22</c:v>
                </c:pt>
                <c:pt idx="1368">
                  <c:v>50.04</c:v>
                </c:pt>
                <c:pt idx="1369">
                  <c:v>50.1</c:v>
                </c:pt>
                <c:pt idx="1370">
                  <c:v>80.58</c:v>
                </c:pt>
                <c:pt idx="1371">
                  <c:v>82.2</c:v>
                </c:pt>
                <c:pt idx="1372">
                  <c:v>82.74</c:v>
                </c:pt>
                <c:pt idx="1373">
                  <c:v>69.540000000000006</c:v>
                </c:pt>
                <c:pt idx="1374">
                  <c:v>52.62</c:v>
                </c:pt>
                <c:pt idx="1375">
                  <c:v>52.44</c:v>
                </c:pt>
                <c:pt idx="1376">
                  <c:v>52.38</c:v>
                </c:pt>
                <c:pt idx="1377">
                  <c:v>52.41</c:v>
                </c:pt>
                <c:pt idx="1378">
                  <c:v>52.17</c:v>
                </c:pt>
                <c:pt idx="1379">
                  <c:v>52.05</c:v>
                </c:pt>
                <c:pt idx="1380">
                  <c:v>52.05</c:v>
                </c:pt>
                <c:pt idx="1381">
                  <c:v>51.87</c:v>
                </c:pt>
                <c:pt idx="1382">
                  <c:v>51.84</c:v>
                </c:pt>
                <c:pt idx="1383">
                  <c:v>51.87</c:v>
                </c:pt>
                <c:pt idx="1384">
                  <c:v>51.69</c:v>
                </c:pt>
                <c:pt idx="1385">
                  <c:v>51.66</c:v>
                </c:pt>
                <c:pt idx="1386">
                  <c:v>51.66</c:v>
                </c:pt>
                <c:pt idx="1387">
                  <c:v>51.57</c:v>
                </c:pt>
                <c:pt idx="1388">
                  <c:v>51.33</c:v>
                </c:pt>
                <c:pt idx="1389">
                  <c:v>51.27</c:v>
                </c:pt>
                <c:pt idx="1390">
                  <c:v>51.24</c:v>
                </c:pt>
                <c:pt idx="1391">
                  <c:v>51.09</c:v>
                </c:pt>
                <c:pt idx="1392">
                  <c:v>51.09</c:v>
                </c:pt>
                <c:pt idx="1393">
                  <c:v>51.03</c:v>
                </c:pt>
                <c:pt idx="1394">
                  <c:v>51.06</c:v>
                </c:pt>
                <c:pt idx="1395">
                  <c:v>50.94</c:v>
                </c:pt>
                <c:pt idx="1396">
                  <c:v>50.97</c:v>
                </c:pt>
                <c:pt idx="1397">
                  <c:v>50.73</c:v>
                </c:pt>
                <c:pt idx="1398">
                  <c:v>50.67</c:v>
                </c:pt>
                <c:pt idx="1399">
                  <c:v>50.67</c:v>
                </c:pt>
                <c:pt idx="1400">
                  <c:v>50.58</c:v>
                </c:pt>
                <c:pt idx="1401">
                  <c:v>50.49</c:v>
                </c:pt>
                <c:pt idx="1402">
                  <c:v>50.52</c:v>
                </c:pt>
                <c:pt idx="1403">
                  <c:v>50.46</c:v>
                </c:pt>
                <c:pt idx="1404">
                  <c:v>50.28</c:v>
                </c:pt>
                <c:pt idx="1405">
                  <c:v>50.19</c:v>
                </c:pt>
                <c:pt idx="1406">
                  <c:v>50.22</c:v>
                </c:pt>
                <c:pt idx="1407">
                  <c:v>50.1</c:v>
                </c:pt>
                <c:pt idx="1408">
                  <c:v>53.07</c:v>
                </c:pt>
                <c:pt idx="1409">
                  <c:v>81.69</c:v>
                </c:pt>
                <c:pt idx="1410">
                  <c:v>82.83</c:v>
                </c:pt>
                <c:pt idx="1411">
                  <c:v>83.22</c:v>
                </c:pt>
                <c:pt idx="1412">
                  <c:v>53.25</c:v>
                </c:pt>
                <c:pt idx="1413">
                  <c:v>52.77</c:v>
                </c:pt>
                <c:pt idx="1414">
                  <c:v>52.65</c:v>
                </c:pt>
                <c:pt idx="1415">
                  <c:v>52.59</c:v>
                </c:pt>
                <c:pt idx="1416">
                  <c:v>52.5</c:v>
                </c:pt>
                <c:pt idx="1417">
                  <c:v>52.44</c:v>
                </c:pt>
                <c:pt idx="1418">
                  <c:v>52.32</c:v>
                </c:pt>
                <c:pt idx="1419">
                  <c:v>52.17</c:v>
                </c:pt>
                <c:pt idx="1420">
                  <c:v>52.08</c:v>
                </c:pt>
                <c:pt idx="1421">
                  <c:v>52.02</c:v>
                </c:pt>
                <c:pt idx="1422">
                  <c:v>51.72</c:v>
                </c:pt>
                <c:pt idx="1423">
                  <c:v>51.54</c:v>
                </c:pt>
                <c:pt idx="1424">
                  <c:v>51.63</c:v>
                </c:pt>
                <c:pt idx="1425">
                  <c:v>51.39</c:v>
                </c:pt>
                <c:pt idx="1426">
                  <c:v>51.51</c:v>
                </c:pt>
                <c:pt idx="1427">
                  <c:v>51.3</c:v>
                </c:pt>
                <c:pt idx="1428">
                  <c:v>51.18</c:v>
                </c:pt>
                <c:pt idx="1429">
                  <c:v>51.18</c:v>
                </c:pt>
                <c:pt idx="1430">
                  <c:v>51</c:v>
                </c:pt>
                <c:pt idx="1431">
                  <c:v>50.97</c:v>
                </c:pt>
                <c:pt idx="1432">
                  <c:v>50.82</c:v>
                </c:pt>
                <c:pt idx="1433">
                  <c:v>50.7</c:v>
                </c:pt>
                <c:pt idx="1434">
                  <c:v>50.61</c:v>
                </c:pt>
                <c:pt idx="1435">
                  <c:v>50.46</c:v>
                </c:pt>
                <c:pt idx="1436">
                  <c:v>50.55</c:v>
                </c:pt>
                <c:pt idx="1437">
                  <c:v>50.28</c:v>
                </c:pt>
                <c:pt idx="1438">
                  <c:v>50.1</c:v>
                </c:pt>
                <c:pt idx="1439">
                  <c:v>50.07</c:v>
                </c:pt>
                <c:pt idx="1440">
                  <c:v>64.38</c:v>
                </c:pt>
                <c:pt idx="1441">
                  <c:v>81.87</c:v>
                </c:pt>
                <c:pt idx="1442">
                  <c:v>82.5</c:v>
                </c:pt>
                <c:pt idx="1443">
                  <c:v>83.07</c:v>
                </c:pt>
                <c:pt idx="1444">
                  <c:v>59.82</c:v>
                </c:pt>
                <c:pt idx="1445">
                  <c:v>52.68</c:v>
                </c:pt>
                <c:pt idx="1446">
                  <c:v>52.53</c:v>
                </c:pt>
                <c:pt idx="1447">
                  <c:v>52.38</c:v>
                </c:pt>
                <c:pt idx="1448">
                  <c:v>52.35</c:v>
                </c:pt>
                <c:pt idx="1449">
                  <c:v>52.2</c:v>
                </c:pt>
                <c:pt idx="1450">
                  <c:v>52.14</c:v>
                </c:pt>
                <c:pt idx="1451">
                  <c:v>52.02</c:v>
                </c:pt>
                <c:pt idx="1452">
                  <c:v>51.96</c:v>
                </c:pt>
                <c:pt idx="1453">
                  <c:v>51.81</c:v>
                </c:pt>
                <c:pt idx="1454">
                  <c:v>51.81</c:v>
                </c:pt>
                <c:pt idx="1455">
                  <c:v>51.72</c:v>
                </c:pt>
                <c:pt idx="1456">
                  <c:v>51.54</c:v>
                </c:pt>
                <c:pt idx="1457">
                  <c:v>51.51</c:v>
                </c:pt>
                <c:pt idx="1458">
                  <c:v>51.24</c:v>
                </c:pt>
                <c:pt idx="1459">
                  <c:v>51.3</c:v>
                </c:pt>
                <c:pt idx="1460">
                  <c:v>51.12</c:v>
                </c:pt>
                <c:pt idx="1461">
                  <c:v>51.06</c:v>
                </c:pt>
                <c:pt idx="1462">
                  <c:v>51</c:v>
                </c:pt>
                <c:pt idx="1463">
                  <c:v>50.85</c:v>
                </c:pt>
                <c:pt idx="1464">
                  <c:v>50.82</c:v>
                </c:pt>
                <c:pt idx="1465">
                  <c:v>50.79</c:v>
                </c:pt>
                <c:pt idx="1466">
                  <c:v>50.76</c:v>
                </c:pt>
                <c:pt idx="1467">
                  <c:v>50.67</c:v>
                </c:pt>
                <c:pt idx="1468">
                  <c:v>50.55</c:v>
                </c:pt>
                <c:pt idx="1469">
                  <c:v>50.4</c:v>
                </c:pt>
                <c:pt idx="1470">
                  <c:v>50.46</c:v>
                </c:pt>
                <c:pt idx="1471">
                  <c:v>50.37</c:v>
                </c:pt>
                <c:pt idx="1472">
                  <c:v>50.34</c:v>
                </c:pt>
                <c:pt idx="1473">
                  <c:v>50.31</c:v>
                </c:pt>
                <c:pt idx="1474">
                  <c:v>50.25</c:v>
                </c:pt>
                <c:pt idx="1475">
                  <c:v>50.16</c:v>
                </c:pt>
                <c:pt idx="1476">
                  <c:v>50.13</c:v>
                </c:pt>
                <c:pt idx="1477">
                  <c:v>76.05</c:v>
                </c:pt>
                <c:pt idx="1478">
                  <c:v>81.36</c:v>
                </c:pt>
                <c:pt idx="1479">
                  <c:v>82.59</c:v>
                </c:pt>
                <c:pt idx="1480">
                  <c:v>83.07</c:v>
                </c:pt>
                <c:pt idx="1481">
                  <c:v>53.16</c:v>
                </c:pt>
                <c:pt idx="1482">
                  <c:v>52.5</c:v>
                </c:pt>
                <c:pt idx="1483">
                  <c:v>52.59</c:v>
                </c:pt>
                <c:pt idx="1484">
                  <c:v>52.26</c:v>
                </c:pt>
                <c:pt idx="1485">
                  <c:v>52.26</c:v>
                </c:pt>
                <c:pt idx="1486">
                  <c:v>52.05</c:v>
                </c:pt>
                <c:pt idx="1487">
                  <c:v>52.08</c:v>
                </c:pt>
                <c:pt idx="1488">
                  <c:v>51.81</c:v>
                </c:pt>
                <c:pt idx="1489">
                  <c:v>51.66</c:v>
                </c:pt>
                <c:pt idx="1490">
                  <c:v>51.57</c:v>
                </c:pt>
                <c:pt idx="1491">
                  <c:v>51.48</c:v>
                </c:pt>
                <c:pt idx="1492">
                  <c:v>51.33</c:v>
                </c:pt>
                <c:pt idx="1493">
                  <c:v>51.3</c:v>
                </c:pt>
                <c:pt idx="1494">
                  <c:v>51.15</c:v>
                </c:pt>
                <c:pt idx="1495">
                  <c:v>51.03</c:v>
                </c:pt>
                <c:pt idx="1496">
                  <c:v>50.97</c:v>
                </c:pt>
                <c:pt idx="1497">
                  <c:v>50.88</c:v>
                </c:pt>
                <c:pt idx="1498">
                  <c:v>50.79</c:v>
                </c:pt>
                <c:pt idx="1499">
                  <c:v>50.55</c:v>
                </c:pt>
                <c:pt idx="1500">
                  <c:v>50.46</c:v>
                </c:pt>
                <c:pt idx="1501">
                  <c:v>50.43</c:v>
                </c:pt>
                <c:pt idx="1502">
                  <c:v>50.31</c:v>
                </c:pt>
                <c:pt idx="1503">
                  <c:v>50.31</c:v>
                </c:pt>
                <c:pt idx="1504">
                  <c:v>50.1</c:v>
                </c:pt>
                <c:pt idx="1505">
                  <c:v>70.92</c:v>
                </c:pt>
                <c:pt idx="1506">
                  <c:v>81.3</c:v>
                </c:pt>
                <c:pt idx="1507">
                  <c:v>82.59</c:v>
                </c:pt>
                <c:pt idx="1508">
                  <c:v>81.69</c:v>
                </c:pt>
                <c:pt idx="1509">
                  <c:v>54.24</c:v>
                </c:pt>
                <c:pt idx="1510">
                  <c:v>52.8</c:v>
                </c:pt>
                <c:pt idx="1511">
                  <c:v>52.62</c:v>
                </c:pt>
                <c:pt idx="1512">
                  <c:v>52.47</c:v>
                </c:pt>
                <c:pt idx="1513">
                  <c:v>52.23</c:v>
                </c:pt>
                <c:pt idx="1514">
                  <c:v>52.11</c:v>
                </c:pt>
                <c:pt idx="1515">
                  <c:v>51.96</c:v>
                </c:pt>
                <c:pt idx="1516">
                  <c:v>51.84</c:v>
                </c:pt>
                <c:pt idx="1517">
                  <c:v>51.75</c:v>
                </c:pt>
                <c:pt idx="1518">
                  <c:v>51.66</c:v>
                </c:pt>
                <c:pt idx="1519">
                  <c:v>51.69</c:v>
                </c:pt>
                <c:pt idx="1520">
                  <c:v>51.63</c:v>
                </c:pt>
                <c:pt idx="1521">
                  <c:v>51.39</c:v>
                </c:pt>
                <c:pt idx="1522">
                  <c:v>51.39</c:v>
                </c:pt>
                <c:pt idx="1523">
                  <c:v>51.21</c:v>
                </c:pt>
                <c:pt idx="1524">
                  <c:v>51.12</c:v>
                </c:pt>
                <c:pt idx="1525">
                  <c:v>51.03</c:v>
                </c:pt>
                <c:pt idx="1526">
                  <c:v>50.82</c:v>
                </c:pt>
                <c:pt idx="1527">
                  <c:v>50.82</c:v>
                </c:pt>
                <c:pt idx="1528">
                  <c:v>50.64</c:v>
                </c:pt>
                <c:pt idx="1529">
                  <c:v>50.64</c:v>
                </c:pt>
                <c:pt idx="1530">
                  <c:v>50.58</c:v>
                </c:pt>
                <c:pt idx="1531">
                  <c:v>50.34</c:v>
                </c:pt>
                <c:pt idx="1532">
                  <c:v>50.28</c:v>
                </c:pt>
                <c:pt idx="1533">
                  <c:v>50.31</c:v>
                </c:pt>
                <c:pt idx="1534">
                  <c:v>50.19</c:v>
                </c:pt>
                <c:pt idx="1535">
                  <c:v>50.1</c:v>
                </c:pt>
                <c:pt idx="1536">
                  <c:v>81.06</c:v>
                </c:pt>
                <c:pt idx="1537">
                  <c:v>81.96</c:v>
                </c:pt>
                <c:pt idx="1538">
                  <c:v>82.92</c:v>
                </c:pt>
                <c:pt idx="1539">
                  <c:v>59.61</c:v>
                </c:pt>
                <c:pt idx="1540">
                  <c:v>52.95</c:v>
                </c:pt>
                <c:pt idx="1541">
                  <c:v>52.71</c:v>
                </c:pt>
                <c:pt idx="1542">
                  <c:v>52.59</c:v>
                </c:pt>
                <c:pt idx="1543">
                  <c:v>52.32</c:v>
                </c:pt>
                <c:pt idx="1544">
                  <c:v>52.26</c:v>
                </c:pt>
                <c:pt idx="1545">
                  <c:v>52.17</c:v>
                </c:pt>
                <c:pt idx="1546">
                  <c:v>52.02</c:v>
                </c:pt>
                <c:pt idx="1547">
                  <c:v>51.99</c:v>
                </c:pt>
                <c:pt idx="1548">
                  <c:v>51.75</c:v>
                </c:pt>
                <c:pt idx="1549">
                  <c:v>51.75</c:v>
                </c:pt>
                <c:pt idx="1550">
                  <c:v>51.69</c:v>
                </c:pt>
                <c:pt idx="1551">
                  <c:v>51.63</c:v>
                </c:pt>
                <c:pt idx="1552">
                  <c:v>51.45</c:v>
                </c:pt>
                <c:pt idx="1553">
                  <c:v>51.36</c:v>
                </c:pt>
                <c:pt idx="1554">
                  <c:v>51.3</c:v>
                </c:pt>
                <c:pt idx="1555">
                  <c:v>51.12</c:v>
                </c:pt>
                <c:pt idx="1556">
                  <c:v>51.09</c:v>
                </c:pt>
                <c:pt idx="1557">
                  <c:v>51</c:v>
                </c:pt>
                <c:pt idx="1558">
                  <c:v>51</c:v>
                </c:pt>
                <c:pt idx="1559">
                  <c:v>50.88</c:v>
                </c:pt>
                <c:pt idx="1560">
                  <c:v>50.61</c:v>
                </c:pt>
                <c:pt idx="1561">
                  <c:v>50.55</c:v>
                </c:pt>
                <c:pt idx="1562">
                  <c:v>50.43</c:v>
                </c:pt>
                <c:pt idx="1563">
                  <c:v>50.4</c:v>
                </c:pt>
                <c:pt idx="1564">
                  <c:v>50.43</c:v>
                </c:pt>
                <c:pt idx="1565">
                  <c:v>50.22</c:v>
                </c:pt>
                <c:pt idx="1566">
                  <c:v>50.13</c:v>
                </c:pt>
                <c:pt idx="1567">
                  <c:v>50.01</c:v>
                </c:pt>
                <c:pt idx="1568">
                  <c:v>80.37</c:v>
                </c:pt>
                <c:pt idx="1569">
                  <c:v>82.14</c:v>
                </c:pt>
                <c:pt idx="1570">
                  <c:v>82.71</c:v>
                </c:pt>
                <c:pt idx="1571">
                  <c:v>76.44</c:v>
                </c:pt>
                <c:pt idx="1572">
                  <c:v>52.8</c:v>
                </c:pt>
                <c:pt idx="1573">
                  <c:v>52.71</c:v>
                </c:pt>
                <c:pt idx="1574">
                  <c:v>52.44</c:v>
                </c:pt>
                <c:pt idx="1575">
                  <c:v>52.38</c:v>
                </c:pt>
                <c:pt idx="1576">
                  <c:v>52.2</c:v>
                </c:pt>
                <c:pt idx="1577">
                  <c:v>52.08</c:v>
                </c:pt>
                <c:pt idx="1578">
                  <c:v>52.11</c:v>
                </c:pt>
                <c:pt idx="1579">
                  <c:v>51.99</c:v>
                </c:pt>
                <c:pt idx="1580">
                  <c:v>51.81</c:v>
                </c:pt>
                <c:pt idx="1581">
                  <c:v>51.66</c:v>
                </c:pt>
                <c:pt idx="1582">
                  <c:v>51.54</c:v>
                </c:pt>
                <c:pt idx="1583">
                  <c:v>51.6</c:v>
                </c:pt>
                <c:pt idx="1584">
                  <c:v>51.36</c:v>
                </c:pt>
                <c:pt idx="1585">
                  <c:v>51.39</c:v>
                </c:pt>
                <c:pt idx="1586">
                  <c:v>51.33</c:v>
                </c:pt>
                <c:pt idx="1587">
                  <c:v>51.03</c:v>
                </c:pt>
                <c:pt idx="1588">
                  <c:v>51.12</c:v>
                </c:pt>
                <c:pt idx="1589">
                  <c:v>50.91</c:v>
                </c:pt>
                <c:pt idx="1590">
                  <c:v>50.85</c:v>
                </c:pt>
                <c:pt idx="1591">
                  <c:v>50.91</c:v>
                </c:pt>
                <c:pt idx="1592">
                  <c:v>50.58</c:v>
                </c:pt>
                <c:pt idx="1593">
                  <c:v>50.55</c:v>
                </c:pt>
                <c:pt idx="1594">
                  <c:v>50.55</c:v>
                </c:pt>
                <c:pt idx="1595">
                  <c:v>50.37</c:v>
                </c:pt>
                <c:pt idx="1596">
                  <c:v>50.37</c:v>
                </c:pt>
                <c:pt idx="1597">
                  <c:v>50.13</c:v>
                </c:pt>
                <c:pt idx="1598">
                  <c:v>49.95</c:v>
                </c:pt>
                <c:pt idx="1599">
                  <c:v>55.77</c:v>
                </c:pt>
                <c:pt idx="1600">
                  <c:v>81.75</c:v>
                </c:pt>
                <c:pt idx="1601">
                  <c:v>82.32</c:v>
                </c:pt>
                <c:pt idx="1602">
                  <c:v>83.16</c:v>
                </c:pt>
                <c:pt idx="1603">
                  <c:v>53.07</c:v>
                </c:pt>
                <c:pt idx="1604">
                  <c:v>52.83</c:v>
                </c:pt>
                <c:pt idx="1605">
                  <c:v>52.65</c:v>
                </c:pt>
                <c:pt idx="1606">
                  <c:v>52.44</c:v>
                </c:pt>
                <c:pt idx="1607">
                  <c:v>52.32</c:v>
                </c:pt>
                <c:pt idx="1608">
                  <c:v>52.17</c:v>
                </c:pt>
                <c:pt idx="1609">
                  <c:v>52.17</c:v>
                </c:pt>
                <c:pt idx="1610">
                  <c:v>51.99</c:v>
                </c:pt>
                <c:pt idx="1611">
                  <c:v>51.84</c:v>
                </c:pt>
                <c:pt idx="1612">
                  <c:v>51.69</c:v>
                </c:pt>
                <c:pt idx="1613">
                  <c:v>51.69</c:v>
                </c:pt>
                <c:pt idx="1614">
                  <c:v>51.75</c:v>
                </c:pt>
                <c:pt idx="1615">
                  <c:v>51.45</c:v>
                </c:pt>
                <c:pt idx="1616">
                  <c:v>51.39</c:v>
                </c:pt>
                <c:pt idx="1617">
                  <c:v>51.24</c:v>
                </c:pt>
                <c:pt idx="1618">
                  <c:v>51.24</c:v>
                </c:pt>
                <c:pt idx="1619">
                  <c:v>51.18</c:v>
                </c:pt>
                <c:pt idx="1620">
                  <c:v>50.97</c:v>
                </c:pt>
                <c:pt idx="1621">
                  <c:v>50.79</c:v>
                </c:pt>
                <c:pt idx="1622">
                  <c:v>50.49</c:v>
                </c:pt>
                <c:pt idx="1623">
                  <c:v>49.95</c:v>
                </c:pt>
                <c:pt idx="1624">
                  <c:v>70.739999999999995</c:v>
                </c:pt>
                <c:pt idx="1625">
                  <c:v>82.05</c:v>
                </c:pt>
                <c:pt idx="1626">
                  <c:v>83.07</c:v>
                </c:pt>
                <c:pt idx="1627">
                  <c:v>81.66</c:v>
                </c:pt>
                <c:pt idx="1628">
                  <c:v>52.98</c:v>
                </c:pt>
                <c:pt idx="1629">
                  <c:v>52.71</c:v>
                </c:pt>
                <c:pt idx="1630">
                  <c:v>52.68</c:v>
                </c:pt>
                <c:pt idx="1631">
                  <c:v>52.53</c:v>
                </c:pt>
                <c:pt idx="1632">
                  <c:v>52.41</c:v>
                </c:pt>
                <c:pt idx="1633">
                  <c:v>52.26</c:v>
                </c:pt>
                <c:pt idx="1634">
                  <c:v>52.23</c:v>
                </c:pt>
                <c:pt idx="1635">
                  <c:v>52.26</c:v>
                </c:pt>
                <c:pt idx="1636">
                  <c:v>52.11</c:v>
                </c:pt>
                <c:pt idx="1637">
                  <c:v>51.75</c:v>
                </c:pt>
                <c:pt idx="1638">
                  <c:v>51.84</c:v>
                </c:pt>
                <c:pt idx="1639">
                  <c:v>51.69</c:v>
                </c:pt>
                <c:pt idx="1640">
                  <c:v>51.75</c:v>
                </c:pt>
                <c:pt idx="1641">
                  <c:v>51.54</c:v>
                </c:pt>
                <c:pt idx="1642">
                  <c:v>51.6</c:v>
                </c:pt>
                <c:pt idx="1643">
                  <c:v>51.42</c:v>
                </c:pt>
                <c:pt idx="1644">
                  <c:v>51.36</c:v>
                </c:pt>
                <c:pt idx="1645">
                  <c:v>51.24</c:v>
                </c:pt>
                <c:pt idx="1646">
                  <c:v>51.24</c:v>
                </c:pt>
                <c:pt idx="1647">
                  <c:v>51.18</c:v>
                </c:pt>
                <c:pt idx="1648">
                  <c:v>51.09</c:v>
                </c:pt>
                <c:pt idx="1649">
                  <c:v>50.88</c:v>
                </c:pt>
                <c:pt idx="1650">
                  <c:v>50.94</c:v>
                </c:pt>
                <c:pt idx="1651">
                  <c:v>50.85</c:v>
                </c:pt>
                <c:pt idx="1652">
                  <c:v>50.79</c:v>
                </c:pt>
                <c:pt idx="1653">
                  <c:v>50.64</c:v>
                </c:pt>
                <c:pt idx="1654">
                  <c:v>50.58</c:v>
                </c:pt>
                <c:pt idx="1655">
                  <c:v>50.58</c:v>
                </c:pt>
                <c:pt idx="1656">
                  <c:v>50.4</c:v>
                </c:pt>
                <c:pt idx="1657">
                  <c:v>50.34</c:v>
                </c:pt>
                <c:pt idx="1658">
                  <c:v>50.25</c:v>
                </c:pt>
                <c:pt idx="1659">
                  <c:v>50.16</c:v>
                </c:pt>
                <c:pt idx="1660">
                  <c:v>50.19</c:v>
                </c:pt>
                <c:pt idx="1661">
                  <c:v>58.17</c:v>
                </c:pt>
                <c:pt idx="1662">
                  <c:v>81.75</c:v>
                </c:pt>
                <c:pt idx="1663">
                  <c:v>82.35</c:v>
                </c:pt>
                <c:pt idx="1664">
                  <c:v>83.28</c:v>
                </c:pt>
                <c:pt idx="1665">
                  <c:v>53.28</c:v>
                </c:pt>
                <c:pt idx="1666">
                  <c:v>52.8</c:v>
                </c:pt>
                <c:pt idx="1667">
                  <c:v>52.59</c:v>
                </c:pt>
                <c:pt idx="1668">
                  <c:v>52.53</c:v>
                </c:pt>
                <c:pt idx="1669">
                  <c:v>52.38</c:v>
                </c:pt>
                <c:pt idx="1670">
                  <c:v>52.26</c:v>
                </c:pt>
                <c:pt idx="1671">
                  <c:v>52.2</c:v>
                </c:pt>
                <c:pt idx="1672">
                  <c:v>52.05</c:v>
                </c:pt>
                <c:pt idx="1673">
                  <c:v>52.08</c:v>
                </c:pt>
                <c:pt idx="1674">
                  <c:v>51.99</c:v>
                </c:pt>
                <c:pt idx="1675">
                  <c:v>51.84</c:v>
                </c:pt>
                <c:pt idx="1676">
                  <c:v>51.78</c:v>
                </c:pt>
                <c:pt idx="1677">
                  <c:v>51.72</c:v>
                </c:pt>
                <c:pt idx="1678">
                  <c:v>51.66</c:v>
                </c:pt>
                <c:pt idx="1679">
                  <c:v>51.57</c:v>
                </c:pt>
                <c:pt idx="1680">
                  <c:v>51.45</c:v>
                </c:pt>
                <c:pt idx="1681">
                  <c:v>51.54</c:v>
                </c:pt>
                <c:pt idx="1682">
                  <c:v>51.39</c:v>
                </c:pt>
                <c:pt idx="1683">
                  <c:v>51.39</c:v>
                </c:pt>
                <c:pt idx="1684">
                  <c:v>51.27</c:v>
                </c:pt>
                <c:pt idx="1685">
                  <c:v>51.03</c:v>
                </c:pt>
                <c:pt idx="1686">
                  <c:v>51.09</c:v>
                </c:pt>
                <c:pt idx="1687">
                  <c:v>50.88</c:v>
                </c:pt>
                <c:pt idx="1688">
                  <c:v>50.88</c:v>
                </c:pt>
                <c:pt idx="1689">
                  <c:v>50.94</c:v>
                </c:pt>
                <c:pt idx="1690">
                  <c:v>50.85</c:v>
                </c:pt>
                <c:pt idx="1691">
                  <c:v>50.73</c:v>
                </c:pt>
                <c:pt idx="1692">
                  <c:v>50.7</c:v>
                </c:pt>
                <c:pt idx="1693">
                  <c:v>50.67</c:v>
                </c:pt>
                <c:pt idx="1694">
                  <c:v>50.46</c:v>
                </c:pt>
                <c:pt idx="1695">
                  <c:v>50.52</c:v>
                </c:pt>
                <c:pt idx="1696">
                  <c:v>50.43</c:v>
                </c:pt>
                <c:pt idx="1697">
                  <c:v>50.4</c:v>
                </c:pt>
                <c:pt idx="1698">
                  <c:v>50.25</c:v>
                </c:pt>
                <c:pt idx="1699">
                  <c:v>50.19</c:v>
                </c:pt>
                <c:pt idx="1700">
                  <c:v>50.1</c:v>
                </c:pt>
                <c:pt idx="1701">
                  <c:v>50.07</c:v>
                </c:pt>
                <c:pt idx="1702">
                  <c:v>80.459999999999994</c:v>
                </c:pt>
                <c:pt idx="1703">
                  <c:v>82.23</c:v>
                </c:pt>
                <c:pt idx="1704">
                  <c:v>82.68</c:v>
                </c:pt>
                <c:pt idx="1705">
                  <c:v>75.239999999999995</c:v>
                </c:pt>
                <c:pt idx="1706">
                  <c:v>52.74</c:v>
                </c:pt>
                <c:pt idx="1707">
                  <c:v>52.8</c:v>
                </c:pt>
                <c:pt idx="1708">
                  <c:v>52.62</c:v>
                </c:pt>
                <c:pt idx="1709">
                  <c:v>52.68</c:v>
                </c:pt>
                <c:pt idx="1710">
                  <c:v>52.53</c:v>
                </c:pt>
                <c:pt idx="1711">
                  <c:v>52.38</c:v>
                </c:pt>
                <c:pt idx="1712">
                  <c:v>52.23</c:v>
                </c:pt>
                <c:pt idx="1713">
                  <c:v>52.11</c:v>
                </c:pt>
                <c:pt idx="1714">
                  <c:v>52.11</c:v>
                </c:pt>
                <c:pt idx="1715">
                  <c:v>51.93</c:v>
                </c:pt>
                <c:pt idx="1716">
                  <c:v>51.99</c:v>
                </c:pt>
                <c:pt idx="1717">
                  <c:v>51.9</c:v>
                </c:pt>
                <c:pt idx="1718">
                  <c:v>51.69</c:v>
                </c:pt>
                <c:pt idx="1719">
                  <c:v>51.6</c:v>
                </c:pt>
                <c:pt idx="1720">
                  <c:v>51.6</c:v>
                </c:pt>
                <c:pt idx="1721">
                  <c:v>51.63</c:v>
                </c:pt>
                <c:pt idx="1722">
                  <c:v>51.42</c:v>
                </c:pt>
                <c:pt idx="1723">
                  <c:v>51.39</c:v>
                </c:pt>
                <c:pt idx="1724">
                  <c:v>51.27</c:v>
                </c:pt>
                <c:pt idx="1725">
                  <c:v>51.33</c:v>
                </c:pt>
                <c:pt idx="1726">
                  <c:v>51.15</c:v>
                </c:pt>
                <c:pt idx="1727">
                  <c:v>51.15</c:v>
                </c:pt>
                <c:pt idx="1728">
                  <c:v>51.06</c:v>
                </c:pt>
                <c:pt idx="1729">
                  <c:v>50.91</c:v>
                </c:pt>
                <c:pt idx="1730">
                  <c:v>50.91</c:v>
                </c:pt>
                <c:pt idx="1731">
                  <c:v>50.91</c:v>
                </c:pt>
                <c:pt idx="1732">
                  <c:v>50.79</c:v>
                </c:pt>
                <c:pt idx="1733">
                  <c:v>50.67</c:v>
                </c:pt>
                <c:pt idx="1734">
                  <c:v>50.61</c:v>
                </c:pt>
                <c:pt idx="1735">
                  <c:v>50.61</c:v>
                </c:pt>
                <c:pt idx="1736">
                  <c:v>50.52</c:v>
                </c:pt>
                <c:pt idx="1737">
                  <c:v>50.55</c:v>
                </c:pt>
                <c:pt idx="1738">
                  <c:v>50.34</c:v>
                </c:pt>
                <c:pt idx="1739">
                  <c:v>50.31</c:v>
                </c:pt>
                <c:pt idx="1740">
                  <c:v>50.25</c:v>
                </c:pt>
                <c:pt idx="1741">
                  <c:v>50.22</c:v>
                </c:pt>
                <c:pt idx="1742">
                  <c:v>50.1</c:v>
                </c:pt>
                <c:pt idx="1743">
                  <c:v>53.82</c:v>
                </c:pt>
                <c:pt idx="1744">
                  <c:v>81.69</c:v>
                </c:pt>
                <c:pt idx="1745">
                  <c:v>82.35</c:v>
                </c:pt>
                <c:pt idx="1746">
                  <c:v>83.28</c:v>
                </c:pt>
                <c:pt idx="1747">
                  <c:v>53.13</c:v>
                </c:pt>
                <c:pt idx="1748">
                  <c:v>52.86</c:v>
                </c:pt>
                <c:pt idx="1749">
                  <c:v>52.77</c:v>
                </c:pt>
                <c:pt idx="1750">
                  <c:v>52.62</c:v>
                </c:pt>
                <c:pt idx="1751">
                  <c:v>52.53</c:v>
                </c:pt>
                <c:pt idx="1752">
                  <c:v>52.44</c:v>
                </c:pt>
                <c:pt idx="1753">
                  <c:v>52.44</c:v>
                </c:pt>
                <c:pt idx="1754">
                  <c:v>52.29</c:v>
                </c:pt>
                <c:pt idx="1755">
                  <c:v>52.23</c:v>
                </c:pt>
                <c:pt idx="1756">
                  <c:v>52.17</c:v>
                </c:pt>
                <c:pt idx="1757">
                  <c:v>52.11</c:v>
                </c:pt>
                <c:pt idx="1758">
                  <c:v>52.08</c:v>
                </c:pt>
                <c:pt idx="1759">
                  <c:v>52.08</c:v>
                </c:pt>
                <c:pt idx="1760">
                  <c:v>51.93</c:v>
                </c:pt>
                <c:pt idx="1761">
                  <c:v>51.96</c:v>
                </c:pt>
                <c:pt idx="1762">
                  <c:v>51.84</c:v>
                </c:pt>
                <c:pt idx="1763">
                  <c:v>51.9</c:v>
                </c:pt>
                <c:pt idx="1764">
                  <c:v>51.75</c:v>
                </c:pt>
                <c:pt idx="1765">
                  <c:v>51.57</c:v>
                </c:pt>
                <c:pt idx="1766">
                  <c:v>51.69</c:v>
                </c:pt>
                <c:pt idx="1767">
                  <c:v>51.6</c:v>
                </c:pt>
                <c:pt idx="1768">
                  <c:v>51.63</c:v>
                </c:pt>
                <c:pt idx="1769">
                  <c:v>51.39</c:v>
                </c:pt>
                <c:pt idx="1770">
                  <c:v>51.27</c:v>
                </c:pt>
                <c:pt idx="1771">
                  <c:v>51.36</c:v>
                </c:pt>
                <c:pt idx="1772">
                  <c:v>51.3</c:v>
                </c:pt>
                <c:pt idx="1773">
                  <c:v>51.12</c:v>
                </c:pt>
                <c:pt idx="1774">
                  <c:v>51.06</c:v>
                </c:pt>
                <c:pt idx="1775">
                  <c:v>51</c:v>
                </c:pt>
                <c:pt idx="1776">
                  <c:v>50.85</c:v>
                </c:pt>
                <c:pt idx="1777">
                  <c:v>50.76</c:v>
                </c:pt>
                <c:pt idx="1778">
                  <c:v>50.67</c:v>
                </c:pt>
                <c:pt idx="1779">
                  <c:v>50.37</c:v>
                </c:pt>
                <c:pt idx="1780">
                  <c:v>50.25</c:v>
                </c:pt>
                <c:pt idx="1781">
                  <c:v>50.25</c:v>
                </c:pt>
                <c:pt idx="1782">
                  <c:v>57.75</c:v>
                </c:pt>
                <c:pt idx="1783">
                  <c:v>81.78</c:v>
                </c:pt>
                <c:pt idx="1784">
                  <c:v>82.32</c:v>
                </c:pt>
                <c:pt idx="1785">
                  <c:v>83.13</c:v>
                </c:pt>
                <c:pt idx="1786">
                  <c:v>52.86</c:v>
                </c:pt>
                <c:pt idx="1787">
                  <c:v>52.5</c:v>
                </c:pt>
                <c:pt idx="1788">
                  <c:v>52.29</c:v>
                </c:pt>
                <c:pt idx="1789">
                  <c:v>52.17</c:v>
                </c:pt>
                <c:pt idx="1790">
                  <c:v>51.99</c:v>
                </c:pt>
                <c:pt idx="1791">
                  <c:v>51.69</c:v>
                </c:pt>
                <c:pt idx="1792">
                  <c:v>51.69</c:v>
                </c:pt>
                <c:pt idx="1793">
                  <c:v>51.54</c:v>
                </c:pt>
                <c:pt idx="1794">
                  <c:v>51.42</c:v>
                </c:pt>
                <c:pt idx="1795">
                  <c:v>51.21</c:v>
                </c:pt>
                <c:pt idx="1796">
                  <c:v>51</c:v>
                </c:pt>
                <c:pt idx="1797">
                  <c:v>50.97</c:v>
                </c:pt>
                <c:pt idx="1798">
                  <c:v>50.76</c:v>
                </c:pt>
                <c:pt idx="1799">
                  <c:v>50.67</c:v>
                </c:pt>
                <c:pt idx="1800">
                  <c:v>50.55</c:v>
                </c:pt>
                <c:pt idx="1801">
                  <c:v>50.4</c:v>
                </c:pt>
                <c:pt idx="1802">
                  <c:v>50.34</c:v>
                </c:pt>
                <c:pt idx="1803">
                  <c:v>50.07</c:v>
                </c:pt>
                <c:pt idx="1804">
                  <c:v>81.209999999999994</c:v>
                </c:pt>
                <c:pt idx="1805">
                  <c:v>81.96</c:v>
                </c:pt>
                <c:pt idx="1806">
                  <c:v>82.92</c:v>
                </c:pt>
                <c:pt idx="1807">
                  <c:v>82.11</c:v>
                </c:pt>
                <c:pt idx="1808">
                  <c:v>52.62</c:v>
                </c:pt>
                <c:pt idx="1809">
                  <c:v>52.35</c:v>
                </c:pt>
                <c:pt idx="1810">
                  <c:v>52.26</c:v>
                </c:pt>
                <c:pt idx="1811">
                  <c:v>51.93</c:v>
                </c:pt>
                <c:pt idx="1812">
                  <c:v>51.99</c:v>
                </c:pt>
                <c:pt idx="1813">
                  <c:v>51.63</c:v>
                </c:pt>
                <c:pt idx="1814">
                  <c:v>51.54</c:v>
                </c:pt>
                <c:pt idx="1815">
                  <c:v>51.51</c:v>
                </c:pt>
                <c:pt idx="1816">
                  <c:v>51.39</c:v>
                </c:pt>
                <c:pt idx="1817">
                  <c:v>51.12</c:v>
                </c:pt>
                <c:pt idx="1818">
                  <c:v>51</c:v>
                </c:pt>
                <c:pt idx="1819">
                  <c:v>50.82</c:v>
                </c:pt>
                <c:pt idx="1820">
                  <c:v>50.7</c:v>
                </c:pt>
                <c:pt idx="1821">
                  <c:v>50.67</c:v>
                </c:pt>
                <c:pt idx="1822">
                  <c:v>50.43</c:v>
                </c:pt>
                <c:pt idx="1823">
                  <c:v>50.34</c:v>
                </c:pt>
                <c:pt idx="1824">
                  <c:v>50.07</c:v>
                </c:pt>
                <c:pt idx="1825">
                  <c:v>50.19</c:v>
                </c:pt>
                <c:pt idx="1826">
                  <c:v>81.540000000000006</c:v>
                </c:pt>
                <c:pt idx="1827">
                  <c:v>82.59</c:v>
                </c:pt>
                <c:pt idx="1828">
                  <c:v>83.1</c:v>
                </c:pt>
                <c:pt idx="1829">
                  <c:v>52.92</c:v>
                </c:pt>
                <c:pt idx="1830">
                  <c:v>52.68</c:v>
                </c:pt>
                <c:pt idx="1831">
                  <c:v>52.44</c:v>
                </c:pt>
                <c:pt idx="1832">
                  <c:v>52.23</c:v>
                </c:pt>
                <c:pt idx="1833">
                  <c:v>52.17</c:v>
                </c:pt>
                <c:pt idx="1834">
                  <c:v>51.84</c:v>
                </c:pt>
                <c:pt idx="1835">
                  <c:v>51.9</c:v>
                </c:pt>
                <c:pt idx="1836">
                  <c:v>51.78</c:v>
                </c:pt>
                <c:pt idx="1837">
                  <c:v>51.51</c:v>
                </c:pt>
                <c:pt idx="1838">
                  <c:v>51.42</c:v>
                </c:pt>
                <c:pt idx="1839">
                  <c:v>51.21</c:v>
                </c:pt>
                <c:pt idx="1840">
                  <c:v>51.21</c:v>
                </c:pt>
                <c:pt idx="1841">
                  <c:v>50.97</c:v>
                </c:pt>
                <c:pt idx="1842">
                  <c:v>50.82</c:v>
                </c:pt>
                <c:pt idx="1843">
                  <c:v>50.73</c:v>
                </c:pt>
                <c:pt idx="1844">
                  <c:v>50.55</c:v>
                </c:pt>
                <c:pt idx="1845">
                  <c:v>50.43</c:v>
                </c:pt>
                <c:pt idx="1846">
                  <c:v>50.46</c:v>
                </c:pt>
                <c:pt idx="1847">
                  <c:v>50.19</c:v>
                </c:pt>
                <c:pt idx="1848">
                  <c:v>50.13</c:v>
                </c:pt>
                <c:pt idx="1849">
                  <c:v>80.58</c:v>
                </c:pt>
                <c:pt idx="1850">
                  <c:v>82.26</c:v>
                </c:pt>
                <c:pt idx="1851">
                  <c:v>82.74</c:v>
                </c:pt>
                <c:pt idx="1852">
                  <c:v>71.52</c:v>
                </c:pt>
                <c:pt idx="1853">
                  <c:v>52.95</c:v>
                </c:pt>
                <c:pt idx="1854">
                  <c:v>52.56</c:v>
                </c:pt>
                <c:pt idx="1855">
                  <c:v>52.23</c:v>
                </c:pt>
                <c:pt idx="1856">
                  <c:v>52.29</c:v>
                </c:pt>
                <c:pt idx="1857">
                  <c:v>51.99</c:v>
                </c:pt>
                <c:pt idx="1858">
                  <c:v>51.75</c:v>
                </c:pt>
                <c:pt idx="1859">
                  <c:v>51.75</c:v>
                </c:pt>
                <c:pt idx="1860">
                  <c:v>51.6</c:v>
                </c:pt>
                <c:pt idx="1861">
                  <c:v>51.51</c:v>
                </c:pt>
                <c:pt idx="1862">
                  <c:v>51.27</c:v>
                </c:pt>
                <c:pt idx="1863">
                  <c:v>51</c:v>
                </c:pt>
                <c:pt idx="1864">
                  <c:v>51.03</c:v>
                </c:pt>
                <c:pt idx="1865">
                  <c:v>50.88</c:v>
                </c:pt>
                <c:pt idx="1866">
                  <c:v>50.82</c:v>
                </c:pt>
                <c:pt idx="1867">
                  <c:v>50.7</c:v>
                </c:pt>
                <c:pt idx="1868">
                  <c:v>50.43</c:v>
                </c:pt>
                <c:pt idx="1869">
                  <c:v>50.31</c:v>
                </c:pt>
                <c:pt idx="1870">
                  <c:v>50.22</c:v>
                </c:pt>
                <c:pt idx="1871">
                  <c:v>50.01</c:v>
                </c:pt>
                <c:pt idx="1872">
                  <c:v>57.78</c:v>
                </c:pt>
                <c:pt idx="1873">
                  <c:v>81.69</c:v>
                </c:pt>
                <c:pt idx="1874">
                  <c:v>82.29</c:v>
                </c:pt>
                <c:pt idx="1875">
                  <c:v>83.04</c:v>
                </c:pt>
                <c:pt idx="1876">
                  <c:v>52.86</c:v>
                </c:pt>
                <c:pt idx="1877">
                  <c:v>52.62</c:v>
                </c:pt>
                <c:pt idx="1878">
                  <c:v>52.29</c:v>
                </c:pt>
                <c:pt idx="1879">
                  <c:v>52.17</c:v>
                </c:pt>
                <c:pt idx="1880">
                  <c:v>52.05</c:v>
                </c:pt>
                <c:pt idx="1881">
                  <c:v>51.78</c:v>
                </c:pt>
                <c:pt idx="1882">
                  <c:v>51.66</c:v>
                </c:pt>
                <c:pt idx="1883">
                  <c:v>51.51</c:v>
                </c:pt>
                <c:pt idx="1884">
                  <c:v>51.42</c:v>
                </c:pt>
                <c:pt idx="1885">
                  <c:v>51.27</c:v>
                </c:pt>
                <c:pt idx="1886">
                  <c:v>51.12</c:v>
                </c:pt>
                <c:pt idx="1887">
                  <c:v>51.03</c:v>
                </c:pt>
                <c:pt idx="1888">
                  <c:v>50.82</c:v>
                </c:pt>
                <c:pt idx="1889">
                  <c:v>50.79</c:v>
                </c:pt>
                <c:pt idx="1890">
                  <c:v>50.61</c:v>
                </c:pt>
                <c:pt idx="1891">
                  <c:v>50.52</c:v>
                </c:pt>
                <c:pt idx="1892">
                  <c:v>50.43</c:v>
                </c:pt>
                <c:pt idx="1893">
                  <c:v>50.19</c:v>
                </c:pt>
                <c:pt idx="1894">
                  <c:v>50.13</c:v>
                </c:pt>
                <c:pt idx="1895">
                  <c:v>49.98</c:v>
                </c:pt>
                <c:pt idx="1896">
                  <c:v>80.819999999999993</c:v>
                </c:pt>
                <c:pt idx="1897">
                  <c:v>81.84</c:v>
                </c:pt>
                <c:pt idx="1898">
                  <c:v>82.77</c:v>
                </c:pt>
                <c:pt idx="1899">
                  <c:v>63.42</c:v>
                </c:pt>
                <c:pt idx="1900">
                  <c:v>52.8</c:v>
                </c:pt>
                <c:pt idx="1901">
                  <c:v>52.44</c:v>
                </c:pt>
                <c:pt idx="1902">
                  <c:v>52.38</c:v>
                </c:pt>
                <c:pt idx="1903">
                  <c:v>52.17</c:v>
                </c:pt>
                <c:pt idx="1904">
                  <c:v>51.9</c:v>
                </c:pt>
                <c:pt idx="1905">
                  <c:v>51.81</c:v>
                </c:pt>
                <c:pt idx="1906">
                  <c:v>51.54</c:v>
                </c:pt>
                <c:pt idx="1907">
                  <c:v>51.6</c:v>
                </c:pt>
                <c:pt idx="1908">
                  <c:v>51.42</c:v>
                </c:pt>
                <c:pt idx="1909">
                  <c:v>51.21</c:v>
                </c:pt>
                <c:pt idx="1910">
                  <c:v>51.12</c:v>
                </c:pt>
                <c:pt idx="1911">
                  <c:v>51.03</c:v>
                </c:pt>
                <c:pt idx="1912">
                  <c:v>50.88</c:v>
                </c:pt>
                <c:pt idx="1913">
                  <c:v>50.88</c:v>
                </c:pt>
                <c:pt idx="1914">
                  <c:v>50.79</c:v>
                </c:pt>
                <c:pt idx="1915">
                  <c:v>50.64</c:v>
                </c:pt>
                <c:pt idx="1916">
                  <c:v>50.49</c:v>
                </c:pt>
                <c:pt idx="1917">
                  <c:v>50.46</c:v>
                </c:pt>
                <c:pt idx="1918">
                  <c:v>50.28</c:v>
                </c:pt>
                <c:pt idx="1919">
                  <c:v>63.84</c:v>
                </c:pt>
                <c:pt idx="1920">
                  <c:v>80.760000000000005</c:v>
                </c:pt>
                <c:pt idx="1921">
                  <c:v>82.2</c:v>
                </c:pt>
                <c:pt idx="1922">
                  <c:v>83.07</c:v>
                </c:pt>
                <c:pt idx="1923">
                  <c:v>82.02</c:v>
                </c:pt>
                <c:pt idx="1924">
                  <c:v>52.92</c:v>
                </c:pt>
                <c:pt idx="1925">
                  <c:v>52.8</c:v>
                </c:pt>
                <c:pt idx="1926">
                  <c:v>52.56</c:v>
                </c:pt>
                <c:pt idx="1927">
                  <c:v>52.44</c:v>
                </c:pt>
                <c:pt idx="1928">
                  <c:v>52.47</c:v>
                </c:pt>
                <c:pt idx="1929">
                  <c:v>52.32</c:v>
                </c:pt>
                <c:pt idx="1930">
                  <c:v>51.99</c:v>
                </c:pt>
                <c:pt idx="1931">
                  <c:v>52.17</c:v>
                </c:pt>
                <c:pt idx="1932">
                  <c:v>52.08</c:v>
                </c:pt>
                <c:pt idx="1933">
                  <c:v>51.9</c:v>
                </c:pt>
                <c:pt idx="1934">
                  <c:v>51.81</c:v>
                </c:pt>
                <c:pt idx="1935">
                  <c:v>51.54</c:v>
                </c:pt>
                <c:pt idx="1936">
                  <c:v>51.69</c:v>
                </c:pt>
                <c:pt idx="1937">
                  <c:v>51.54</c:v>
                </c:pt>
                <c:pt idx="1938">
                  <c:v>51.48</c:v>
                </c:pt>
                <c:pt idx="1939">
                  <c:v>51.33</c:v>
                </c:pt>
                <c:pt idx="1940">
                  <c:v>51.33</c:v>
                </c:pt>
                <c:pt idx="1941">
                  <c:v>51.24</c:v>
                </c:pt>
                <c:pt idx="1942">
                  <c:v>51.12</c:v>
                </c:pt>
                <c:pt idx="1943">
                  <c:v>51</c:v>
                </c:pt>
                <c:pt idx="1944">
                  <c:v>51.12</c:v>
                </c:pt>
                <c:pt idx="1945">
                  <c:v>50.94</c:v>
                </c:pt>
                <c:pt idx="1946">
                  <c:v>50.85</c:v>
                </c:pt>
                <c:pt idx="1947">
                  <c:v>50.67</c:v>
                </c:pt>
                <c:pt idx="1948">
                  <c:v>50.7</c:v>
                </c:pt>
                <c:pt idx="1949">
                  <c:v>50.64</c:v>
                </c:pt>
                <c:pt idx="1950">
                  <c:v>50.55</c:v>
                </c:pt>
                <c:pt idx="1951">
                  <c:v>50.49</c:v>
                </c:pt>
                <c:pt idx="1952">
                  <c:v>50.4</c:v>
                </c:pt>
                <c:pt idx="1953">
                  <c:v>50.31</c:v>
                </c:pt>
                <c:pt idx="1954">
                  <c:v>50.13</c:v>
                </c:pt>
                <c:pt idx="1955">
                  <c:v>50.07</c:v>
                </c:pt>
                <c:pt idx="1956">
                  <c:v>50.07</c:v>
                </c:pt>
                <c:pt idx="1957">
                  <c:v>80.489999999999995</c:v>
                </c:pt>
                <c:pt idx="1958">
                  <c:v>82.26</c:v>
                </c:pt>
                <c:pt idx="1959">
                  <c:v>82.77</c:v>
                </c:pt>
                <c:pt idx="1960">
                  <c:v>73.05</c:v>
                </c:pt>
                <c:pt idx="1961">
                  <c:v>53.19</c:v>
                </c:pt>
                <c:pt idx="1962">
                  <c:v>52.56</c:v>
                </c:pt>
                <c:pt idx="1963">
                  <c:v>52.44</c:v>
                </c:pt>
                <c:pt idx="1964">
                  <c:v>52.53</c:v>
                </c:pt>
                <c:pt idx="1965">
                  <c:v>52.38</c:v>
                </c:pt>
                <c:pt idx="1966">
                  <c:v>52.14</c:v>
                </c:pt>
                <c:pt idx="1967">
                  <c:v>52.26</c:v>
                </c:pt>
                <c:pt idx="1968">
                  <c:v>52.11</c:v>
                </c:pt>
                <c:pt idx="1969">
                  <c:v>51.96</c:v>
                </c:pt>
                <c:pt idx="1970">
                  <c:v>51.9</c:v>
                </c:pt>
                <c:pt idx="1971">
                  <c:v>51.72</c:v>
                </c:pt>
                <c:pt idx="1972">
                  <c:v>51.66</c:v>
                </c:pt>
                <c:pt idx="1973">
                  <c:v>51.63</c:v>
                </c:pt>
                <c:pt idx="1974">
                  <c:v>51.57</c:v>
                </c:pt>
                <c:pt idx="1975">
                  <c:v>51.57</c:v>
                </c:pt>
                <c:pt idx="1976">
                  <c:v>51.42</c:v>
                </c:pt>
                <c:pt idx="1977">
                  <c:v>51.33</c:v>
                </c:pt>
                <c:pt idx="1978">
                  <c:v>51.24</c:v>
                </c:pt>
                <c:pt idx="1979">
                  <c:v>51.18</c:v>
                </c:pt>
                <c:pt idx="1980">
                  <c:v>51.18</c:v>
                </c:pt>
                <c:pt idx="1981">
                  <c:v>51.03</c:v>
                </c:pt>
                <c:pt idx="1982">
                  <c:v>51.03</c:v>
                </c:pt>
                <c:pt idx="1983">
                  <c:v>50.91</c:v>
                </c:pt>
                <c:pt idx="1984">
                  <c:v>50.85</c:v>
                </c:pt>
                <c:pt idx="1985">
                  <c:v>50.76</c:v>
                </c:pt>
                <c:pt idx="1986">
                  <c:v>50.7</c:v>
                </c:pt>
                <c:pt idx="1987">
                  <c:v>50.55</c:v>
                </c:pt>
                <c:pt idx="1988">
                  <c:v>50.64</c:v>
                </c:pt>
                <c:pt idx="1989">
                  <c:v>50.46</c:v>
                </c:pt>
                <c:pt idx="1990">
                  <c:v>50.52</c:v>
                </c:pt>
                <c:pt idx="1991">
                  <c:v>50.19</c:v>
                </c:pt>
                <c:pt idx="1992">
                  <c:v>50.34</c:v>
                </c:pt>
                <c:pt idx="1993">
                  <c:v>50.16</c:v>
                </c:pt>
                <c:pt idx="1994">
                  <c:v>50.13</c:v>
                </c:pt>
                <c:pt idx="1995">
                  <c:v>50.13</c:v>
                </c:pt>
                <c:pt idx="1996">
                  <c:v>62.55</c:v>
                </c:pt>
                <c:pt idx="1997">
                  <c:v>81.06</c:v>
                </c:pt>
                <c:pt idx="1998">
                  <c:v>82.56</c:v>
                </c:pt>
                <c:pt idx="1999">
                  <c:v>83.19</c:v>
                </c:pt>
                <c:pt idx="2000">
                  <c:v>62.91</c:v>
                </c:pt>
                <c:pt idx="2001">
                  <c:v>52.86</c:v>
                </c:pt>
                <c:pt idx="2002">
                  <c:v>52.68</c:v>
                </c:pt>
                <c:pt idx="2003">
                  <c:v>52.68</c:v>
                </c:pt>
                <c:pt idx="2004">
                  <c:v>52.59</c:v>
                </c:pt>
                <c:pt idx="2005">
                  <c:v>52.5</c:v>
                </c:pt>
                <c:pt idx="2006">
                  <c:v>52.35</c:v>
                </c:pt>
                <c:pt idx="2007">
                  <c:v>52.05</c:v>
                </c:pt>
                <c:pt idx="2008">
                  <c:v>52.05</c:v>
                </c:pt>
                <c:pt idx="2009">
                  <c:v>51.99</c:v>
                </c:pt>
                <c:pt idx="2010">
                  <c:v>52.08</c:v>
                </c:pt>
                <c:pt idx="2011">
                  <c:v>51.99</c:v>
                </c:pt>
                <c:pt idx="2012">
                  <c:v>51.75</c:v>
                </c:pt>
                <c:pt idx="2013">
                  <c:v>51.72</c:v>
                </c:pt>
                <c:pt idx="2014">
                  <c:v>51.54</c:v>
                </c:pt>
                <c:pt idx="2015">
                  <c:v>51.69</c:v>
                </c:pt>
                <c:pt idx="2016">
                  <c:v>51.54</c:v>
                </c:pt>
                <c:pt idx="2017">
                  <c:v>51.42</c:v>
                </c:pt>
                <c:pt idx="2018">
                  <c:v>51.3</c:v>
                </c:pt>
                <c:pt idx="2019">
                  <c:v>51.21</c:v>
                </c:pt>
                <c:pt idx="2020">
                  <c:v>51.24</c:v>
                </c:pt>
                <c:pt idx="2021">
                  <c:v>51.09</c:v>
                </c:pt>
                <c:pt idx="2022">
                  <c:v>51</c:v>
                </c:pt>
                <c:pt idx="2023">
                  <c:v>50.85</c:v>
                </c:pt>
                <c:pt idx="2024">
                  <c:v>50.91</c:v>
                </c:pt>
                <c:pt idx="2025">
                  <c:v>50.88</c:v>
                </c:pt>
                <c:pt idx="2026">
                  <c:v>50.73</c:v>
                </c:pt>
                <c:pt idx="2027">
                  <c:v>50.73</c:v>
                </c:pt>
                <c:pt idx="2028">
                  <c:v>50.73</c:v>
                </c:pt>
                <c:pt idx="2029">
                  <c:v>50.55</c:v>
                </c:pt>
                <c:pt idx="2030">
                  <c:v>50.49</c:v>
                </c:pt>
                <c:pt idx="2031">
                  <c:v>50.58</c:v>
                </c:pt>
                <c:pt idx="2032">
                  <c:v>50.4</c:v>
                </c:pt>
                <c:pt idx="2033">
                  <c:v>50.34</c:v>
                </c:pt>
                <c:pt idx="2034">
                  <c:v>50.25</c:v>
                </c:pt>
                <c:pt idx="2035">
                  <c:v>50.1</c:v>
                </c:pt>
                <c:pt idx="2036">
                  <c:v>50.13</c:v>
                </c:pt>
                <c:pt idx="2037">
                  <c:v>50.07</c:v>
                </c:pt>
                <c:pt idx="2038">
                  <c:v>81.09</c:v>
                </c:pt>
                <c:pt idx="2039">
                  <c:v>81.87</c:v>
                </c:pt>
                <c:pt idx="2040">
                  <c:v>82.92</c:v>
                </c:pt>
                <c:pt idx="2041">
                  <c:v>83.01</c:v>
                </c:pt>
                <c:pt idx="2042">
                  <c:v>53.1</c:v>
                </c:pt>
                <c:pt idx="2043">
                  <c:v>52.77</c:v>
                </c:pt>
                <c:pt idx="2044">
                  <c:v>52.74</c:v>
                </c:pt>
                <c:pt idx="2045">
                  <c:v>52.59</c:v>
                </c:pt>
                <c:pt idx="2046">
                  <c:v>52.47</c:v>
                </c:pt>
                <c:pt idx="2047">
                  <c:v>52.53</c:v>
                </c:pt>
                <c:pt idx="2048">
                  <c:v>52.35</c:v>
                </c:pt>
                <c:pt idx="2049">
                  <c:v>52.29</c:v>
                </c:pt>
                <c:pt idx="2050">
                  <c:v>52.26</c:v>
                </c:pt>
                <c:pt idx="2051">
                  <c:v>52.23</c:v>
                </c:pt>
                <c:pt idx="2052">
                  <c:v>52.05</c:v>
                </c:pt>
                <c:pt idx="2053">
                  <c:v>52.02</c:v>
                </c:pt>
                <c:pt idx="2054">
                  <c:v>51.99</c:v>
                </c:pt>
                <c:pt idx="2055">
                  <c:v>51.87</c:v>
                </c:pt>
                <c:pt idx="2056">
                  <c:v>51.93</c:v>
                </c:pt>
                <c:pt idx="2057">
                  <c:v>51.81</c:v>
                </c:pt>
                <c:pt idx="2058">
                  <c:v>51.72</c:v>
                </c:pt>
                <c:pt idx="2059">
                  <c:v>51.69</c:v>
                </c:pt>
                <c:pt idx="2060">
                  <c:v>51.75</c:v>
                </c:pt>
                <c:pt idx="2061">
                  <c:v>51.63</c:v>
                </c:pt>
                <c:pt idx="2062">
                  <c:v>51.63</c:v>
                </c:pt>
                <c:pt idx="2063">
                  <c:v>51.48</c:v>
                </c:pt>
                <c:pt idx="2064">
                  <c:v>51.3</c:v>
                </c:pt>
                <c:pt idx="2065">
                  <c:v>51.39</c:v>
                </c:pt>
                <c:pt idx="2066">
                  <c:v>51.3</c:v>
                </c:pt>
                <c:pt idx="2067">
                  <c:v>51.3</c:v>
                </c:pt>
                <c:pt idx="2068">
                  <c:v>51.21</c:v>
                </c:pt>
                <c:pt idx="2069">
                  <c:v>51.15</c:v>
                </c:pt>
                <c:pt idx="2070">
                  <c:v>51.09</c:v>
                </c:pt>
                <c:pt idx="2071">
                  <c:v>50.94</c:v>
                </c:pt>
                <c:pt idx="2072">
                  <c:v>50.97</c:v>
                </c:pt>
                <c:pt idx="2073">
                  <c:v>50.79</c:v>
                </c:pt>
                <c:pt idx="2074">
                  <c:v>50.7</c:v>
                </c:pt>
                <c:pt idx="2075">
                  <c:v>50.64</c:v>
                </c:pt>
                <c:pt idx="2076">
                  <c:v>50.49</c:v>
                </c:pt>
                <c:pt idx="2077">
                  <c:v>50.31</c:v>
                </c:pt>
                <c:pt idx="2078">
                  <c:v>50.19</c:v>
                </c:pt>
                <c:pt idx="2079">
                  <c:v>50.13</c:v>
                </c:pt>
                <c:pt idx="2080">
                  <c:v>50.01</c:v>
                </c:pt>
                <c:pt idx="2081">
                  <c:v>81.540000000000006</c:v>
                </c:pt>
                <c:pt idx="2082">
                  <c:v>82.68</c:v>
                </c:pt>
                <c:pt idx="2083">
                  <c:v>83.07</c:v>
                </c:pt>
                <c:pt idx="2084">
                  <c:v>53.04</c:v>
                </c:pt>
                <c:pt idx="2085">
                  <c:v>52.77</c:v>
                </c:pt>
                <c:pt idx="2086">
                  <c:v>52.56</c:v>
                </c:pt>
                <c:pt idx="2087">
                  <c:v>52.35</c:v>
                </c:pt>
                <c:pt idx="2088">
                  <c:v>52.32</c:v>
                </c:pt>
                <c:pt idx="2089">
                  <c:v>52.17</c:v>
                </c:pt>
                <c:pt idx="2090">
                  <c:v>51.96</c:v>
                </c:pt>
                <c:pt idx="2091">
                  <c:v>51.9</c:v>
                </c:pt>
                <c:pt idx="2092">
                  <c:v>51.78</c:v>
                </c:pt>
                <c:pt idx="2093">
                  <c:v>51.57</c:v>
                </c:pt>
                <c:pt idx="2094">
                  <c:v>51.39</c:v>
                </c:pt>
                <c:pt idx="2095">
                  <c:v>51.45</c:v>
                </c:pt>
                <c:pt idx="2096">
                  <c:v>51.45</c:v>
                </c:pt>
                <c:pt idx="2097">
                  <c:v>51.33</c:v>
                </c:pt>
                <c:pt idx="2098">
                  <c:v>51.06</c:v>
                </c:pt>
                <c:pt idx="2099">
                  <c:v>51.06</c:v>
                </c:pt>
                <c:pt idx="2100">
                  <c:v>50.82</c:v>
                </c:pt>
                <c:pt idx="2101">
                  <c:v>50.76</c:v>
                </c:pt>
                <c:pt idx="2102">
                  <c:v>50.73</c:v>
                </c:pt>
                <c:pt idx="2103">
                  <c:v>50.64</c:v>
                </c:pt>
                <c:pt idx="2104">
                  <c:v>50.52</c:v>
                </c:pt>
                <c:pt idx="2105">
                  <c:v>50.4</c:v>
                </c:pt>
                <c:pt idx="2106">
                  <c:v>50.37</c:v>
                </c:pt>
                <c:pt idx="2107">
                  <c:v>50.1</c:v>
                </c:pt>
                <c:pt idx="2108">
                  <c:v>50.04</c:v>
                </c:pt>
                <c:pt idx="2109">
                  <c:v>80.459999999999994</c:v>
                </c:pt>
                <c:pt idx="2110">
                  <c:v>82.23</c:v>
                </c:pt>
                <c:pt idx="2111">
                  <c:v>82.68</c:v>
                </c:pt>
                <c:pt idx="2112">
                  <c:v>73.739999999999995</c:v>
                </c:pt>
                <c:pt idx="2113">
                  <c:v>53.22</c:v>
                </c:pt>
                <c:pt idx="2114">
                  <c:v>52.74</c:v>
                </c:pt>
                <c:pt idx="2115">
                  <c:v>52.44</c:v>
                </c:pt>
                <c:pt idx="2116">
                  <c:v>52.35</c:v>
                </c:pt>
                <c:pt idx="2117">
                  <c:v>52.14</c:v>
                </c:pt>
                <c:pt idx="2118">
                  <c:v>52.11</c:v>
                </c:pt>
                <c:pt idx="2119">
                  <c:v>52.08</c:v>
                </c:pt>
                <c:pt idx="2120">
                  <c:v>52.02</c:v>
                </c:pt>
                <c:pt idx="2121">
                  <c:v>51.75</c:v>
                </c:pt>
                <c:pt idx="2122">
                  <c:v>51.66</c:v>
                </c:pt>
                <c:pt idx="2123">
                  <c:v>51.51</c:v>
                </c:pt>
                <c:pt idx="2124">
                  <c:v>51.57</c:v>
                </c:pt>
                <c:pt idx="2125">
                  <c:v>51.3</c:v>
                </c:pt>
                <c:pt idx="2126">
                  <c:v>51.3</c:v>
                </c:pt>
                <c:pt idx="2127">
                  <c:v>51.09</c:v>
                </c:pt>
                <c:pt idx="2128">
                  <c:v>50.97</c:v>
                </c:pt>
                <c:pt idx="2129">
                  <c:v>51.03</c:v>
                </c:pt>
                <c:pt idx="2130">
                  <c:v>50.88</c:v>
                </c:pt>
                <c:pt idx="2131">
                  <c:v>50.76</c:v>
                </c:pt>
                <c:pt idx="2132">
                  <c:v>50.67</c:v>
                </c:pt>
                <c:pt idx="2133">
                  <c:v>50.58</c:v>
                </c:pt>
                <c:pt idx="2134">
                  <c:v>50.58</c:v>
                </c:pt>
                <c:pt idx="2135">
                  <c:v>50.43</c:v>
                </c:pt>
                <c:pt idx="2136">
                  <c:v>50.43</c:v>
                </c:pt>
                <c:pt idx="2137">
                  <c:v>50.22</c:v>
                </c:pt>
                <c:pt idx="2138">
                  <c:v>50.01</c:v>
                </c:pt>
                <c:pt idx="2139">
                  <c:v>50.1</c:v>
                </c:pt>
                <c:pt idx="2140">
                  <c:v>81.45</c:v>
                </c:pt>
                <c:pt idx="2141">
                  <c:v>82.65</c:v>
                </c:pt>
                <c:pt idx="2142">
                  <c:v>83.19</c:v>
                </c:pt>
                <c:pt idx="2143">
                  <c:v>53.1</c:v>
                </c:pt>
                <c:pt idx="2144">
                  <c:v>52.77</c:v>
                </c:pt>
                <c:pt idx="2145">
                  <c:v>52.62</c:v>
                </c:pt>
                <c:pt idx="2146">
                  <c:v>52.38</c:v>
                </c:pt>
                <c:pt idx="2147">
                  <c:v>52.29</c:v>
                </c:pt>
                <c:pt idx="2148">
                  <c:v>52.26</c:v>
                </c:pt>
                <c:pt idx="2149">
                  <c:v>52.08</c:v>
                </c:pt>
                <c:pt idx="2150">
                  <c:v>51.96</c:v>
                </c:pt>
                <c:pt idx="2151">
                  <c:v>51.93</c:v>
                </c:pt>
                <c:pt idx="2152">
                  <c:v>51.9</c:v>
                </c:pt>
                <c:pt idx="2153">
                  <c:v>51.78</c:v>
                </c:pt>
                <c:pt idx="2154">
                  <c:v>51.69</c:v>
                </c:pt>
                <c:pt idx="2155">
                  <c:v>51.57</c:v>
                </c:pt>
                <c:pt idx="2156">
                  <c:v>51.39</c:v>
                </c:pt>
                <c:pt idx="2157">
                  <c:v>51.39</c:v>
                </c:pt>
                <c:pt idx="2158">
                  <c:v>51.24</c:v>
                </c:pt>
                <c:pt idx="2159">
                  <c:v>51.06</c:v>
                </c:pt>
                <c:pt idx="2160">
                  <c:v>51.09</c:v>
                </c:pt>
                <c:pt idx="2161">
                  <c:v>51</c:v>
                </c:pt>
                <c:pt idx="2162">
                  <c:v>50.94</c:v>
                </c:pt>
                <c:pt idx="2163">
                  <c:v>50.7</c:v>
                </c:pt>
                <c:pt idx="2164">
                  <c:v>50.58</c:v>
                </c:pt>
                <c:pt idx="2165">
                  <c:v>50.7</c:v>
                </c:pt>
                <c:pt idx="2166">
                  <c:v>50.46</c:v>
                </c:pt>
                <c:pt idx="2167">
                  <c:v>50.52</c:v>
                </c:pt>
                <c:pt idx="2168">
                  <c:v>50.31</c:v>
                </c:pt>
                <c:pt idx="2169">
                  <c:v>50.22</c:v>
                </c:pt>
                <c:pt idx="2170">
                  <c:v>50.16</c:v>
                </c:pt>
                <c:pt idx="2171">
                  <c:v>59.1</c:v>
                </c:pt>
                <c:pt idx="2172">
                  <c:v>81.84</c:v>
                </c:pt>
                <c:pt idx="2173">
                  <c:v>82.41</c:v>
                </c:pt>
                <c:pt idx="2174">
                  <c:v>83.22</c:v>
                </c:pt>
                <c:pt idx="2175">
                  <c:v>66.39</c:v>
                </c:pt>
                <c:pt idx="2176">
                  <c:v>52.8</c:v>
                </c:pt>
                <c:pt idx="2177">
                  <c:v>52.53</c:v>
                </c:pt>
                <c:pt idx="2178">
                  <c:v>52.59</c:v>
                </c:pt>
                <c:pt idx="2179">
                  <c:v>52.26</c:v>
                </c:pt>
                <c:pt idx="2180">
                  <c:v>52.35</c:v>
                </c:pt>
                <c:pt idx="2181">
                  <c:v>52.17</c:v>
                </c:pt>
                <c:pt idx="2182">
                  <c:v>52.08</c:v>
                </c:pt>
                <c:pt idx="2183">
                  <c:v>51.96</c:v>
                </c:pt>
                <c:pt idx="2184">
                  <c:v>51.81</c:v>
                </c:pt>
                <c:pt idx="2185">
                  <c:v>51.72</c:v>
                </c:pt>
                <c:pt idx="2186">
                  <c:v>51.57</c:v>
                </c:pt>
                <c:pt idx="2187">
                  <c:v>51.48</c:v>
                </c:pt>
                <c:pt idx="2188">
                  <c:v>51.45</c:v>
                </c:pt>
                <c:pt idx="2189">
                  <c:v>51.39</c:v>
                </c:pt>
                <c:pt idx="2190">
                  <c:v>51.24</c:v>
                </c:pt>
                <c:pt idx="2191">
                  <c:v>51.12</c:v>
                </c:pt>
                <c:pt idx="2192">
                  <c:v>50.91</c:v>
                </c:pt>
                <c:pt idx="2193">
                  <c:v>51.03</c:v>
                </c:pt>
                <c:pt idx="2194">
                  <c:v>50.88</c:v>
                </c:pt>
                <c:pt idx="2195">
                  <c:v>50.7</c:v>
                </c:pt>
                <c:pt idx="2196">
                  <c:v>50.7</c:v>
                </c:pt>
                <c:pt idx="2197">
                  <c:v>50.58</c:v>
                </c:pt>
                <c:pt idx="2198">
                  <c:v>50.46</c:v>
                </c:pt>
                <c:pt idx="2199">
                  <c:v>50.4</c:v>
                </c:pt>
                <c:pt idx="2200">
                  <c:v>50.31</c:v>
                </c:pt>
                <c:pt idx="2201">
                  <c:v>50.25</c:v>
                </c:pt>
                <c:pt idx="2202">
                  <c:v>50.07</c:v>
                </c:pt>
                <c:pt idx="2203">
                  <c:v>81.09</c:v>
                </c:pt>
                <c:pt idx="2204">
                  <c:v>81.99</c:v>
                </c:pt>
                <c:pt idx="2205">
                  <c:v>82.98</c:v>
                </c:pt>
                <c:pt idx="2206">
                  <c:v>83.04</c:v>
                </c:pt>
                <c:pt idx="2207">
                  <c:v>53.04</c:v>
                </c:pt>
                <c:pt idx="2208">
                  <c:v>52.86</c:v>
                </c:pt>
                <c:pt idx="2209">
                  <c:v>52.77</c:v>
                </c:pt>
                <c:pt idx="2210">
                  <c:v>52.41</c:v>
                </c:pt>
                <c:pt idx="2211">
                  <c:v>52.35</c:v>
                </c:pt>
                <c:pt idx="2212">
                  <c:v>52.26</c:v>
                </c:pt>
                <c:pt idx="2213">
                  <c:v>52.17</c:v>
                </c:pt>
                <c:pt idx="2214">
                  <c:v>52.11</c:v>
                </c:pt>
                <c:pt idx="2215">
                  <c:v>51.96</c:v>
                </c:pt>
                <c:pt idx="2216">
                  <c:v>51.15</c:v>
                </c:pt>
                <c:pt idx="2217">
                  <c:v>51.03</c:v>
                </c:pt>
                <c:pt idx="2218">
                  <c:v>50.91</c:v>
                </c:pt>
                <c:pt idx="2219">
                  <c:v>51</c:v>
                </c:pt>
                <c:pt idx="2220">
                  <c:v>50.94</c:v>
                </c:pt>
                <c:pt idx="2221">
                  <c:v>50.94</c:v>
                </c:pt>
                <c:pt idx="2222">
                  <c:v>50.67</c:v>
                </c:pt>
                <c:pt idx="2223">
                  <c:v>50.67</c:v>
                </c:pt>
                <c:pt idx="2224">
                  <c:v>50.61</c:v>
                </c:pt>
                <c:pt idx="2225">
                  <c:v>50.52</c:v>
                </c:pt>
                <c:pt idx="2226">
                  <c:v>50.52</c:v>
                </c:pt>
                <c:pt idx="2227">
                  <c:v>50.4</c:v>
                </c:pt>
                <c:pt idx="2228">
                  <c:v>50.31</c:v>
                </c:pt>
                <c:pt idx="2229">
                  <c:v>50.16</c:v>
                </c:pt>
                <c:pt idx="2230">
                  <c:v>50.01</c:v>
                </c:pt>
                <c:pt idx="2231">
                  <c:v>65.67</c:v>
                </c:pt>
                <c:pt idx="2232">
                  <c:v>81.12</c:v>
                </c:pt>
                <c:pt idx="2233">
                  <c:v>82.59</c:v>
                </c:pt>
                <c:pt idx="2234">
                  <c:v>82.92</c:v>
                </c:pt>
                <c:pt idx="2235">
                  <c:v>58.86</c:v>
                </c:pt>
                <c:pt idx="2236">
                  <c:v>52.74</c:v>
                </c:pt>
                <c:pt idx="2237">
                  <c:v>52.65</c:v>
                </c:pt>
                <c:pt idx="2238">
                  <c:v>52.47</c:v>
                </c:pt>
                <c:pt idx="2239">
                  <c:v>52.26</c:v>
                </c:pt>
                <c:pt idx="2240">
                  <c:v>52.35</c:v>
                </c:pt>
                <c:pt idx="2241">
                  <c:v>52.29</c:v>
                </c:pt>
                <c:pt idx="2242">
                  <c:v>52.17</c:v>
                </c:pt>
                <c:pt idx="2243">
                  <c:v>52.08</c:v>
                </c:pt>
                <c:pt idx="2244">
                  <c:v>52.05</c:v>
                </c:pt>
                <c:pt idx="2245">
                  <c:v>51.72</c:v>
                </c:pt>
                <c:pt idx="2246">
                  <c:v>51.72</c:v>
                </c:pt>
                <c:pt idx="2247">
                  <c:v>51.75</c:v>
                </c:pt>
                <c:pt idx="2248">
                  <c:v>51.57</c:v>
                </c:pt>
                <c:pt idx="2249">
                  <c:v>51.57</c:v>
                </c:pt>
                <c:pt idx="2250">
                  <c:v>51.3</c:v>
                </c:pt>
                <c:pt idx="2251">
                  <c:v>51.48</c:v>
                </c:pt>
                <c:pt idx="2252">
                  <c:v>51.3</c:v>
                </c:pt>
                <c:pt idx="2253">
                  <c:v>51.21</c:v>
                </c:pt>
                <c:pt idx="2254">
                  <c:v>51.18</c:v>
                </c:pt>
                <c:pt idx="2255">
                  <c:v>51</c:v>
                </c:pt>
                <c:pt idx="2256">
                  <c:v>50.91</c:v>
                </c:pt>
                <c:pt idx="2257">
                  <c:v>50.85</c:v>
                </c:pt>
                <c:pt idx="2258">
                  <c:v>50.67</c:v>
                </c:pt>
                <c:pt idx="2259">
                  <c:v>50.73</c:v>
                </c:pt>
                <c:pt idx="2260">
                  <c:v>50.58</c:v>
                </c:pt>
                <c:pt idx="2261">
                  <c:v>50.55</c:v>
                </c:pt>
                <c:pt idx="2262">
                  <c:v>50.49</c:v>
                </c:pt>
                <c:pt idx="2263">
                  <c:v>50.49</c:v>
                </c:pt>
                <c:pt idx="2264">
                  <c:v>50.22</c:v>
                </c:pt>
                <c:pt idx="2265">
                  <c:v>50.31</c:v>
                </c:pt>
                <c:pt idx="2266">
                  <c:v>50.19</c:v>
                </c:pt>
                <c:pt idx="2267">
                  <c:v>66.239999999999995</c:v>
                </c:pt>
                <c:pt idx="2268">
                  <c:v>81.27</c:v>
                </c:pt>
                <c:pt idx="2269">
                  <c:v>82.47</c:v>
                </c:pt>
                <c:pt idx="2270">
                  <c:v>82.98</c:v>
                </c:pt>
                <c:pt idx="2271">
                  <c:v>58.65</c:v>
                </c:pt>
                <c:pt idx="2272">
                  <c:v>52.74</c:v>
                </c:pt>
                <c:pt idx="2273">
                  <c:v>52.77</c:v>
                </c:pt>
                <c:pt idx="2274">
                  <c:v>52.53</c:v>
                </c:pt>
                <c:pt idx="2275">
                  <c:v>52.23</c:v>
                </c:pt>
                <c:pt idx="2276">
                  <c:v>52.26</c:v>
                </c:pt>
                <c:pt idx="2277">
                  <c:v>52.23</c:v>
                </c:pt>
                <c:pt idx="2278">
                  <c:v>52.14</c:v>
                </c:pt>
                <c:pt idx="2279">
                  <c:v>52.02</c:v>
                </c:pt>
                <c:pt idx="2280">
                  <c:v>51.93</c:v>
                </c:pt>
                <c:pt idx="2281">
                  <c:v>51.81</c:v>
                </c:pt>
                <c:pt idx="2282">
                  <c:v>51.78</c:v>
                </c:pt>
                <c:pt idx="2283">
                  <c:v>51.57</c:v>
                </c:pt>
                <c:pt idx="2284">
                  <c:v>51.6</c:v>
                </c:pt>
                <c:pt idx="2285">
                  <c:v>51.48</c:v>
                </c:pt>
                <c:pt idx="2286">
                  <c:v>51.51</c:v>
                </c:pt>
                <c:pt idx="2287">
                  <c:v>51.3</c:v>
                </c:pt>
                <c:pt idx="2288">
                  <c:v>51.33</c:v>
                </c:pt>
                <c:pt idx="2289">
                  <c:v>51.21</c:v>
                </c:pt>
                <c:pt idx="2290">
                  <c:v>51.12</c:v>
                </c:pt>
                <c:pt idx="2291">
                  <c:v>51.09</c:v>
                </c:pt>
                <c:pt idx="2292">
                  <c:v>51.09</c:v>
                </c:pt>
                <c:pt idx="2293">
                  <c:v>50.97</c:v>
                </c:pt>
                <c:pt idx="2294">
                  <c:v>50.85</c:v>
                </c:pt>
                <c:pt idx="2295">
                  <c:v>50.76</c:v>
                </c:pt>
                <c:pt idx="2296">
                  <c:v>50.82</c:v>
                </c:pt>
                <c:pt idx="2297">
                  <c:v>50.61</c:v>
                </c:pt>
                <c:pt idx="2298">
                  <c:v>50.61</c:v>
                </c:pt>
                <c:pt idx="2299">
                  <c:v>50.43</c:v>
                </c:pt>
                <c:pt idx="2300">
                  <c:v>50.37</c:v>
                </c:pt>
                <c:pt idx="2301">
                  <c:v>50.34</c:v>
                </c:pt>
                <c:pt idx="2302">
                  <c:v>50.4</c:v>
                </c:pt>
                <c:pt idx="2303">
                  <c:v>50.19</c:v>
                </c:pt>
                <c:pt idx="2304">
                  <c:v>50.16</c:v>
                </c:pt>
                <c:pt idx="2305">
                  <c:v>58.08</c:v>
                </c:pt>
                <c:pt idx="2306">
                  <c:v>81.78</c:v>
                </c:pt>
                <c:pt idx="2307">
                  <c:v>82.47</c:v>
                </c:pt>
                <c:pt idx="2308">
                  <c:v>83.25</c:v>
                </c:pt>
                <c:pt idx="2309">
                  <c:v>66.959999999999994</c:v>
                </c:pt>
                <c:pt idx="2310">
                  <c:v>52.89</c:v>
                </c:pt>
                <c:pt idx="2311">
                  <c:v>52.71</c:v>
                </c:pt>
                <c:pt idx="2312">
                  <c:v>52.56</c:v>
                </c:pt>
                <c:pt idx="2313">
                  <c:v>52.53</c:v>
                </c:pt>
                <c:pt idx="2314">
                  <c:v>52.47</c:v>
                </c:pt>
                <c:pt idx="2315">
                  <c:v>52.41</c:v>
                </c:pt>
                <c:pt idx="2316">
                  <c:v>52.26</c:v>
                </c:pt>
                <c:pt idx="2317">
                  <c:v>52.2</c:v>
                </c:pt>
                <c:pt idx="2318">
                  <c:v>52.11</c:v>
                </c:pt>
                <c:pt idx="2319">
                  <c:v>51.93</c:v>
                </c:pt>
                <c:pt idx="2320">
                  <c:v>51.96</c:v>
                </c:pt>
                <c:pt idx="2321">
                  <c:v>51.78</c:v>
                </c:pt>
                <c:pt idx="2322">
                  <c:v>51.72</c:v>
                </c:pt>
                <c:pt idx="2323">
                  <c:v>51.69</c:v>
                </c:pt>
                <c:pt idx="2324">
                  <c:v>51.69</c:v>
                </c:pt>
                <c:pt idx="2325">
                  <c:v>51.48</c:v>
                </c:pt>
                <c:pt idx="2326">
                  <c:v>51.36</c:v>
                </c:pt>
                <c:pt idx="2327">
                  <c:v>51.6</c:v>
                </c:pt>
                <c:pt idx="2328">
                  <c:v>51.33</c:v>
                </c:pt>
                <c:pt idx="2329">
                  <c:v>51.24</c:v>
                </c:pt>
                <c:pt idx="2330">
                  <c:v>51.3</c:v>
                </c:pt>
                <c:pt idx="2331">
                  <c:v>51.03</c:v>
                </c:pt>
                <c:pt idx="2332">
                  <c:v>51.12</c:v>
                </c:pt>
                <c:pt idx="2333">
                  <c:v>50.94</c:v>
                </c:pt>
                <c:pt idx="2334">
                  <c:v>50.94</c:v>
                </c:pt>
                <c:pt idx="2335">
                  <c:v>50.85</c:v>
                </c:pt>
                <c:pt idx="2336">
                  <c:v>50.79</c:v>
                </c:pt>
                <c:pt idx="2337">
                  <c:v>50.76</c:v>
                </c:pt>
                <c:pt idx="2338">
                  <c:v>50.7</c:v>
                </c:pt>
                <c:pt idx="2339">
                  <c:v>50.49</c:v>
                </c:pt>
                <c:pt idx="2340">
                  <c:v>50.46</c:v>
                </c:pt>
                <c:pt idx="2341">
                  <c:v>50.46</c:v>
                </c:pt>
                <c:pt idx="2342">
                  <c:v>50.43</c:v>
                </c:pt>
                <c:pt idx="2343">
                  <c:v>50.34</c:v>
                </c:pt>
                <c:pt idx="2344">
                  <c:v>50.31</c:v>
                </c:pt>
                <c:pt idx="2345">
                  <c:v>50.37</c:v>
                </c:pt>
                <c:pt idx="2346">
                  <c:v>50.22</c:v>
                </c:pt>
                <c:pt idx="2347">
                  <c:v>50.28</c:v>
                </c:pt>
                <c:pt idx="2348">
                  <c:v>50.16</c:v>
                </c:pt>
                <c:pt idx="2349">
                  <c:v>80.760000000000005</c:v>
                </c:pt>
                <c:pt idx="2350">
                  <c:v>82.38</c:v>
                </c:pt>
                <c:pt idx="2351">
                  <c:v>82.86</c:v>
                </c:pt>
                <c:pt idx="2352">
                  <c:v>71.489999999999995</c:v>
                </c:pt>
                <c:pt idx="2353">
                  <c:v>53.13</c:v>
                </c:pt>
                <c:pt idx="2354">
                  <c:v>52.89</c:v>
                </c:pt>
                <c:pt idx="2355">
                  <c:v>52.68</c:v>
                </c:pt>
                <c:pt idx="2356">
                  <c:v>52.71</c:v>
                </c:pt>
                <c:pt idx="2357">
                  <c:v>52.56</c:v>
                </c:pt>
                <c:pt idx="2358">
                  <c:v>52.5</c:v>
                </c:pt>
                <c:pt idx="2359">
                  <c:v>52.47</c:v>
                </c:pt>
                <c:pt idx="2360">
                  <c:v>52.41</c:v>
                </c:pt>
                <c:pt idx="2361">
                  <c:v>52.32</c:v>
                </c:pt>
                <c:pt idx="2362">
                  <c:v>52.14</c:v>
                </c:pt>
                <c:pt idx="2363">
                  <c:v>52.05</c:v>
                </c:pt>
                <c:pt idx="2364">
                  <c:v>52.05</c:v>
                </c:pt>
                <c:pt idx="2365">
                  <c:v>51.99</c:v>
                </c:pt>
                <c:pt idx="2366">
                  <c:v>52.05</c:v>
                </c:pt>
                <c:pt idx="2367">
                  <c:v>51.93</c:v>
                </c:pt>
                <c:pt idx="2368">
                  <c:v>51.72</c:v>
                </c:pt>
                <c:pt idx="2369">
                  <c:v>51.84</c:v>
                </c:pt>
                <c:pt idx="2370">
                  <c:v>51.66</c:v>
                </c:pt>
                <c:pt idx="2371">
                  <c:v>51.54</c:v>
                </c:pt>
                <c:pt idx="2372">
                  <c:v>51.45</c:v>
                </c:pt>
                <c:pt idx="2373">
                  <c:v>51.18</c:v>
                </c:pt>
                <c:pt idx="2374">
                  <c:v>51.09</c:v>
                </c:pt>
                <c:pt idx="2375">
                  <c:v>51</c:v>
                </c:pt>
                <c:pt idx="2376">
                  <c:v>50.97</c:v>
                </c:pt>
                <c:pt idx="2377">
                  <c:v>50.79</c:v>
                </c:pt>
                <c:pt idx="2378">
                  <c:v>50.67</c:v>
                </c:pt>
                <c:pt idx="2379">
                  <c:v>50.64</c:v>
                </c:pt>
                <c:pt idx="2380">
                  <c:v>50.46</c:v>
                </c:pt>
                <c:pt idx="2381">
                  <c:v>50.37</c:v>
                </c:pt>
                <c:pt idx="2382">
                  <c:v>50.28</c:v>
                </c:pt>
                <c:pt idx="2383">
                  <c:v>50.16</c:v>
                </c:pt>
                <c:pt idx="2384">
                  <c:v>50.22</c:v>
                </c:pt>
                <c:pt idx="2385">
                  <c:v>81.510000000000005</c:v>
                </c:pt>
                <c:pt idx="2386">
                  <c:v>82.65</c:v>
                </c:pt>
                <c:pt idx="2387">
                  <c:v>83.22</c:v>
                </c:pt>
                <c:pt idx="2388">
                  <c:v>53.07</c:v>
                </c:pt>
                <c:pt idx="2389">
                  <c:v>52.98</c:v>
                </c:pt>
                <c:pt idx="2390">
                  <c:v>52.5</c:v>
                </c:pt>
                <c:pt idx="2391">
                  <c:v>52.5</c:v>
                </c:pt>
                <c:pt idx="2392">
                  <c:v>52.23</c:v>
                </c:pt>
                <c:pt idx="2393">
                  <c:v>52.17</c:v>
                </c:pt>
                <c:pt idx="2394">
                  <c:v>52.11</c:v>
                </c:pt>
                <c:pt idx="2395">
                  <c:v>51.96</c:v>
                </c:pt>
                <c:pt idx="2396">
                  <c:v>51.69</c:v>
                </c:pt>
                <c:pt idx="2397">
                  <c:v>51.6</c:v>
                </c:pt>
                <c:pt idx="2398">
                  <c:v>51.57</c:v>
                </c:pt>
                <c:pt idx="2399">
                  <c:v>51.3</c:v>
                </c:pt>
                <c:pt idx="2400">
                  <c:v>51.27</c:v>
                </c:pt>
                <c:pt idx="2401">
                  <c:v>51.06</c:v>
                </c:pt>
                <c:pt idx="2402">
                  <c:v>51.15</c:v>
                </c:pt>
                <c:pt idx="2403">
                  <c:v>50.94</c:v>
                </c:pt>
                <c:pt idx="2404">
                  <c:v>50.7</c:v>
                </c:pt>
                <c:pt idx="2405">
                  <c:v>50.79</c:v>
                </c:pt>
                <c:pt idx="2406">
                  <c:v>50.55</c:v>
                </c:pt>
                <c:pt idx="2407">
                  <c:v>50.55</c:v>
                </c:pt>
                <c:pt idx="2408">
                  <c:v>50.49</c:v>
                </c:pt>
                <c:pt idx="2409">
                  <c:v>50.22</c:v>
                </c:pt>
                <c:pt idx="2410">
                  <c:v>50.13</c:v>
                </c:pt>
                <c:pt idx="2411">
                  <c:v>80.760000000000005</c:v>
                </c:pt>
                <c:pt idx="2412">
                  <c:v>81.81</c:v>
                </c:pt>
                <c:pt idx="2413">
                  <c:v>82.86</c:v>
                </c:pt>
                <c:pt idx="2414">
                  <c:v>70.02</c:v>
                </c:pt>
                <c:pt idx="2415">
                  <c:v>53.25</c:v>
                </c:pt>
                <c:pt idx="2416">
                  <c:v>52.74</c:v>
                </c:pt>
                <c:pt idx="2417">
                  <c:v>52.53</c:v>
                </c:pt>
                <c:pt idx="2418">
                  <c:v>52.56</c:v>
                </c:pt>
                <c:pt idx="2419">
                  <c:v>52.26</c:v>
                </c:pt>
                <c:pt idx="2420">
                  <c:v>52.26</c:v>
                </c:pt>
                <c:pt idx="2421">
                  <c:v>51.93</c:v>
                </c:pt>
                <c:pt idx="2422">
                  <c:v>51.96</c:v>
                </c:pt>
                <c:pt idx="2423">
                  <c:v>51.75</c:v>
                </c:pt>
                <c:pt idx="2424">
                  <c:v>51.63</c:v>
                </c:pt>
                <c:pt idx="2425">
                  <c:v>51.66</c:v>
                </c:pt>
                <c:pt idx="2426">
                  <c:v>51.63</c:v>
                </c:pt>
                <c:pt idx="2427">
                  <c:v>51.42</c:v>
                </c:pt>
                <c:pt idx="2428">
                  <c:v>51.27</c:v>
                </c:pt>
                <c:pt idx="2429">
                  <c:v>51.24</c:v>
                </c:pt>
                <c:pt idx="2430">
                  <c:v>51.21</c:v>
                </c:pt>
                <c:pt idx="2431">
                  <c:v>51.09</c:v>
                </c:pt>
                <c:pt idx="2432">
                  <c:v>50.82</c:v>
                </c:pt>
                <c:pt idx="2433">
                  <c:v>50.76</c:v>
                </c:pt>
                <c:pt idx="2434">
                  <c:v>50.7</c:v>
                </c:pt>
                <c:pt idx="2435">
                  <c:v>50.55</c:v>
                </c:pt>
                <c:pt idx="2436">
                  <c:v>50.58</c:v>
                </c:pt>
                <c:pt idx="2437">
                  <c:v>50.49</c:v>
                </c:pt>
                <c:pt idx="2438">
                  <c:v>50.37</c:v>
                </c:pt>
                <c:pt idx="2439">
                  <c:v>50.34</c:v>
                </c:pt>
                <c:pt idx="2440">
                  <c:v>50.16</c:v>
                </c:pt>
                <c:pt idx="2441">
                  <c:v>50.1</c:v>
                </c:pt>
                <c:pt idx="2442">
                  <c:v>80.760000000000005</c:v>
                </c:pt>
                <c:pt idx="2443">
                  <c:v>81.69</c:v>
                </c:pt>
                <c:pt idx="2444">
                  <c:v>82.71</c:v>
                </c:pt>
                <c:pt idx="2445">
                  <c:v>68.489999999999995</c:v>
                </c:pt>
                <c:pt idx="2446">
                  <c:v>52.98</c:v>
                </c:pt>
                <c:pt idx="2447">
                  <c:v>52.8</c:v>
                </c:pt>
                <c:pt idx="2448">
                  <c:v>52.74</c:v>
                </c:pt>
                <c:pt idx="2449">
                  <c:v>52.47</c:v>
                </c:pt>
                <c:pt idx="2450">
                  <c:v>52.32</c:v>
                </c:pt>
                <c:pt idx="2451">
                  <c:v>52.23</c:v>
                </c:pt>
                <c:pt idx="2452">
                  <c:v>52.14</c:v>
                </c:pt>
                <c:pt idx="2453">
                  <c:v>51.96</c:v>
                </c:pt>
                <c:pt idx="2454">
                  <c:v>51.99</c:v>
                </c:pt>
                <c:pt idx="2455">
                  <c:v>51.69</c:v>
                </c:pt>
                <c:pt idx="2456">
                  <c:v>51.72</c:v>
                </c:pt>
                <c:pt idx="2457">
                  <c:v>51.66</c:v>
                </c:pt>
                <c:pt idx="2458">
                  <c:v>51.42</c:v>
                </c:pt>
                <c:pt idx="2459">
                  <c:v>51.42</c:v>
                </c:pt>
                <c:pt idx="2460">
                  <c:v>51.24</c:v>
                </c:pt>
                <c:pt idx="2461">
                  <c:v>51.21</c:v>
                </c:pt>
                <c:pt idx="2462">
                  <c:v>51</c:v>
                </c:pt>
                <c:pt idx="2463">
                  <c:v>50.91</c:v>
                </c:pt>
                <c:pt idx="2464">
                  <c:v>50.7</c:v>
                </c:pt>
                <c:pt idx="2465">
                  <c:v>50.64</c:v>
                </c:pt>
                <c:pt idx="2466">
                  <c:v>50.46</c:v>
                </c:pt>
                <c:pt idx="2467">
                  <c:v>50.43</c:v>
                </c:pt>
                <c:pt idx="2468">
                  <c:v>50.37</c:v>
                </c:pt>
                <c:pt idx="2469">
                  <c:v>50.16</c:v>
                </c:pt>
                <c:pt idx="2470">
                  <c:v>58.05</c:v>
                </c:pt>
                <c:pt idx="2471">
                  <c:v>81.72</c:v>
                </c:pt>
                <c:pt idx="2472">
                  <c:v>82.41</c:v>
                </c:pt>
                <c:pt idx="2473">
                  <c:v>83.28</c:v>
                </c:pt>
                <c:pt idx="2474">
                  <c:v>67.17</c:v>
                </c:pt>
                <c:pt idx="2475">
                  <c:v>52.86</c:v>
                </c:pt>
                <c:pt idx="2476">
                  <c:v>52.59</c:v>
                </c:pt>
                <c:pt idx="2477">
                  <c:v>52.65</c:v>
                </c:pt>
                <c:pt idx="2478">
                  <c:v>52.41</c:v>
                </c:pt>
                <c:pt idx="2479">
                  <c:v>52.32</c:v>
                </c:pt>
                <c:pt idx="2480">
                  <c:v>52.14</c:v>
                </c:pt>
                <c:pt idx="2481">
                  <c:v>51.99</c:v>
                </c:pt>
                <c:pt idx="2482">
                  <c:v>51.93</c:v>
                </c:pt>
                <c:pt idx="2483">
                  <c:v>51.81</c:v>
                </c:pt>
                <c:pt idx="2484">
                  <c:v>51.69</c:v>
                </c:pt>
                <c:pt idx="2485">
                  <c:v>51.57</c:v>
                </c:pt>
                <c:pt idx="2486">
                  <c:v>51.51</c:v>
                </c:pt>
                <c:pt idx="2487">
                  <c:v>51.45</c:v>
                </c:pt>
                <c:pt idx="2488">
                  <c:v>51.36</c:v>
                </c:pt>
                <c:pt idx="2489">
                  <c:v>51.24</c:v>
                </c:pt>
                <c:pt idx="2490">
                  <c:v>51.15</c:v>
                </c:pt>
                <c:pt idx="2491">
                  <c:v>51</c:v>
                </c:pt>
                <c:pt idx="2492">
                  <c:v>51</c:v>
                </c:pt>
                <c:pt idx="2493">
                  <c:v>51.03</c:v>
                </c:pt>
                <c:pt idx="2494">
                  <c:v>50.7</c:v>
                </c:pt>
                <c:pt idx="2495">
                  <c:v>50.61</c:v>
                </c:pt>
                <c:pt idx="2496">
                  <c:v>50.43</c:v>
                </c:pt>
                <c:pt idx="2497">
                  <c:v>50.52</c:v>
                </c:pt>
                <c:pt idx="2498">
                  <c:v>50.28</c:v>
                </c:pt>
                <c:pt idx="2499">
                  <c:v>50.13</c:v>
                </c:pt>
                <c:pt idx="2500">
                  <c:v>70.739999999999995</c:v>
                </c:pt>
                <c:pt idx="2501">
                  <c:v>82.17</c:v>
                </c:pt>
                <c:pt idx="2502">
                  <c:v>83.1</c:v>
                </c:pt>
                <c:pt idx="2503">
                  <c:v>81.96</c:v>
                </c:pt>
                <c:pt idx="2504">
                  <c:v>52.8</c:v>
                </c:pt>
                <c:pt idx="2505">
                  <c:v>52.65</c:v>
                </c:pt>
                <c:pt idx="2506">
                  <c:v>52.53</c:v>
                </c:pt>
                <c:pt idx="2507">
                  <c:v>52.2</c:v>
                </c:pt>
                <c:pt idx="2508">
                  <c:v>52.08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FE-4EA4-A042-F5E7B9CA4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1580192"/>
        <c:axId val="1144936464"/>
      </c:lineChart>
      <c:catAx>
        <c:axId val="1141580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4936464"/>
        <c:crosses val="autoZero"/>
        <c:auto val="1"/>
        <c:lblAlgn val="ctr"/>
        <c:lblOffset val="100"/>
        <c:noMultiLvlLbl val="0"/>
      </c:catAx>
      <c:valAx>
        <c:axId val="11449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158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609600</xdr:colOff>
      <xdr:row>5</xdr:row>
      <xdr:rowOff>190500</xdr:rowOff>
    </xdr:from>
    <xdr:to>
      <xdr:col>50</xdr:col>
      <xdr:colOff>127000</xdr:colOff>
      <xdr:row>18</xdr:row>
      <xdr:rowOff>177800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C66271D-1FAF-4B2B-9EBE-034081960C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4</xdr:row>
      <xdr:rowOff>25400</xdr:rowOff>
    </xdr:from>
    <xdr:to>
      <xdr:col>9</xdr:col>
      <xdr:colOff>533400</xdr:colOff>
      <xdr:row>21</xdr:row>
      <xdr:rowOff>165100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BC7A52BC-CD99-4037-B8B8-C76A42714220}"/>
            </a:ext>
          </a:extLst>
        </xdr:cNvPr>
        <xdr:cNvSpPr/>
      </xdr:nvSpPr>
      <xdr:spPr>
        <a:xfrm>
          <a:off x="127000" y="889000"/>
          <a:ext cx="6350000" cy="38100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127000</xdr:colOff>
      <xdr:row>12</xdr:row>
      <xdr:rowOff>76200</xdr:rowOff>
    </xdr:from>
    <xdr:to>
      <xdr:col>1</xdr:col>
      <xdr:colOff>101600</xdr:colOff>
      <xdr:row>21</xdr:row>
      <xdr:rowOff>165100</xdr:rowOff>
    </xdr:to>
    <xdr:cxnSp macro="">
      <xdr:nvCxnSpPr>
        <xdr:cNvPr id="3" name="직선 연결선 2">
          <a:extLst>
            <a:ext uri="{FF2B5EF4-FFF2-40B4-BE49-F238E27FC236}">
              <a16:creationId xmlns:a16="http://schemas.microsoft.com/office/drawing/2014/main" id="{629242B5-C3A9-4782-A2B5-132A81BA9DFF}"/>
            </a:ext>
          </a:extLst>
        </xdr:cNvPr>
        <xdr:cNvCxnSpPr/>
      </xdr:nvCxnSpPr>
      <xdr:spPr>
        <a:xfrm flipV="1">
          <a:off x="127000" y="2667000"/>
          <a:ext cx="635000" cy="2032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</xdr:colOff>
      <xdr:row>11</xdr:row>
      <xdr:rowOff>101600</xdr:rowOff>
    </xdr:from>
    <xdr:to>
      <xdr:col>1</xdr:col>
      <xdr:colOff>101600</xdr:colOff>
      <xdr:row>12</xdr:row>
      <xdr:rowOff>76200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1D9DBC15-57B1-44EA-A675-AFCD7ACC0775}"/>
            </a:ext>
          </a:extLst>
        </xdr:cNvPr>
        <xdr:cNvCxnSpPr/>
      </xdr:nvCxnSpPr>
      <xdr:spPr>
        <a:xfrm flipV="1">
          <a:off x="762000" y="2476500"/>
          <a:ext cx="0" cy="190500"/>
        </a:xfrm>
        <a:prstGeom prst="line">
          <a:avLst/>
        </a:prstGeom>
        <a:ln>
          <a:solidFill>
            <a:srgbClr val="32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</xdr:colOff>
      <xdr:row>11</xdr:row>
      <xdr:rowOff>101600</xdr:rowOff>
    </xdr:from>
    <xdr:to>
      <xdr:col>8</xdr:col>
      <xdr:colOff>558800</xdr:colOff>
      <xdr:row>18</xdr:row>
      <xdr:rowOff>114300</xdr:rowOff>
    </xdr:to>
    <xdr:cxnSp macro="">
      <xdr:nvCxnSpPr>
        <xdr:cNvPr id="5" name="직선 연결선 4">
          <a:extLst>
            <a:ext uri="{FF2B5EF4-FFF2-40B4-BE49-F238E27FC236}">
              <a16:creationId xmlns:a16="http://schemas.microsoft.com/office/drawing/2014/main" id="{70FBDC18-7925-4ACF-8B50-4771636B0990}"/>
            </a:ext>
          </a:extLst>
        </xdr:cNvPr>
        <xdr:cNvCxnSpPr/>
      </xdr:nvCxnSpPr>
      <xdr:spPr>
        <a:xfrm>
          <a:off x="762000" y="2476500"/>
          <a:ext cx="5080000" cy="1524000"/>
        </a:xfrm>
        <a:prstGeom prst="line">
          <a:avLst/>
        </a:prstGeom>
        <a:ln>
          <a:solidFill>
            <a:srgbClr val="FF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558800</xdr:colOff>
      <xdr:row>18</xdr:row>
      <xdr:rowOff>114300</xdr:rowOff>
    </xdr:from>
    <xdr:to>
      <xdr:col>9</xdr:col>
      <xdr:colOff>406400</xdr:colOff>
      <xdr:row>20</xdr:row>
      <xdr:rowOff>63500</xdr:rowOff>
    </xdr:to>
    <xdr:cxnSp macro="">
      <xdr:nvCxnSpPr>
        <xdr:cNvPr id="6" name="직선 연결선 5">
          <a:extLst>
            <a:ext uri="{FF2B5EF4-FFF2-40B4-BE49-F238E27FC236}">
              <a16:creationId xmlns:a16="http://schemas.microsoft.com/office/drawing/2014/main" id="{2261A72A-1AEF-4BF9-8660-0F6526AD8F58}"/>
            </a:ext>
          </a:extLst>
        </xdr:cNvPr>
        <xdr:cNvCxnSpPr/>
      </xdr:nvCxnSpPr>
      <xdr:spPr>
        <a:xfrm>
          <a:off x="5842000" y="4000500"/>
          <a:ext cx="508000" cy="381000"/>
        </a:xfrm>
        <a:prstGeom prst="line">
          <a:avLst/>
        </a:prstGeom>
        <a:ln>
          <a:solidFill>
            <a:srgbClr val="7D0A6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510540</xdr:colOff>
      <xdr:row>0</xdr:row>
      <xdr:rowOff>121920</xdr:rowOff>
    </xdr:from>
    <xdr:to>
      <xdr:col>25</xdr:col>
      <xdr:colOff>426720</xdr:colOff>
      <xdr:row>16</xdr:row>
      <xdr:rowOff>1694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59940" y="121920"/>
          <a:ext cx="5859780" cy="3469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617220</xdr:colOff>
      <xdr:row>0</xdr:row>
      <xdr:rowOff>175260</xdr:rowOff>
    </xdr:from>
    <xdr:to>
      <xdr:col>25</xdr:col>
      <xdr:colOff>190500</xdr:colOff>
      <xdr:row>2</xdr:row>
      <xdr:rowOff>129540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8905220" y="175260"/>
          <a:ext cx="1592580" cy="38608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36</xdr:row>
          <xdr:rowOff>139700</xdr:rowOff>
        </xdr:from>
        <xdr:to>
          <xdr:col>5</xdr:col>
          <xdr:colOff>139700</xdr:colOff>
          <xdr:row>41</xdr:row>
          <xdr:rowOff>44450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프린트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미리보고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프린트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expose/190828%20&#53092;&#54532;&#47112;&#49380;%20Excel%20Sheet(&#44305;&#49457;&#50976;&#47532;&#49328;&#50629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력단가"/>
      <sheetName val="1호 전력측정"/>
      <sheetName val="(1호)Graph"/>
      <sheetName val="2호 전력측정"/>
      <sheetName val="(2호)Graph"/>
      <sheetName val="산출서"/>
      <sheetName val="기대효과"/>
      <sheetName val="예상에너지 절감량"/>
      <sheetName val="tCO2-eq"/>
    </sheetNames>
    <sheetDataSet>
      <sheetData sheetId="0">
        <row r="18">
          <cell r="G18">
            <v>183.14273554840383</v>
          </cell>
        </row>
      </sheetData>
      <sheetData sheetId="1"/>
      <sheetData sheetId="2"/>
      <sheetData sheetId="3"/>
      <sheetData sheetId="4"/>
      <sheetData sheetId="5">
        <row r="9">
          <cell r="L9">
            <v>67.31</v>
          </cell>
        </row>
        <row r="16">
          <cell r="L16">
            <v>52.62</v>
          </cell>
        </row>
        <row r="20">
          <cell r="Q20">
            <v>183.14273554840383</v>
          </cell>
        </row>
        <row r="22">
          <cell r="Q22">
            <v>30</v>
          </cell>
        </row>
        <row r="26">
          <cell r="Q26">
            <v>12</v>
          </cell>
        </row>
        <row r="27">
          <cell r="Q27">
            <v>25</v>
          </cell>
        </row>
        <row r="28">
          <cell r="Q28">
            <v>12</v>
          </cell>
        </row>
        <row r="29">
          <cell r="Q29">
            <v>3600</v>
          </cell>
        </row>
      </sheetData>
      <sheetData sheetId="6">
        <row r="28">
          <cell r="X28">
            <v>52884</v>
          </cell>
        </row>
        <row r="30">
          <cell r="AD30">
            <v>12.109520000000002</v>
          </cell>
        </row>
        <row r="34">
          <cell r="AH34">
            <v>0.21822743855131319</v>
          </cell>
        </row>
        <row r="38">
          <cell r="J38">
            <v>9685.3204267417877</v>
          </cell>
        </row>
        <row r="43">
          <cell r="L43">
            <v>24.605064000000002</v>
          </cell>
        </row>
        <row r="45">
          <cell r="H45">
            <v>30000</v>
          </cell>
        </row>
        <row r="48">
          <cell r="Y48">
            <v>3.1</v>
          </cell>
        </row>
      </sheetData>
      <sheetData sheetId="7"/>
      <sheetData sheetId="8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3F5C79F-CA04-4CDE-9809-CC5466EF1314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74238-0291-4DD7-A858-D2CDAEE506C0}">
  <sheetPr codeName="Sheet4"/>
  <dimension ref="A1:T2511"/>
  <sheetViews>
    <sheetView workbookViewId="0"/>
  </sheetViews>
  <sheetFormatPr defaultRowHeight="17"/>
  <cols>
    <col min="1" max="1" width="10.75" bestFit="1" customWidth="1"/>
    <col min="2" max="2" width="9.33203125" bestFit="1" customWidth="1"/>
    <col min="3" max="6" width="9.4140625" bestFit="1" customWidth="1"/>
    <col min="7" max="7" width="9.83203125" bestFit="1" customWidth="1"/>
    <col min="8" max="8" width="9.4140625" bestFit="1" customWidth="1"/>
    <col min="9" max="9" width="10.5" bestFit="1" customWidth="1"/>
    <col min="10" max="10" width="10.4140625" bestFit="1" customWidth="1"/>
    <col min="11" max="11" width="10.9140625" bestFit="1" customWidth="1"/>
    <col min="12" max="12" width="9.58203125" bestFit="1" customWidth="1"/>
    <col min="13" max="13" width="11.4140625" bestFit="1" customWidth="1"/>
    <col min="14" max="14" width="11.08203125" bestFit="1" customWidth="1"/>
    <col min="15" max="15" width="11.5" bestFit="1" customWidth="1"/>
    <col min="16" max="16" width="10.25" bestFit="1" customWidth="1"/>
    <col min="17" max="17" width="10.5" bestFit="1" customWidth="1"/>
    <col min="18" max="18" width="10.4140625" bestFit="1" customWidth="1"/>
    <col min="19" max="19" width="10.5" bestFit="1" customWidth="1"/>
    <col min="20" max="20" width="10.4140625" bestFit="1" customWidth="1"/>
  </cols>
  <sheetData>
    <row r="1" spans="1:20">
      <c r="A1" t="s">
        <v>178</v>
      </c>
      <c r="B1" t="s">
        <v>179</v>
      </c>
      <c r="C1" t="s">
        <v>180</v>
      </c>
      <c r="D1" t="s">
        <v>181</v>
      </c>
      <c r="E1" t="s">
        <v>182</v>
      </c>
      <c r="F1" t="s">
        <v>183</v>
      </c>
      <c r="G1" t="s">
        <v>184</v>
      </c>
    </row>
    <row r="2" spans="1:20">
      <c r="A2" t="s">
        <v>185</v>
      </c>
      <c r="B2" t="s">
        <v>186</v>
      </c>
      <c r="C2" t="s">
        <v>187</v>
      </c>
      <c r="D2" t="s">
        <v>188</v>
      </c>
      <c r="E2" t="s">
        <v>189</v>
      </c>
      <c r="F2" t="s">
        <v>190</v>
      </c>
      <c r="G2" t="s">
        <v>191</v>
      </c>
      <c r="H2" t="s">
        <v>192</v>
      </c>
      <c r="I2" t="s">
        <v>193</v>
      </c>
      <c r="J2" t="s">
        <v>194</v>
      </c>
      <c r="K2" t="s">
        <v>195</v>
      </c>
      <c r="L2" t="s">
        <v>196</v>
      </c>
      <c r="M2" t="s">
        <v>197</v>
      </c>
      <c r="N2" t="s">
        <v>198</v>
      </c>
      <c r="O2" t="s">
        <v>199</v>
      </c>
      <c r="P2" t="s">
        <v>200</v>
      </c>
      <c r="Q2" t="s">
        <v>201</v>
      </c>
      <c r="R2" t="s">
        <v>202</v>
      </c>
      <c r="S2" t="s">
        <v>203</v>
      </c>
      <c r="T2" t="s">
        <v>204</v>
      </c>
    </row>
    <row r="3" spans="1:20">
      <c r="A3" s="241">
        <v>44001</v>
      </c>
      <c r="B3" t="s">
        <v>205</v>
      </c>
      <c r="C3" t="s">
        <v>206</v>
      </c>
      <c r="D3" t="s">
        <v>207</v>
      </c>
      <c r="E3" t="s">
        <v>208</v>
      </c>
      <c r="F3" t="s">
        <v>209</v>
      </c>
      <c r="G3" t="s">
        <v>210</v>
      </c>
      <c r="H3" t="s">
        <v>211</v>
      </c>
      <c r="I3" t="s">
        <v>212</v>
      </c>
      <c r="J3" t="s">
        <v>213</v>
      </c>
      <c r="K3" t="s">
        <v>214</v>
      </c>
      <c r="L3">
        <v>0.86</v>
      </c>
      <c r="M3" t="s">
        <v>215</v>
      </c>
      <c r="N3" t="s">
        <v>216</v>
      </c>
      <c r="O3" t="s">
        <v>217</v>
      </c>
      <c r="P3" t="s">
        <v>218</v>
      </c>
      <c r="Q3" t="s">
        <v>219</v>
      </c>
      <c r="R3" t="s">
        <v>220</v>
      </c>
      <c r="S3" t="s">
        <v>221</v>
      </c>
      <c r="T3" t="s">
        <v>221</v>
      </c>
    </row>
    <row r="4" spans="1:20">
      <c r="A4" s="241">
        <v>44001</v>
      </c>
      <c r="B4" t="s">
        <v>222</v>
      </c>
      <c r="C4" t="s">
        <v>223</v>
      </c>
      <c r="D4" t="s">
        <v>224</v>
      </c>
      <c r="E4" t="s">
        <v>225</v>
      </c>
      <c r="F4" t="s">
        <v>226</v>
      </c>
      <c r="G4" t="s">
        <v>227</v>
      </c>
      <c r="H4" t="s">
        <v>228</v>
      </c>
      <c r="I4" t="s">
        <v>229</v>
      </c>
      <c r="J4" t="s">
        <v>230</v>
      </c>
      <c r="K4" t="s">
        <v>231</v>
      </c>
      <c r="L4">
        <v>0.86</v>
      </c>
      <c r="M4" t="s">
        <v>232</v>
      </c>
      <c r="N4" t="s">
        <v>233</v>
      </c>
      <c r="O4" t="s">
        <v>234</v>
      </c>
      <c r="P4" t="s">
        <v>218</v>
      </c>
      <c r="Q4" t="s">
        <v>219</v>
      </c>
      <c r="R4" t="s">
        <v>220</v>
      </c>
      <c r="S4" t="s">
        <v>221</v>
      </c>
      <c r="T4" t="s">
        <v>221</v>
      </c>
    </row>
    <row r="5" spans="1:20">
      <c r="A5" s="241">
        <v>44001</v>
      </c>
      <c r="B5" t="s">
        <v>235</v>
      </c>
      <c r="C5" t="s">
        <v>236</v>
      </c>
      <c r="D5" t="s">
        <v>237</v>
      </c>
      <c r="E5" t="s">
        <v>238</v>
      </c>
      <c r="F5" t="s">
        <v>239</v>
      </c>
      <c r="G5" t="s">
        <v>240</v>
      </c>
      <c r="H5" t="s">
        <v>241</v>
      </c>
      <c r="I5" t="s">
        <v>242</v>
      </c>
      <c r="J5" t="s">
        <v>243</v>
      </c>
      <c r="K5" t="s">
        <v>244</v>
      </c>
      <c r="L5">
        <v>0.86</v>
      </c>
      <c r="M5" t="s">
        <v>245</v>
      </c>
      <c r="N5" t="s">
        <v>246</v>
      </c>
      <c r="O5" t="s">
        <v>247</v>
      </c>
      <c r="P5" t="s">
        <v>218</v>
      </c>
      <c r="Q5" t="s">
        <v>219</v>
      </c>
      <c r="R5" t="s">
        <v>220</v>
      </c>
      <c r="S5" t="s">
        <v>221</v>
      </c>
      <c r="T5" t="s">
        <v>221</v>
      </c>
    </row>
    <row r="6" spans="1:20">
      <c r="A6" s="241">
        <v>44001</v>
      </c>
      <c r="B6" t="s">
        <v>248</v>
      </c>
      <c r="C6" t="s">
        <v>224</v>
      </c>
      <c r="D6" t="s">
        <v>249</v>
      </c>
      <c r="E6" t="s">
        <v>250</v>
      </c>
      <c r="F6" t="s">
        <v>251</v>
      </c>
      <c r="G6" t="s">
        <v>252</v>
      </c>
      <c r="H6" t="s">
        <v>253</v>
      </c>
      <c r="I6" t="s">
        <v>254</v>
      </c>
      <c r="J6" t="s">
        <v>255</v>
      </c>
      <c r="K6" t="s">
        <v>256</v>
      </c>
      <c r="L6">
        <v>0.86</v>
      </c>
      <c r="M6" t="s">
        <v>257</v>
      </c>
      <c r="N6" t="s">
        <v>258</v>
      </c>
      <c r="O6" t="s">
        <v>259</v>
      </c>
      <c r="P6" t="s">
        <v>218</v>
      </c>
      <c r="Q6" t="s">
        <v>219</v>
      </c>
      <c r="R6" t="s">
        <v>220</v>
      </c>
      <c r="S6" t="s">
        <v>221</v>
      </c>
      <c r="T6" t="s">
        <v>221</v>
      </c>
    </row>
    <row r="7" spans="1:20">
      <c r="A7" s="241">
        <v>44001</v>
      </c>
      <c r="B7" t="s">
        <v>260</v>
      </c>
      <c r="C7" t="s">
        <v>261</v>
      </c>
      <c r="D7" t="s">
        <v>262</v>
      </c>
      <c r="E7" t="s">
        <v>225</v>
      </c>
      <c r="F7" t="s">
        <v>263</v>
      </c>
      <c r="G7" t="s">
        <v>264</v>
      </c>
      <c r="H7" t="s">
        <v>265</v>
      </c>
      <c r="I7" t="s">
        <v>266</v>
      </c>
      <c r="J7" t="s">
        <v>267</v>
      </c>
      <c r="K7" t="s">
        <v>268</v>
      </c>
      <c r="L7">
        <v>0.86</v>
      </c>
      <c r="M7" t="s">
        <v>269</v>
      </c>
      <c r="N7" t="s">
        <v>270</v>
      </c>
      <c r="O7" t="s">
        <v>271</v>
      </c>
      <c r="P7" t="s">
        <v>218</v>
      </c>
      <c r="Q7" t="s">
        <v>219</v>
      </c>
      <c r="R7" t="s">
        <v>220</v>
      </c>
      <c r="S7" t="s">
        <v>221</v>
      </c>
      <c r="T7" t="s">
        <v>221</v>
      </c>
    </row>
    <row r="8" spans="1:20">
      <c r="A8" s="241">
        <v>44001</v>
      </c>
      <c r="B8" t="s">
        <v>272</v>
      </c>
      <c r="C8" t="s">
        <v>273</v>
      </c>
      <c r="D8" t="s">
        <v>274</v>
      </c>
      <c r="E8" t="s">
        <v>250</v>
      </c>
      <c r="F8" t="s">
        <v>275</v>
      </c>
      <c r="G8" t="s">
        <v>276</v>
      </c>
      <c r="H8" t="s">
        <v>277</v>
      </c>
      <c r="I8" t="s">
        <v>278</v>
      </c>
      <c r="J8" t="s">
        <v>279</v>
      </c>
      <c r="K8" t="s">
        <v>280</v>
      </c>
      <c r="L8">
        <v>0.86</v>
      </c>
      <c r="M8" t="s">
        <v>281</v>
      </c>
      <c r="N8" t="s">
        <v>282</v>
      </c>
      <c r="O8" t="s">
        <v>283</v>
      </c>
      <c r="P8" t="s">
        <v>218</v>
      </c>
      <c r="Q8" t="s">
        <v>219</v>
      </c>
      <c r="R8" t="s">
        <v>220</v>
      </c>
      <c r="S8" t="s">
        <v>221</v>
      </c>
      <c r="T8" t="s">
        <v>221</v>
      </c>
    </row>
    <row r="9" spans="1:20">
      <c r="A9" s="241">
        <v>44001</v>
      </c>
      <c r="B9" t="s">
        <v>284</v>
      </c>
      <c r="C9" t="s">
        <v>249</v>
      </c>
      <c r="D9" t="s">
        <v>224</v>
      </c>
      <c r="E9" t="s">
        <v>250</v>
      </c>
      <c r="F9" t="s">
        <v>285</v>
      </c>
      <c r="G9" t="s">
        <v>286</v>
      </c>
      <c r="H9" t="s">
        <v>287</v>
      </c>
      <c r="I9" t="s">
        <v>288</v>
      </c>
      <c r="J9" t="s">
        <v>289</v>
      </c>
      <c r="K9" t="s">
        <v>244</v>
      </c>
      <c r="L9">
        <v>0.86</v>
      </c>
      <c r="M9" t="s">
        <v>290</v>
      </c>
      <c r="N9" t="s">
        <v>291</v>
      </c>
      <c r="O9" t="s">
        <v>292</v>
      </c>
      <c r="P9" t="s">
        <v>218</v>
      </c>
      <c r="Q9" t="s">
        <v>219</v>
      </c>
      <c r="R9" t="s">
        <v>220</v>
      </c>
      <c r="S9" t="s">
        <v>221</v>
      </c>
      <c r="T9" t="s">
        <v>221</v>
      </c>
    </row>
    <row r="10" spans="1:20">
      <c r="A10" s="241">
        <v>44001</v>
      </c>
      <c r="B10" t="s">
        <v>293</v>
      </c>
      <c r="C10" t="s">
        <v>206</v>
      </c>
      <c r="D10" t="s">
        <v>294</v>
      </c>
      <c r="E10" t="s">
        <v>250</v>
      </c>
      <c r="F10" t="s">
        <v>295</v>
      </c>
      <c r="G10" t="s">
        <v>296</v>
      </c>
      <c r="H10" t="s">
        <v>265</v>
      </c>
      <c r="I10" t="s">
        <v>297</v>
      </c>
      <c r="J10" t="s">
        <v>298</v>
      </c>
      <c r="K10" t="s">
        <v>299</v>
      </c>
      <c r="L10">
        <v>0.86</v>
      </c>
      <c r="M10" t="s">
        <v>300</v>
      </c>
      <c r="N10" t="s">
        <v>301</v>
      </c>
      <c r="O10" t="s">
        <v>302</v>
      </c>
      <c r="P10" t="s">
        <v>218</v>
      </c>
      <c r="Q10" t="s">
        <v>219</v>
      </c>
      <c r="R10" t="s">
        <v>220</v>
      </c>
      <c r="S10" t="s">
        <v>221</v>
      </c>
      <c r="T10" t="s">
        <v>221</v>
      </c>
    </row>
    <row r="11" spans="1:20">
      <c r="A11" s="241">
        <v>44001</v>
      </c>
      <c r="B11" t="s">
        <v>303</v>
      </c>
      <c r="C11" t="s">
        <v>224</v>
      </c>
      <c r="D11" t="s">
        <v>224</v>
      </c>
      <c r="E11" t="s">
        <v>304</v>
      </c>
      <c r="F11" t="s">
        <v>305</v>
      </c>
      <c r="G11" t="s">
        <v>306</v>
      </c>
      <c r="H11" t="s">
        <v>307</v>
      </c>
      <c r="I11" t="s">
        <v>308</v>
      </c>
      <c r="J11" t="s">
        <v>309</v>
      </c>
      <c r="K11" t="s">
        <v>280</v>
      </c>
      <c r="L11">
        <v>0.86</v>
      </c>
      <c r="M11" t="s">
        <v>310</v>
      </c>
      <c r="N11" t="s">
        <v>311</v>
      </c>
      <c r="O11" t="s">
        <v>312</v>
      </c>
      <c r="P11" t="s">
        <v>218</v>
      </c>
      <c r="Q11" t="s">
        <v>219</v>
      </c>
      <c r="R11" t="s">
        <v>220</v>
      </c>
      <c r="S11" t="s">
        <v>221</v>
      </c>
      <c r="T11" t="s">
        <v>221</v>
      </c>
    </row>
    <row r="12" spans="1:20">
      <c r="A12" s="241">
        <v>44001</v>
      </c>
      <c r="B12" t="s">
        <v>313</v>
      </c>
      <c r="C12" t="s">
        <v>207</v>
      </c>
      <c r="D12" t="s">
        <v>207</v>
      </c>
      <c r="E12" t="s">
        <v>304</v>
      </c>
      <c r="F12" t="s">
        <v>314</v>
      </c>
      <c r="G12" t="s">
        <v>315</v>
      </c>
      <c r="H12" t="s">
        <v>316</v>
      </c>
      <c r="I12" t="s">
        <v>317</v>
      </c>
      <c r="J12" t="s">
        <v>318</v>
      </c>
      <c r="K12" t="s">
        <v>268</v>
      </c>
      <c r="L12">
        <v>0.86</v>
      </c>
      <c r="M12" t="s">
        <v>319</v>
      </c>
      <c r="N12" t="s">
        <v>320</v>
      </c>
      <c r="O12" t="s">
        <v>321</v>
      </c>
      <c r="P12" t="s">
        <v>218</v>
      </c>
      <c r="Q12" t="s">
        <v>219</v>
      </c>
      <c r="R12" t="s">
        <v>220</v>
      </c>
      <c r="S12" t="s">
        <v>221</v>
      </c>
      <c r="T12" t="s">
        <v>221</v>
      </c>
    </row>
    <row r="13" spans="1:20">
      <c r="A13" s="241">
        <v>44001</v>
      </c>
      <c r="B13" t="s">
        <v>322</v>
      </c>
      <c r="C13" t="s">
        <v>249</v>
      </c>
      <c r="D13" t="s">
        <v>274</v>
      </c>
      <c r="E13" t="s">
        <v>238</v>
      </c>
      <c r="F13" t="s">
        <v>323</v>
      </c>
      <c r="G13" t="s">
        <v>324</v>
      </c>
      <c r="H13" t="s">
        <v>251</v>
      </c>
      <c r="I13" t="s">
        <v>325</v>
      </c>
      <c r="J13" t="s">
        <v>326</v>
      </c>
      <c r="K13" t="s">
        <v>327</v>
      </c>
      <c r="L13">
        <v>0.86</v>
      </c>
      <c r="M13" t="s">
        <v>328</v>
      </c>
      <c r="N13" t="s">
        <v>329</v>
      </c>
      <c r="O13" t="s">
        <v>330</v>
      </c>
      <c r="P13" t="s">
        <v>218</v>
      </c>
      <c r="Q13" t="s">
        <v>219</v>
      </c>
      <c r="R13" t="s">
        <v>220</v>
      </c>
      <c r="S13" t="s">
        <v>221</v>
      </c>
      <c r="T13" t="s">
        <v>221</v>
      </c>
    </row>
    <row r="14" spans="1:20">
      <c r="A14" s="241">
        <v>44001</v>
      </c>
      <c r="B14" t="s">
        <v>331</v>
      </c>
      <c r="C14" t="s">
        <v>249</v>
      </c>
      <c r="D14" t="s">
        <v>294</v>
      </c>
      <c r="E14" t="s">
        <v>332</v>
      </c>
      <c r="F14" t="s">
        <v>333</v>
      </c>
      <c r="G14" t="s">
        <v>334</v>
      </c>
      <c r="H14" t="s">
        <v>335</v>
      </c>
      <c r="I14" t="s">
        <v>336</v>
      </c>
      <c r="J14" t="s">
        <v>337</v>
      </c>
      <c r="K14" t="s">
        <v>338</v>
      </c>
      <c r="L14">
        <v>0.86</v>
      </c>
      <c r="M14" t="s">
        <v>339</v>
      </c>
      <c r="N14" t="s">
        <v>340</v>
      </c>
      <c r="O14" t="s">
        <v>341</v>
      </c>
      <c r="P14" t="s">
        <v>218</v>
      </c>
      <c r="Q14" t="s">
        <v>219</v>
      </c>
      <c r="R14" t="s">
        <v>220</v>
      </c>
      <c r="S14" t="s">
        <v>221</v>
      </c>
      <c r="T14" t="s">
        <v>221</v>
      </c>
    </row>
    <row r="15" spans="1:20">
      <c r="A15" s="241">
        <v>44001</v>
      </c>
      <c r="B15" t="s">
        <v>342</v>
      </c>
      <c r="C15" t="s">
        <v>249</v>
      </c>
      <c r="D15" t="s">
        <v>294</v>
      </c>
      <c r="E15" t="s">
        <v>343</v>
      </c>
      <c r="F15" t="s">
        <v>344</v>
      </c>
      <c r="G15" t="s">
        <v>345</v>
      </c>
      <c r="H15" t="s">
        <v>346</v>
      </c>
      <c r="I15" t="s">
        <v>347</v>
      </c>
      <c r="J15" t="s">
        <v>348</v>
      </c>
      <c r="K15" t="s">
        <v>349</v>
      </c>
      <c r="L15">
        <v>0.86</v>
      </c>
      <c r="M15" t="s">
        <v>350</v>
      </c>
      <c r="N15" t="s">
        <v>351</v>
      </c>
      <c r="O15" t="s">
        <v>352</v>
      </c>
      <c r="P15" t="s">
        <v>218</v>
      </c>
      <c r="Q15" t="s">
        <v>219</v>
      </c>
      <c r="R15" t="s">
        <v>220</v>
      </c>
      <c r="S15" t="s">
        <v>221</v>
      </c>
      <c r="T15" t="s">
        <v>221</v>
      </c>
    </row>
    <row r="16" spans="1:20">
      <c r="A16" s="241">
        <v>44001</v>
      </c>
      <c r="B16" t="s">
        <v>353</v>
      </c>
      <c r="C16" t="s">
        <v>224</v>
      </c>
      <c r="D16" t="s">
        <v>237</v>
      </c>
      <c r="E16" t="s">
        <v>332</v>
      </c>
      <c r="F16" t="s">
        <v>354</v>
      </c>
      <c r="G16" t="s">
        <v>355</v>
      </c>
      <c r="H16" t="s">
        <v>356</v>
      </c>
      <c r="I16" t="s">
        <v>357</v>
      </c>
      <c r="J16" t="s">
        <v>358</v>
      </c>
      <c r="K16" t="s">
        <v>359</v>
      </c>
      <c r="L16">
        <v>0.86</v>
      </c>
      <c r="M16" t="s">
        <v>360</v>
      </c>
      <c r="N16" t="s">
        <v>361</v>
      </c>
      <c r="O16" t="s">
        <v>362</v>
      </c>
      <c r="P16" t="s">
        <v>218</v>
      </c>
      <c r="Q16" t="s">
        <v>219</v>
      </c>
      <c r="R16" t="s">
        <v>220</v>
      </c>
      <c r="S16" t="s">
        <v>221</v>
      </c>
      <c r="T16" t="s">
        <v>221</v>
      </c>
    </row>
    <row r="17" spans="1:20">
      <c r="A17" s="241">
        <v>44001</v>
      </c>
      <c r="B17" t="s">
        <v>363</v>
      </c>
      <c r="C17" t="s">
        <v>223</v>
      </c>
      <c r="D17" t="s">
        <v>237</v>
      </c>
      <c r="E17" t="s">
        <v>343</v>
      </c>
      <c r="F17" t="s">
        <v>364</v>
      </c>
      <c r="G17" t="s">
        <v>365</v>
      </c>
      <c r="H17" t="s">
        <v>366</v>
      </c>
      <c r="I17" t="s">
        <v>367</v>
      </c>
      <c r="J17" t="s">
        <v>368</v>
      </c>
      <c r="K17" t="s">
        <v>369</v>
      </c>
      <c r="L17">
        <v>0.86</v>
      </c>
      <c r="M17" t="s">
        <v>370</v>
      </c>
      <c r="N17" t="s">
        <v>371</v>
      </c>
      <c r="O17" t="s">
        <v>372</v>
      </c>
      <c r="P17" t="s">
        <v>218</v>
      </c>
      <c r="Q17" t="s">
        <v>219</v>
      </c>
      <c r="R17" t="s">
        <v>220</v>
      </c>
      <c r="S17" t="s">
        <v>221</v>
      </c>
      <c r="T17" t="s">
        <v>221</v>
      </c>
    </row>
    <row r="18" spans="1:20">
      <c r="A18" s="241">
        <v>44001</v>
      </c>
      <c r="B18" t="s">
        <v>373</v>
      </c>
      <c r="C18" t="s">
        <v>223</v>
      </c>
      <c r="D18" t="s">
        <v>261</v>
      </c>
      <c r="E18" t="s">
        <v>332</v>
      </c>
      <c r="F18" t="s">
        <v>374</v>
      </c>
      <c r="G18" t="s">
        <v>375</v>
      </c>
      <c r="H18" t="s">
        <v>285</v>
      </c>
      <c r="I18" t="s">
        <v>376</v>
      </c>
      <c r="J18" t="s">
        <v>377</v>
      </c>
      <c r="K18" t="s">
        <v>359</v>
      </c>
      <c r="L18">
        <v>0.86</v>
      </c>
      <c r="M18" t="s">
        <v>378</v>
      </c>
      <c r="N18" t="s">
        <v>379</v>
      </c>
      <c r="O18" t="s">
        <v>380</v>
      </c>
      <c r="P18" t="s">
        <v>218</v>
      </c>
      <c r="Q18" t="s">
        <v>219</v>
      </c>
      <c r="R18" t="s">
        <v>220</v>
      </c>
      <c r="S18" t="s">
        <v>221</v>
      </c>
      <c r="T18" t="s">
        <v>221</v>
      </c>
    </row>
    <row r="19" spans="1:20">
      <c r="A19" s="241">
        <v>44001</v>
      </c>
      <c r="B19" t="s">
        <v>381</v>
      </c>
      <c r="C19" t="s">
        <v>261</v>
      </c>
      <c r="D19" t="s">
        <v>274</v>
      </c>
      <c r="E19" t="s">
        <v>382</v>
      </c>
      <c r="F19" t="s">
        <v>383</v>
      </c>
      <c r="G19" t="s">
        <v>384</v>
      </c>
      <c r="H19" t="s">
        <v>385</v>
      </c>
      <c r="I19" t="s">
        <v>386</v>
      </c>
      <c r="J19" t="s">
        <v>387</v>
      </c>
      <c r="K19" t="s">
        <v>349</v>
      </c>
      <c r="L19">
        <v>0.86</v>
      </c>
      <c r="M19" t="s">
        <v>388</v>
      </c>
      <c r="N19" t="s">
        <v>389</v>
      </c>
      <c r="O19" t="s">
        <v>390</v>
      </c>
      <c r="P19" t="s">
        <v>218</v>
      </c>
      <c r="Q19" t="s">
        <v>219</v>
      </c>
      <c r="R19" t="s">
        <v>220</v>
      </c>
      <c r="S19" t="s">
        <v>221</v>
      </c>
      <c r="T19" t="s">
        <v>221</v>
      </c>
    </row>
    <row r="20" spans="1:20">
      <c r="A20" s="241">
        <v>44001</v>
      </c>
      <c r="B20" t="s">
        <v>391</v>
      </c>
      <c r="C20" t="s">
        <v>237</v>
      </c>
      <c r="D20" t="s">
        <v>207</v>
      </c>
      <c r="E20" t="s">
        <v>392</v>
      </c>
      <c r="F20" t="s">
        <v>393</v>
      </c>
      <c r="G20" t="s">
        <v>394</v>
      </c>
      <c r="H20" t="s">
        <v>395</v>
      </c>
      <c r="I20" t="s">
        <v>396</v>
      </c>
      <c r="J20" t="s">
        <v>397</v>
      </c>
      <c r="K20" t="s">
        <v>369</v>
      </c>
      <c r="L20">
        <v>0.86</v>
      </c>
      <c r="M20" t="s">
        <v>398</v>
      </c>
      <c r="N20" t="s">
        <v>399</v>
      </c>
      <c r="O20" t="s">
        <v>400</v>
      </c>
      <c r="P20" t="s">
        <v>218</v>
      </c>
      <c r="Q20" t="s">
        <v>219</v>
      </c>
      <c r="R20" t="s">
        <v>220</v>
      </c>
      <c r="S20" t="s">
        <v>221</v>
      </c>
      <c r="T20" t="s">
        <v>221</v>
      </c>
    </row>
    <row r="21" spans="1:20">
      <c r="A21" s="241">
        <v>44001</v>
      </c>
      <c r="B21" t="s">
        <v>401</v>
      </c>
      <c r="C21" t="s">
        <v>249</v>
      </c>
      <c r="D21" t="s">
        <v>274</v>
      </c>
      <c r="E21" t="s">
        <v>402</v>
      </c>
      <c r="F21" t="s">
        <v>403</v>
      </c>
      <c r="G21" t="s">
        <v>404</v>
      </c>
      <c r="H21" t="s">
        <v>405</v>
      </c>
      <c r="I21" t="s">
        <v>406</v>
      </c>
      <c r="J21" t="s">
        <v>407</v>
      </c>
      <c r="K21" t="s">
        <v>408</v>
      </c>
      <c r="L21">
        <v>0.86</v>
      </c>
      <c r="M21" t="s">
        <v>409</v>
      </c>
      <c r="N21" t="s">
        <v>410</v>
      </c>
      <c r="O21" t="s">
        <v>411</v>
      </c>
      <c r="P21" t="s">
        <v>218</v>
      </c>
      <c r="Q21" t="s">
        <v>219</v>
      </c>
      <c r="R21" t="s">
        <v>220</v>
      </c>
      <c r="S21" t="s">
        <v>221</v>
      </c>
      <c r="T21" t="s">
        <v>221</v>
      </c>
    </row>
    <row r="22" spans="1:20">
      <c r="A22" s="241">
        <v>44001</v>
      </c>
      <c r="B22" t="s">
        <v>412</v>
      </c>
      <c r="C22" t="s">
        <v>224</v>
      </c>
      <c r="D22" t="s">
        <v>261</v>
      </c>
      <c r="E22" t="s">
        <v>225</v>
      </c>
      <c r="F22" t="s">
        <v>413</v>
      </c>
      <c r="G22" t="s">
        <v>414</v>
      </c>
      <c r="H22" t="s">
        <v>415</v>
      </c>
      <c r="I22" t="s">
        <v>416</v>
      </c>
      <c r="J22" t="s">
        <v>417</v>
      </c>
      <c r="K22" t="s">
        <v>418</v>
      </c>
      <c r="L22">
        <v>0.86</v>
      </c>
      <c r="M22" t="s">
        <v>419</v>
      </c>
      <c r="N22" t="s">
        <v>420</v>
      </c>
      <c r="O22" t="s">
        <v>421</v>
      </c>
      <c r="P22" t="s">
        <v>218</v>
      </c>
      <c r="Q22" t="s">
        <v>219</v>
      </c>
      <c r="R22" t="s">
        <v>220</v>
      </c>
      <c r="S22" t="s">
        <v>221</v>
      </c>
      <c r="T22" t="s">
        <v>221</v>
      </c>
    </row>
    <row r="23" spans="1:20">
      <c r="A23" s="241">
        <v>44001</v>
      </c>
      <c r="B23" t="s">
        <v>422</v>
      </c>
      <c r="C23" t="s">
        <v>423</v>
      </c>
      <c r="D23" t="s">
        <v>423</v>
      </c>
      <c r="E23" t="s">
        <v>424</v>
      </c>
      <c r="F23" t="s">
        <v>413</v>
      </c>
      <c r="G23" t="s">
        <v>425</v>
      </c>
      <c r="H23" t="s">
        <v>426</v>
      </c>
      <c r="I23" t="s">
        <v>427</v>
      </c>
      <c r="J23" t="s">
        <v>417</v>
      </c>
      <c r="K23" t="s">
        <v>428</v>
      </c>
      <c r="L23">
        <v>0.86</v>
      </c>
      <c r="M23" t="s">
        <v>429</v>
      </c>
      <c r="N23" t="s">
        <v>430</v>
      </c>
      <c r="O23" t="s">
        <v>431</v>
      </c>
      <c r="P23" t="s">
        <v>218</v>
      </c>
      <c r="Q23" t="s">
        <v>219</v>
      </c>
      <c r="R23" t="s">
        <v>220</v>
      </c>
      <c r="S23" t="s">
        <v>221</v>
      </c>
      <c r="T23" t="s">
        <v>221</v>
      </c>
    </row>
    <row r="24" spans="1:20">
      <c r="A24" s="241">
        <v>44001</v>
      </c>
      <c r="B24" t="s">
        <v>432</v>
      </c>
      <c r="C24" t="s">
        <v>223</v>
      </c>
      <c r="D24" t="s">
        <v>274</v>
      </c>
      <c r="E24" t="s">
        <v>332</v>
      </c>
      <c r="F24" t="s">
        <v>433</v>
      </c>
      <c r="G24" t="s">
        <v>434</v>
      </c>
      <c r="H24" t="s">
        <v>435</v>
      </c>
      <c r="I24" t="s">
        <v>436</v>
      </c>
      <c r="J24" t="s">
        <v>437</v>
      </c>
      <c r="K24" t="s">
        <v>428</v>
      </c>
      <c r="L24">
        <v>0.86</v>
      </c>
      <c r="M24" t="s">
        <v>438</v>
      </c>
      <c r="N24" t="s">
        <v>439</v>
      </c>
      <c r="O24" t="s">
        <v>440</v>
      </c>
      <c r="P24" t="s">
        <v>218</v>
      </c>
      <c r="Q24" t="s">
        <v>219</v>
      </c>
      <c r="R24" t="s">
        <v>220</v>
      </c>
      <c r="S24" t="s">
        <v>221</v>
      </c>
      <c r="T24" t="s">
        <v>221</v>
      </c>
    </row>
    <row r="25" spans="1:20">
      <c r="A25" s="241">
        <v>44001</v>
      </c>
      <c r="B25" t="s">
        <v>441</v>
      </c>
      <c r="C25" t="s">
        <v>442</v>
      </c>
      <c r="D25" t="s">
        <v>423</v>
      </c>
      <c r="E25" t="s">
        <v>443</v>
      </c>
      <c r="F25" t="s">
        <v>444</v>
      </c>
      <c r="G25" t="s">
        <v>434</v>
      </c>
      <c r="H25" t="s">
        <v>445</v>
      </c>
      <c r="I25" t="s">
        <v>446</v>
      </c>
      <c r="J25" t="s">
        <v>447</v>
      </c>
      <c r="K25" t="s">
        <v>448</v>
      </c>
      <c r="L25">
        <v>0.86</v>
      </c>
      <c r="M25" t="s">
        <v>449</v>
      </c>
      <c r="N25" t="s">
        <v>450</v>
      </c>
      <c r="O25" t="s">
        <v>451</v>
      </c>
      <c r="P25" t="s">
        <v>218</v>
      </c>
      <c r="Q25" t="s">
        <v>219</v>
      </c>
      <c r="R25" t="s">
        <v>220</v>
      </c>
      <c r="S25" t="s">
        <v>221</v>
      </c>
      <c r="T25" t="s">
        <v>221</v>
      </c>
    </row>
    <row r="26" spans="1:20">
      <c r="A26" s="241">
        <v>44001</v>
      </c>
      <c r="B26" t="s">
        <v>452</v>
      </c>
      <c r="C26" t="s">
        <v>237</v>
      </c>
      <c r="D26" t="s">
        <v>423</v>
      </c>
      <c r="E26" t="s">
        <v>250</v>
      </c>
      <c r="F26" t="s">
        <v>444</v>
      </c>
      <c r="G26" t="s">
        <v>453</v>
      </c>
      <c r="H26" t="s">
        <v>454</v>
      </c>
      <c r="I26" t="s">
        <v>455</v>
      </c>
      <c r="J26" t="s">
        <v>456</v>
      </c>
      <c r="K26" t="s">
        <v>457</v>
      </c>
      <c r="L26">
        <v>0.86</v>
      </c>
      <c r="M26" t="s">
        <v>458</v>
      </c>
      <c r="N26" t="s">
        <v>459</v>
      </c>
      <c r="O26" t="s">
        <v>460</v>
      </c>
      <c r="P26" t="s">
        <v>218</v>
      </c>
      <c r="Q26" t="s">
        <v>219</v>
      </c>
      <c r="R26" t="s">
        <v>220</v>
      </c>
      <c r="S26" t="s">
        <v>221</v>
      </c>
      <c r="T26" t="s">
        <v>221</v>
      </c>
    </row>
    <row r="27" spans="1:20">
      <c r="A27" s="241">
        <v>44001</v>
      </c>
      <c r="B27" t="s">
        <v>461</v>
      </c>
      <c r="C27" t="s">
        <v>462</v>
      </c>
      <c r="D27" t="s">
        <v>463</v>
      </c>
      <c r="E27" t="s">
        <v>223</v>
      </c>
      <c r="F27" t="s">
        <v>464</v>
      </c>
      <c r="G27" t="s">
        <v>465</v>
      </c>
      <c r="H27" t="s">
        <v>466</v>
      </c>
      <c r="I27" t="s">
        <v>467</v>
      </c>
      <c r="J27" t="s">
        <v>468</v>
      </c>
      <c r="K27" t="s">
        <v>469</v>
      </c>
      <c r="L27">
        <v>0.89</v>
      </c>
      <c r="M27" t="s">
        <v>470</v>
      </c>
      <c r="N27" t="s">
        <v>471</v>
      </c>
      <c r="O27" t="s">
        <v>472</v>
      </c>
      <c r="P27" t="s">
        <v>218</v>
      </c>
      <c r="Q27" t="s">
        <v>219</v>
      </c>
      <c r="R27" t="s">
        <v>220</v>
      </c>
      <c r="S27" t="s">
        <v>221</v>
      </c>
      <c r="T27" t="s">
        <v>221</v>
      </c>
    </row>
    <row r="28" spans="1:20">
      <c r="A28" s="241">
        <v>44001</v>
      </c>
      <c r="B28" t="s">
        <v>473</v>
      </c>
      <c r="C28" t="s">
        <v>463</v>
      </c>
      <c r="D28" t="s">
        <v>474</v>
      </c>
      <c r="E28" t="s">
        <v>475</v>
      </c>
      <c r="F28" t="s">
        <v>476</v>
      </c>
      <c r="G28" t="s">
        <v>477</v>
      </c>
      <c r="H28" t="s">
        <v>478</v>
      </c>
      <c r="I28" t="s">
        <v>479</v>
      </c>
      <c r="J28" t="s">
        <v>480</v>
      </c>
      <c r="K28" t="s">
        <v>481</v>
      </c>
      <c r="L28">
        <v>0.89</v>
      </c>
      <c r="M28" t="s">
        <v>482</v>
      </c>
      <c r="N28" t="s">
        <v>483</v>
      </c>
      <c r="O28" t="s">
        <v>484</v>
      </c>
      <c r="P28" t="s">
        <v>485</v>
      </c>
      <c r="Q28" t="s">
        <v>219</v>
      </c>
      <c r="R28" t="s">
        <v>220</v>
      </c>
      <c r="S28" t="s">
        <v>221</v>
      </c>
      <c r="T28" t="s">
        <v>221</v>
      </c>
    </row>
    <row r="29" spans="1:20">
      <c r="A29" s="241">
        <v>44001</v>
      </c>
      <c r="B29" t="s">
        <v>486</v>
      </c>
      <c r="C29" t="s">
        <v>487</v>
      </c>
      <c r="D29" t="s">
        <v>487</v>
      </c>
      <c r="E29" t="s">
        <v>488</v>
      </c>
      <c r="F29" t="s">
        <v>489</v>
      </c>
      <c r="G29" t="s">
        <v>490</v>
      </c>
      <c r="H29" t="s">
        <v>491</v>
      </c>
      <c r="I29" t="s">
        <v>492</v>
      </c>
      <c r="J29" t="s">
        <v>493</v>
      </c>
      <c r="K29" t="s">
        <v>494</v>
      </c>
      <c r="L29">
        <v>0.89</v>
      </c>
      <c r="M29" t="s">
        <v>495</v>
      </c>
      <c r="N29" t="s">
        <v>496</v>
      </c>
      <c r="O29" t="s">
        <v>497</v>
      </c>
      <c r="P29" t="s">
        <v>485</v>
      </c>
      <c r="Q29" t="s">
        <v>219</v>
      </c>
      <c r="R29" t="s">
        <v>220</v>
      </c>
      <c r="S29" t="s">
        <v>221</v>
      </c>
      <c r="T29" t="s">
        <v>221</v>
      </c>
    </row>
    <row r="30" spans="1:20">
      <c r="A30" s="241">
        <v>44001</v>
      </c>
      <c r="B30" t="s">
        <v>498</v>
      </c>
      <c r="C30" t="s">
        <v>463</v>
      </c>
      <c r="D30" t="s">
        <v>499</v>
      </c>
      <c r="E30" t="s">
        <v>273</v>
      </c>
      <c r="F30" t="s">
        <v>500</v>
      </c>
      <c r="G30" t="s">
        <v>501</v>
      </c>
      <c r="H30" t="s">
        <v>502</v>
      </c>
      <c r="I30" t="s">
        <v>503</v>
      </c>
      <c r="J30" t="s">
        <v>504</v>
      </c>
      <c r="K30" t="s">
        <v>505</v>
      </c>
      <c r="L30">
        <v>0.89</v>
      </c>
      <c r="M30" t="s">
        <v>506</v>
      </c>
      <c r="N30" t="s">
        <v>507</v>
      </c>
      <c r="O30" t="s">
        <v>508</v>
      </c>
      <c r="P30" t="s">
        <v>485</v>
      </c>
      <c r="Q30" t="s">
        <v>219</v>
      </c>
      <c r="R30" t="s">
        <v>220</v>
      </c>
      <c r="S30" t="s">
        <v>221</v>
      </c>
      <c r="T30" t="s">
        <v>221</v>
      </c>
    </row>
    <row r="31" spans="1:20">
      <c r="A31" s="241">
        <v>44001</v>
      </c>
      <c r="B31" t="s">
        <v>509</v>
      </c>
      <c r="C31" t="s">
        <v>224</v>
      </c>
      <c r="D31" t="s">
        <v>510</v>
      </c>
      <c r="E31" t="s">
        <v>304</v>
      </c>
      <c r="F31" t="s">
        <v>253</v>
      </c>
      <c r="G31" t="s">
        <v>511</v>
      </c>
      <c r="H31" t="s">
        <v>512</v>
      </c>
      <c r="I31" t="s">
        <v>513</v>
      </c>
      <c r="J31" t="s">
        <v>514</v>
      </c>
      <c r="K31" t="s">
        <v>515</v>
      </c>
      <c r="L31">
        <v>0.87</v>
      </c>
      <c r="M31" t="s">
        <v>516</v>
      </c>
      <c r="N31" t="s">
        <v>517</v>
      </c>
      <c r="O31" t="s">
        <v>518</v>
      </c>
      <c r="P31" t="s">
        <v>485</v>
      </c>
      <c r="Q31" t="s">
        <v>219</v>
      </c>
      <c r="R31" t="s">
        <v>220</v>
      </c>
      <c r="S31" t="s">
        <v>221</v>
      </c>
      <c r="T31" t="s">
        <v>221</v>
      </c>
    </row>
    <row r="32" spans="1:20">
      <c r="A32" s="241">
        <v>44001</v>
      </c>
      <c r="B32" t="s">
        <v>519</v>
      </c>
      <c r="C32" t="s">
        <v>249</v>
      </c>
      <c r="D32" t="s">
        <v>207</v>
      </c>
      <c r="E32" t="s">
        <v>304</v>
      </c>
      <c r="F32" t="s">
        <v>253</v>
      </c>
      <c r="G32" t="s">
        <v>520</v>
      </c>
      <c r="H32" t="s">
        <v>521</v>
      </c>
      <c r="I32" t="s">
        <v>522</v>
      </c>
      <c r="J32" t="s">
        <v>523</v>
      </c>
      <c r="K32" t="s">
        <v>524</v>
      </c>
      <c r="L32">
        <v>0.87</v>
      </c>
      <c r="M32" t="s">
        <v>525</v>
      </c>
      <c r="N32" t="s">
        <v>526</v>
      </c>
      <c r="O32" t="s">
        <v>527</v>
      </c>
      <c r="P32" t="s">
        <v>485</v>
      </c>
      <c r="Q32" t="s">
        <v>219</v>
      </c>
      <c r="R32" t="s">
        <v>220</v>
      </c>
      <c r="S32" t="s">
        <v>221</v>
      </c>
      <c r="T32" t="s">
        <v>221</v>
      </c>
    </row>
    <row r="33" spans="1:20">
      <c r="A33" s="241">
        <v>44001</v>
      </c>
      <c r="B33" t="s">
        <v>528</v>
      </c>
      <c r="C33" t="s">
        <v>442</v>
      </c>
      <c r="D33" t="s">
        <v>237</v>
      </c>
      <c r="E33" t="s">
        <v>402</v>
      </c>
      <c r="F33" t="s">
        <v>529</v>
      </c>
      <c r="G33" t="s">
        <v>530</v>
      </c>
      <c r="H33" t="s">
        <v>531</v>
      </c>
      <c r="I33" t="s">
        <v>532</v>
      </c>
      <c r="J33" t="s">
        <v>533</v>
      </c>
      <c r="K33" t="s">
        <v>534</v>
      </c>
      <c r="L33">
        <v>0.87</v>
      </c>
      <c r="M33" t="s">
        <v>535</v>
      </c>
      <c r="N33" t="s">
        <v>536</v>
      </c>
      <c r="O33" t="s">
        <v>537</v>
      </c>
      <c r="P33" t="s">
        <v>485</v>
      </c>
      <c r="Q33" t="s">
        <v>219</v>
      </c>
      <c r="R33" t="s">
        <v>220</v>
      </c>
      <c r="S33" t="s">
        <v>221</v>
      </c>
      <c r="T33" t="s">
        <v>221</v>
      </c>
    </row>
    <row r="34" spans="1:20">
      <c r="A34" s="241">
        <v>44001</v>
      </c>
      <c r="B34" t="s">
        <v>538</v>
      </c>
      <c r="C34" t="s">
        <v>510</v>
      </c>
      <c r="D34" t="s">
        <v>423</v>
      </c>
      <c r="E34" t="s">
        <v>250</v>
      </c>
      <c r="F34" t="s">
        <v>539</v>
      </c>
      <c r="G34" t="s">
        <v>540</v>
      </c>
      <c r="H34" t="s">
        <v>541</v>
      </c>
      <c r="I34" t="s">
        <v>542</v>
      </c>
      <c r="J34" t="s">
        <v>543</v>
      </c>
      <c r="K34" t="s">
        <v>214</v>
      </c>
      <c r="L34">
        <v>0.87</v>
      </c>
      <c r="M34" t="s">
        <v>544</v>
      </c>
      <c r="N34" t="s">
        <v>545</v>
      </c>
      <c r="O34" t="s">
        <v>546</v>
      </c>
      <c r="P34" t="s">
        <v>485</v>
      </c>
      <c r="Q34" t="s">
        <v>219</v>
      </c>
      <c r="R34" t="s">
        <v>220</v>
      </c>
      <c r="S34" t="s">
        <v>221</v>
      </c>
      <c r="T34" t="s">
        <v>221</v>
      </c>
    </row>
    <row r="35" spans="1:20">
      <c r="A35" s="241">
        <v>44001</v>
      </c>
      <c r="B35" t="s">
        <v>547</v>
      </c>
      <c r="C35" t="s">
        <v>262</v>
      </c>
      <c r="D35" t="s">
        <v>274</v>
      </c>
      <c r="E35" t="s">
        <v>343</v>
      </c>
      <c r="F35" t="s">
        <v>539</v>
      </c>
      <c r="G35" t="s">
        <v>548</v>
      </c>
      <c r="H35" t="s">
        <v>549</v>
      </c>
      <c r="I35" t="s">
        <v>550</v>
      </c>
      <c r="J35" t="s">
        <v>551</v>
      </c>
      <c r="K35" t="s">
        <v>214</v>
      </c>
      <c r="L35">
        <v>0.87</v>
      </c>
      <c r="M35" t="s">
        <v>552</v>
      </c>
      <c r="N35" t="s">
        <v>553</v>
      </c>
      <c r="O35" t="s">
        <v>554</v>
      </c>
      <c r="P35" t="s">
        <v>485</v>
      </c>
      <c r="Q35" t="s">
        <v>219</v>
      </c>
      <c r="R35" t="s">
        <v>220</v>
      </c>
      <c r="S35" t="s">
        <v>221</v>
      </c>
      <c r="T35" t="s">
        <v>221</v>
      </c>
    </row>
    <row r="36" spans="1:20">
      <c r="A36" s="241">
        <v>44001</v>
      </c>
      <c r="B36" t="s">
        <v>555</v>
      </c>
      <c r="C36" t="s">
        <v>223</v>
      </c>
      <c r="D36" t="s">
        <v>249</v>
      </c>
      <c r="E36" t="s">
        <v>556</v>
      </c>
      <c r="F36" t="s">
        <v>557</v>
      </c>
      <c r="G36" t="s">
        <v>558</v>
      </c>
      <c r="H36" t="s">
        <v>559</v>
      </c>
      <c r="I36" t="s">
        <v>560</v>
      </c>
      <c r="J36" t="s">
        <v>561</v>
      </c>
      <c r="K36" t="s">
        <v>231</v>
      </c>
      <c r="L36">
        <v>0.86</v>
      </c>
      <c r="M36" t="s">
        <v>562</v>
      </c>
      <c r="N36" t="s">
        <v>563</v>
      </c>
      <c r="O36" t="s">
        <v>564</v>
      </c>
      <c r="P36" t="s">
        <v>485</v>
      </c>
      <c r="Q36" t="s">
        <v>219</v>
      </c>
      <c r="R36" t="s">
        <v>220</v>
      </c>
      <c r="S36" t="s">
        <v>221</v>
      </c>
      <c r="T36" t="s">
        <v>221</v>
      </c>
    </row>
    <row r="37" spans="1:20">
      <c r="A37" s="241">
        <v>44001</v>
      </c>
      <c r="B37" t="s">
        <v>565</v>
      </c>
      <c r="C37" t="s">
        <v>224</v>
      </c>
      <c r="D37" t="s">
        <v>249</v>
      </c>
      <c r="E37" t="s">
        <v>225</v>
      </c>
      <c r="F37" t="s">
        <v>566</v>
      </c>
      <c r="G37" t="s">
        <v>567</v>
      </c>
      <c r="H37" t="s">
        <v>568</v>
      </c>
      <c r="I37" t="s">
        <v>569</v>
      </c>
      <c r="J37" t="s">
        <v>570</v>
      </c>
      <c r="K37" t="s">
        <v>571</v>
      </c>
      <c r="L37">
        <v>0.86</v>
      </c>
      <c r="M37" t="s">
        <v>572</v>
      </c>
      <c r="N37" t="s">
        <v>573</v>
      </c>
      <c r="O37" t="s">
        <v>574</v>
      </c>
      <c r="P37" t="s">
        <v>485</v>
      </c>
      <c r="Q37" t="s">
        <v>219</v>
      </c>
      <c r="R37" t="s">
        <v>220</v>
      </c>
      <c r="S37" t="s">
        <v>221</v>
      </c>
      <c r="T37" t="s">
        <v>221</v>
      </c>
    </row>
    <row r="38" spans="1:20">
      <c r="A38" s="241">
        <v>44001</v>
      </c>
      <c r="B38" t="s">
        <v>575</v>
      </c>
      <c r="C38" t="s">
        <v>207</v>
      </c>
      <c r="D38" t="s">
        <v>274</v>
      </c>
      <c r="E38" t="s">
        <v>332</v>
      </c>
      <c r="F38" t="s">
        <v>576</v>
      </c>
      <c r="G38" t="s">
        <v>227</v>
      </c>
      <c r="H38" t="s">
        <v>253</v>
      </c>
      <c r="I38" t="s">
        <v>577</v>
      </c>
      <c r="J38" t="s">
        <v>578</v>
      </c>
      <c r="K38" t="s">
        <v>579</v>
      </c>
      <c r="L38">
        <v>0.86</v>
      </c>
      <c r="M38" t="s">
        <v>580</v>
      </c>
      <c r="N38" t="s">
        <v>581</v>
      </c>
      <c r="O38" t="s">
        <v>582</v>
      </c>
      <c r="P38" t="s">
        <v>485</v>
      </c>
      <c r="Q38" t="s">
        <v>219</v>
      </c>
      <c r="R38" t="s">
        <v>220</v>
      </c>
      <c r="S38" t="s">
        <v>221</v>
      </c>
      <c r="T38" t="s">
        <v>221</v>
      </c>
    </row>
    <row r="39" spans="1:20">
      <c r="A39" s="241">
        <v>44001</v>
      </c>
      <c r="B39" t="s">
        <v>583</v>
      </c>
      <c r="C39" t="s">
        <v>261</v>
      </c>
      <c r="D39" t="s">
        <v>261</v>
      </c>
      <c r="E39" t="s">
        <v>343</v>
      </c>
      <c r="F39" t="s">
        <v>584</v>
      </c>
      <c r="G39" t="s">
        <v>567</v>
      </c>
      <c r="H39" t="s">
        <v>585</v>
      </c>
      <c r="I39" t="s">
        <v>577</v>
      </c>
      <c r="J39" t="s">
        <v>578</v>
      </c>
      <c r="K39" t="s">
        <v>299</v>
      </c>
      <c r="L39">
        <v>0.86</v>
      </c>
      <c r="M39" t="s">
        <v>586</v>
      </c>
      <c r="N39" t="s">
        <v>587</v>
      </c>
      <c r="O39" t="s">
        <v>588</v>
      </c>
      <c r="P39" t="s">
        <v>485</v>
      </c>
      <c r="Q39" t="s">
        <v>219</v>
      </c>
      <c r="R39" t="s">
        <v>220</v>
      </c>
      <c r="S39" t="s">
        <v>221</v>
      </c>
      <c r="T39" t="s">
        <v>221</v>
      </c>
    </row>
    <row r="40" spans="1:20">
      <c r="A40" s="241">
        <v>44001</v>
      </c>
      <c r="B40" t="s">
        <v>589</v>
      </c>
      <c r="C40" t="s">
        <v>294</v>
      </c>
      <c r="D40" t="s">
        <v>423</v>
      </c>
      <c r="E40" t="s">
        <v>238</v>
      </c>
      <c r="F40" t="s">
        <v>590</v>
      </c>
      <c r="G40" t="s">
        <v>591</v>
      </c>
      <c r="H40" t="s">
        <v>265</v>
      </c>
      <c r="I40" t="s">
        <v>288</v>
      </c>
      <c r="J40" t="s">
        <v>592</v>
      </c>
      <c r="K40" t="s">
        <v>299</v>
      </c>
      <c r="L40">
        <v>0.86</v>
      </c>
      <c r="M40" t="s">
        <v>593</v>
      </c>
      <c r="N40" t="s">
        <v>594</v>
      </c>
      <c r="O40" t="s">
        <v>595</v>
      </c>
      <c r="P40" t="s">
        <v>485</v>
      </c>
      <c r="Q40" t="s">
        <v>219</v>
      </c>
      <c r="R40" t="s">
        <v>220</v>
      </c>
      <c r="S40" t="s">
        <v>221</v>
      </c>
      <c r="T40" t="s">
        <v>221</v>
      </c>
    </row>
    <row r="41" spans="1:20">
      <c r="A41" s="241">
        <v>44001</v>
      </c>
      <c r="B41" t="s">
        <v>596</v>
      </c>
      <c r="C41" t="s">
        <v>249</v>
      </c>
      <c r="D41" t="s">
        <v>224</v>
      </c>
      <c r="E41" t="s">
        <v>597</v>
      </c>
      <c r="F41" t="s">
        <v>598</v>
      </c>
      <c r="G41" t="s">
        <v>599</v>
      </c>
      <c r="H41" t="s">
        <v>600</v>
      </c>
      <c r="I41" t="s">
        <v>297</v>
      </c>
      <c r="J41" t="s">
        <v>601</v>
      </c>
      <c r="K41" t="s">
        <v>280</v>
      </c>
      <c r="L41">
        <v>0.86</v>
      </c>
      <c r="M41" t="s">
        <v>602</v>
      </c>
      <c r="N41" t="s">
        <v>603</v>
      </c>
      <c r="O41" t="s">
        <v>604</v>
      </c>
      <c r="P41" t="s">
        <v>485</v>
      </c>
      <c r="Q41" t="s">
        <v>219</v>
      </c>
      <c r="R41" t="s">
        <v>220</v>
      </c>
      <c r="S41" t="s">
        <v>221</v>
      </c>
      <c r="T41" t="s">
        <v>221</v>
      </c>
    </row>
    <row r="42" spans="1:20">
      <c r="A42" s="241">
        <v>44001</v>
      </c>
      <c r="B42" t="s">
        <v>605</v>
      </c>
      <c r="C42" t="s">
        <v>423</v>
      </c>
      <c r="D42" t="s">
        <v>237</v>
      </c>
      <c r="E42" t="s">
        <v>606</v>
      </c>
      <c r="F42" t="s">
        <v>285</v>
      </c>
      <c r="G42" t="s">
        <v>607</v>
      </c>
      <c r="H42" t="s">
        <v>608</v>
      </c>
      <c r="I42" t="s">
        <v>609</v>
      </c>
      <c r="J42" t="s">
        <v>601</v>
      </c>
      <c r="K42" t="s">
        <v>268</v>
      </c>
      <c r="L42">
        <v>0.86</v>
      </c>
      <c r="M42" t="s">
        <v>610</v>
      </c>
      <c r="N42" t="s">
        <v>611</v>
      </c>
      <c r="O42" t="s">
        <v>612</v>
      </c>
      <c r="P42" t="s">
        <v>485</v>
      </c>
      <c r="Q42" t="s">
        <v>219</v>
      </c>
      <c r="R42" t="s">
        <v>220</v>
      </c>
      <c r="S42" t="s">
        <v>221</v>
      </c>
      <c r="T42" t="s">
        <v>221</v>
      </c>
    </row>
    <row r="43" spans="1:20">
      <c r="A43" s="241">
        <v>44001</v>
      </c>
      <c r="B43" t="s">
        <v>613</v>
      </c>
      <c r="C43" t="s">
        <v>614</v>
      </c>
      <c r="D43" t="s">
        <v>615</v>
      </c>
      <c r="E43" t="s">
        <v>250</v>
      </c>
      <c r="F43" t="s">
        <v>616</v>
      </c>
      <c r="G43" t="s">
        <v>617</v>
      </c>
      <c r="H43" t="s">
        <v>618</v>
      </c>
      <c r="I43" t="s">
        <v>619</v>
      </c>
      <c r="J43" t="s">
        <v>620</v>
      </c>
      <c r="K43" t="s">
        <v>256</v>
      </c>
      <c r="L43">
        <v>0.86</v>
      </c>
      <c r="M43" t="s">
        <v>621</v>
      </c>
      <c r="N43" t="s">
        <v>622</v>
      </c>
      <c r="O43" t="s">
        <v>623</v>
      </c>
      <c r="P43" t="s">
        <v>485</v>
      </c>
      <c r="Q43" t="s">
        <v>219</v>
      </c>
      <c r="R43" t="s">
        <v>220</v>
      </c>
      <c r="S43" t="s">
        <v>221</v>
      </c>
      <c r="T43" t="s">
        <v>221</v>
      </c>
    </row>
    <row r="44" spans="1:20">
      <c r="A44" s="241">
        <v>44001</v>
      </c>
      <c r="B44" t="s">
        <v>624</v>
      </c>
      <c r="C44" t="s">
        <v>614</v>
      </c>
      <c r="D44" t="s">
        <v>625</v>
      </c>
      <c r="E44" t="s">
        <v>332</v>
      </c>
      <c r="F44" t="s">
        <v>626</v>
      </c>
      <c r="G44" t="s">
        <v>345</v>
      </c>
      <c r="H44" t="s">
        <v>263</v>
      </c>
      <c r="I44" t="s">
        <v>317</v>
      </c>
      <c r="J44" t="s">
        <v>620</v>
      </c>
      <c r="K44" t="s">
        <v>579</v>
      </c>
      <c r="L44">
        <v>0.86</v>
      </c>
      <c r="M44" t="s">
        <v>627</v>
      </c>
      <c r="N44" t="s">
        <v>628</v>
      </c>
      <c r="O44" t="s">
        <v>629</v>
      </c>
      <c r="P44" t="s">
        <v>485</v>
      </c>
      <c r="Q44" t="s">
        <v>219</v>
      </c>
      <c r="R44" t="s">
        <v>220</v>
      </c>
      <c r="S44" t="s">
        <v>221</v>
      </c>
      <c r="T44" t="s">
        <v>221</v>
      </c>
    </row>
    <row r="45" spans="1:20">
      <c r="A45" s="241">
        <v>44001</v>
      </c>
      <c r="B45" t="s">
        <v>630</v>
      </c>
      <c r="C45" t="s">
        <v>261</v>
      </c>
      <c r="D45" t="s">
        <v>631</v>
      </c>
      <c r="E45" t="s">
        <v>632</v>
      </c>
      <c r="F45" t="s">
        <v>633</v>
      </c>
      <c r="G45" t="s">
        <v>355</v>
      </c>
      <c r="H45" t="s">
        <v>566</v>
      </c>
      <c r="I45" t="s">
        <v>325</v>
      </c>
      <c r="J45" t="s">
        <v>634</v>
      </c>
      <c r="K45" t="s">
        <v>268</v>
      </c>
      <c r="L45">
        <v>0.86</v>
      </c>
      <c r="M45" t="s">
        <v>635</v>
      </c>
      <c r="N45" t="s">
        <v>636</v>
      </c>
      <c r="O45" t="s">
        <v>637</v>
      </c>
      <c r="P45" t="s">
        <v>485</v>
      </c>
      <c r="Q45" t="s">
        <v>219</v>
      </c>
      <c r="R45" t="s">
        <v>220</v>
      </c>
      <c r="S45" t="s">
        <v>221</v>
      </c>
      <c r="T45" t="s">
        <v>221</v>
      </c>
    </row>
    <row r="46" spans="1:20">
      <c r="A46" s="241">
        <v>44001</v>
      </c>
      <c r="B46" t="s">
        <v>638</v>
      </c>
      <c r="C46" t="s">
        <v>261</v>
      </c>
      <c r="D46" t="s">
        <v>631</v>
      </c>
      <c r="E46" t="s">
        <v>632</v>
      </c>
      <c r="F46" t="s">
        <v>639</v>
      </c>
      <c r="G46" t="s">
        <v>355</v>
      </c>
      <c r="H46" t="s">
        <v>275</v>
      </c>
      <c r="I46" t="s">
        <v>347</v>
      </c>
      <c r="J46" t="s">
        <v>640</v>
      </c>
      <c r="K46" t="s">
        <v>280</v>
      </c>
      <c r="L46">
        <v>0.86</v>
      </c>
      <c r="M46" t="s">
        <v>641</v>
      </c>
      <c r="N46" t="s">
        <v>642</v>
      </c>
      <c r="O46" t="s">
        <v>643</v>
      </c>
      <c r="P46" t="s">
        <v>485</v>
      </c>
      <c r="Q46" t="s">
        <v>219</v>
      </c>
      <c r="R46" t="s">
        <v>220</v>
      </c>
      <c r="S46" t="s">
        <v>221</v>
      </c>
      <c r="T46" t="s">
        <v>221</v>
      </c>
    </row>
    <row r="47" spans="1:20">
      <c r="A47" s="241">
        <v>44001</v>
      </c>
      <c r="B47" t="s">
        <v>644</v>
      </c>
      <c r="C47" t="s">
        <v>224</v>
      </c>
      <c r="D47" t="s">
        <v>645</v>
      </c>
      <c r="E47" t="s">
        <v>646</v>
      </c>
      <c r="F47" t="s">
        <v>647</v>
      </c>
      <c r="G47" t="s">
        <v>648</v>
      </c>
      <c r="H47" t="s">
        <v>649</v>
      </c>
      <c r="I47" t="s">
        <v>357</v>
      </c>
      <c r="J47" t="s">
        <v>650</v>
      </c>
      <c r="K47" t="s">
        <v>651</v>
      </c>
      <c r="L47">
        <v>0.86</v>
      </c>
      <c r="M47" t="s">
        <v>652</v>
      </c>
      <c r="N47" t="s">
        <v>653</v>
      </c>
      <c r="O47" t="s">
        <v>654</v>
      </c>
      <c r="P47" t="s">
        <v>485</v>
      </c>
      <c r="Q47" t="s">
        <v>219</v>
      </c>
      <c r="R47" t="s">
        <v>220</v>
      </c>
      <c r="S47" t="s">
        <v>221</v>
      </c>
      <c r="T47" t="s">
        <v>221</v>
      </c>
    </row>
    <row r="48" spans="1:20">
      <c r="A48" s="241">
        <v>44001</v>
      </c>
      <c r="B48" t="s">
        <v>655</v>
      </c>
      <c r="C48" t="s">
        <v>294</v>
      </c>
      <c r="D48" t="s">
        <v>614</v>
      </c>
      <c r="E48" t="s">
        <v>304</v>
      </c>
      <c r="F48" t="s">
        <v>374</v>
      </c>
      <c r="G48" t="s">
        <v>375</v>
      </c>
      <c r="H48" t="s">
        <v>366</v>
      </c>
      <c r="I48" t="s">
        <v>656</v>
      </c>
      <c r="J48" t="s">
        <v>657</v>
      </c>
      <c r="K48" t="s">
        <v>327</v>
      </c>
      <c r="L48">
        <v>0.86</v>
      </c>
      <c r="M48" t="s">
        <v>658</v>
      </c>
      <c r="N48" t="s">
        <v>659</v>
      </c>
      <c r="O48" t="s">
        <v>660</v>
      </c>
      <c r="P48" t="s">
        <v>485</v>
      </c>
      <c r="Q48" t="s">
        <v>219</v>
      </c>
      <c r="R48" t="s">
        <v>220</v>
      </c>
      <c r="S48" t="s">
        <v>221</v>
      </c>
      <c r="T48" t="s">
        <v>221</v>
      </c>
    </row>
    <row r="49" spans="1:20">
      <c r="A49" s="241">
        <v>44001</v>
      </c>
      <c r="B49" t="s">
        <v>661</v>
      </c>
      <c r="C49" t="s">
        <v>615</v>
      </c>
      <c r="D49" t="s">
        <v>294</v>
      </c>
      <c r="E49" t="s">
        <v>304</v>
      </c>
      <c r="F49" t="s">
        <v>662</v>
      </c>
      <c r="G49" t="s">
        <v>663</v>
      </c>
      <c r="H49" t="s">
        <v>598</v>
      </c>
      <c r="I49" t="s">
        <v>664</v>
      </c>
      <c r="J49" t="s">
        <v>665</v>
      </c>
      <c r="K49" t="s">
        <v>666</v>
      </c>
      <c r="L49">
        <v>0.86</v>
      </c>
      <c r="M49" t="s">
        <v>667</v>
      </c>
      <c r="N49" t="s">
        <v>668</v>
      </c>
      <c r="O49" t="s">
        <v>669</v>
      </c>
      <c r="P49" t="s">
        <v>485</v>
      </c>
      <c r="Q49" t="s">
        <v>219</v>
      </c>
      <c r="R49" t="s">
        <v>220</v>
      </c>
      <c r="S49" t="s">
        <v>221</v>
      </c>
      <c r="T49" t="s">
        <v>221</v>
      </c>
    </row>
    <row r="50" spans="1:20">
      <c r="A50" s="241">
        <v>44001</v>
      </c>
      <c r="B50" t="s">
        <v>670</v>
      </c>
      <c r="C50" t="s">
        <v>615</v>
      </c>
      <c r="D50" t="s">
        <v>671</v>
      </c>
      <c r="E50" t="s">
        <v>250</v>
      </c>
      <c r="F50" t="s">
        <v>672</v>
      </c>
      <c r="G50" t="s">
        <v>673</v>
      </c>
      <c r="H50" t="s">
        <v>285</v>
      </c>
      <c r="I50" t="s">
        <v>674</v>
      </c>
      <c r="J50" t="s">
        <v>377</v>
      </c>
      <c r="K50" t="s">
        <v>327</v>
      </c>
      <c r="L50">
        <v>0.86</v>
      </c>
      <c r="M50" t="s">
        <v>675</v>
      </c>
      <c r="N50" t="s">
        <v>676</v>
      </c>
      <c r="O50" t="s">
        <v>677</v>
      </c>
      <c r="P50" t="s">
        <v>485</v>
      </c>
      <c r="Q50" t="s">
        <v>219</v>
      </c>
      <c r="R50" t="s">
        <v>220</v>
      </c>
      <c r="S50" t="s">
        <v>221</v>
      </c>
      <c r="T50" t="s">
        <v>221</v>
      </c>
    </row>
    <row r="51" spans="1:20">
      <c r="A51" s="241">
        <v>44001</v>
      </c>
      <c r="B51" t="s">
        <v>678</v>
      </c>
      <c r="C51" t="s">
        <v>261</v>
      </c>
      <c r="D51" t="s">
        <v>679</v>
      </c>
      <c r="E51" t="s">
        <v>680</v>
      </c>
      <c r="F51" t="s">
        <v>672</v>
      </c>
      <c r="G51" t="s">
        <v>681</v>
      </c>
      <c r="H51" t="s">
        <v>682</v>
      </c>
      <c r="I51" t="s">
        <v>683</v>
      </c>
      <c r="J51" t="s">
        <v>684</v>
      </c>
      <c r="K51" t="s">
        <v>666</v>
      </c>
      <c r="L51">
        <v>0.86</v>
      </c>
      <c r="M51" t="s">
        <v>685</v>
      </c>
      <c r="N51" t="s">
        <v>686</v>
      </c>
      <c r="O51" t="s">
        <v>687</v>
      </c>
      <c r="P51" t="s">
        <v>485</v>
      </c>
      <c r="Q51" t="s">
        <v>219</v>
      </c>
      <c r="R51" t="s">
        <v>220</v>
      </c>
      <c r="S51" t="s">
        <v>221</v>
      </c>
      <c r="T51" t="s">
        <v>221</v>
      </c>
    </row>
    <row r="52" spans="1:20">
      <c r="A52" s="241">
        <v>44001</v>
      </c>
      <c r="B52" t="s">
        <v>688</v>
      </c>
      <c r="C52" t="s">
        <v>274</v>
      </c>
      <c r="D52" t="s">
        <v>615</v>
      </c>
      <c r="E52" t="s">
        <v>597</v>
      </c>
      <c r="F52" t="s">
        <v>689</v>
      </c>
      <c r="G52" t="s">
        <v>384</v>
      </c>
      <c r="H52" t="s">
        <v>405</v>
      </c>
      <c r="I52" t="s">
        <v>690</v>
      </c>
      <c r="J52" t="s">
        <v>691</v>
      </c>
      <c r="K52" t="s">
        <v>666</v>
      </c>
      <c r="L52">
        <v>0.86</v>
      </c>
      <c r="M52" t="s">
        <v>692</v>
      </c>
      <c r="N52" t="s">
        <v>693</v>
      </c>
      <c r="O52" t="s">
        <v>694</v>
      </c>
      <c r="P52" t="s">
        <v>485</v>
      </c>
      <c r="Q52" t="s">
        <v>219</v>
      </c>
      <c r="R52" t="s">
        <v>220</v>
      </c>
      <c r="S52" t="s">
        <v>221</v>
      </c>
      <c r="T52" t="s">
        <v>221</v>
      </c>
    </row>
    <row r="53" spans="1:20">
      <c r="A53" s="241">
        <v>44001</v>
      </c>
      <c r="B53" t="s">
        <v>695</v>
      </c>
      <c r="C53" t="s">
        <v>237</v>
      </c>
      <c r="D53" t="s">
        <v>645</v>
      </c>
      <c r="E53" t="s">
        <v>696</v>
      </c>
      <c r="F53" t="s">
        <v>403</v>
      </c>
      <c r="G53" t="s">
        <v>697</v>
      </c>
      <c r="H53" t="s">
        <v>295</v>
      </c>
      <c r="I53" t="s">
        <v>698</v>
      </c>
      <c r="J53" t="s">
        <v>699</v>
      </c>
      <c r="K53" t="s">
        <v>700</v>
      </c>
      <c r="L53">
        <v>0.86</v>
      </c>
      <c r="M53" t="s">
        <v>701</v>
      </c>
      <c r="N53" t="s">
        <v>702</v>
      </c>
      <c r="O53" t="s">
        <v>703</v>
      </c>
      <c r="P53" t="s">
        <v>485</v>
      </c>
      <c r="Q53" t="s">
        <v>219</v>
      </c>
      <c r="R53" t="s">
        <v>220</v>
      </c>
      <c r="S53" t="s">
        <v>221</v>
      </c>
      <c r="T53" t="s">
        <v>221</v>
      </c>
    </row>
    <row r="54" spans="1:20">
      <c r="A54" s="241">
        <v>44001</v>
      </c>
      <c r="B54" t="s">
        <v>704</v>
      </c>
      <c r="C54" t="s">
        <v>614</v>
      </c>
      <c r="D54" t="s">
        <v>614</v>
      </c>
      <c r="E54" t="s">
        <v>304</v>
      </c>
      <c r="F54" t="s">
        <v>689</v>
      </c>
      <c r="G54" t="s">
        <v>705</v>
      </c>
      <c r="H54" t="s">
        <v>706</v>
      </c>
      <c r="I54" t="s">
        <v>406</v>
      </c>
      <c r="J54" t="s">
        <v>707</v>
      </c>
      <c r="K54" t="s">
        <v>369</v>
      </c>
      <c r="L54">
        <v>0.86</v>
      </c>
      <c r="M54" t="s">
        <v>708</v>
      </c>
      <c r="N54" t="s">
        <v>709</v>
      </c>
      <c r="O54" t="s">
        <v>710</v>
      </c>
      <c r="P54" t="s">
        <v>485</v>
      </c>
      <c r="Q54" t="s">
        <v>219</v>
      </c>
      <c r="R54" t="s">
        <v>220</v>
      </c>
      <c r="S54" t="s">
        <v>221</v>
      </c>
      <c r="T54" t="s">
        <v>221</v>
      </c>
    </row>
    <row r="55" spans="1:20">
      <c r="A55" s="241">
        <v>44001</v>
      </c>
      <c r="B55" t="s">
        <v>711</v>
      </c>
      <c r="C55" t="s">
        <v>712</v>
      </c>
      <c r="D55" t="s">
        <v>442</v>
      </c>
      <c r="E55" t="s">
        <v>696</v>
      </c>
      <c r="F55" t="s">
        <v>413</v>
      </c>
      <c r="G55" t="s">
        <v>434</v>
      </c>
      <c r="H55" t="s">
        <v>713</v>
      </c>
      <c r="I55" t="s">
        <v>416</v>
      </c>
      <c r="J55" t="s">
        <v>417</v>
      </c>
      <c r="K55" t="s">
        <v>418</v>
      </c>
      <c r="L55">
        <v>0.86</v>
      </c>
      <c r="M55" t="s">
        <v>714</v>
      </c>
      <c r="N55" t="s">
        <v>715</v>
      </c>
      <c r="O55" t="s">
        <v>716</v>
      </c>
      <c r="P55" t="s">
        <v>485</v>
      </c>
      <c r="Q55" t="s">
        <v>219</v>
      </c>
      <c r="R55" t="s">
        <v>220</v>
      </c>
      <c r="S55" t="s">
        <v>221</v>
      </c>
      <c r="T55" t="s">
        <v>221</v>
      </c>
    </row>
    <row r="56" spans="1:20">
      <c r="A56" s="241">
        <v>44001</v>
      </c>
      <c r="B56" t="s">
        <v>717</v>
      </c>
      <c r="C56" t="s">
        <v>442</v>
      </c>
      <c r="D56" t="s">
        <v>625</v>
      </c>
      <c r="E56" t="s">
        <v>696</v>
      </c>
      <c r="F56" t="s">
        <v>718</v>
      </c>
      <c r="G56" t="s">
        <v>719</v>
      </c>
      <c r="H56" t="s">
        <v>720</v>
      </c>
      <c r="I56" t="s">
        <v>721</v>
      </c>
      <c r="J56" t="s">
        <v>447</v>
      </c>
      <c r="K56" t="s">
        <v>722</v>
      </c>
      <c r="L56">
        <v>0.86</v>
      </c>
      <c r="M56" t="s">
        <v>723</v>
      </c>
      <c r="N56" t="s">
        <v>724</v>
      </c>
      <c r="O56" t="s">
        <v>725</v>
      </c>
      <c r="P56" t="s">
        <v>485</v>
      </c>
      <c r="Q56" t="s">
        <v>219</v>
      </c>
      <c r="R56" t="s">
        <v>220</v>
      </c>
      <c r="S56" t="s">
        <v>221</v>
      </c>
      <c r="T56" t="s">
        <v>221</v>
      </c>
    </row>
    <row r="57" spans="1:20">
      <c r="A57" s="241">
        <v>44001</v>
      </c>
      <c r="B57" t="s">
        <v>726</v>
      </c>
      <c r="C57" t="s">
        <v>261</v>
      </c>
      <c r="D57" t="s">
        <v>614</v>
      </c>
      <c r="E57" t="s">
        <v>696</v>
      </c>
      <c r="F57" t="s">
        <v>727</v>
      </c>
      <c r="G57" t="s">
        <v>728</v>
      </c>
      <c r="H57" t="s">
        <v>729</v>
      </c>
      <c r="I57" t="s">
        <v>721</v>
      </c>
      <c r="J57" t="s">
        <v>730</v>
      </c>
      <c r="K57" t="s">
        <v>428</v>
      </c>
      <c r="L57">
        <v>0.86</v>
      </c>
      <c r="M57" t="s">
        <v>731</v>
      </c>
      <c r="N57" t="s">
        <v>732</v>
      </c>
      <c r="O57" t="s">
        <v>733</v>
      </c>
      <c r="P57" t="s">
        <v>485</v>
      </c>
      <c r="Q57" t="s">
        <v>219</v>
      </c>
      <c r="R57" t="s">
        <v>220</v>
      </c>
      <c r="S57" t="s">
        <v>221</v>
      </c>
      <c r="T57" t="s">
        <v>221</v>
      </c>
    </row>
    <row r="58" spans="1:20">
      <c r="A58" s="241">
        <v>44001</v>
      </c>
      <c r="B58" t="s">
        <v>734</v>
      </c>
      <c r="C58" t="s">
        <v>735</v>
      </c>
      <c r="D58" t="s">
        <v>736</v>
      </c>
      <c r="E58" t="s">
        <v>206</v>
      </c>
      <c r="F58" t="s">
        <v>737</v>
      </c>
      <c r="G58" t="s">
        <v>738</v>
      </c>
      <c r="H58" t="s">
        <v>739</v>
      </c>
      <c r="I58" t="s">
        <v>740</v>
      </c>
      <c r="J58" t="s">
        <v>741</v>
      </c>
      <c r="K58" t="s">
        <v>742</v>
      </c>
      <c r="L58">
        <v>0.89</v>
      </c>
      <c r="M58" t="s">
        <v>743</v>
      </c>
      <c r="N58" t="s">
        <v>744</v>
      </c>
      <c r="O58" t="s">
        <v>745</v>
      </c>
      <c r="P58" t="s">
        <v>485</v>
      </c>
      <c r="Q58" t="s">
        <v>219</v>
      </c>
      <c r="R58" t="s">
        <v>220</v>
      </c>
      <c r="S58" t="s">
        <v>221</v>
      </c>
      <c r="T58" t="s">
        <v>221</v>
      </c>
    </row>
    <row r="59" spans="1:20">
      <c r="A59" s="241">
        <v>44001</v>
      </c>
      <c r="B59" t="s">
        <v>746</v>
      </c>
      <c r="C59" t="s">
        <v>747</v>
      </c>
      <c r="D59" t="s">
        <v>735</v>
      </c>
      <c r="E59" t="s">
        <v>236</v>
      </c>
      <c r="F59" t="s">
        <v>748</v>
      </c>
      <c r="G59" t="s">
        <v>749</v>
      </c>
      <c r="H59" t="s">
        <v>500</v>
      </c>
      <c r="I59" t="s">
        <v>750</v>
      </c>
      <c r="J59" t="s">
        <v>751</v>
      </c>
      <c r="K59" t="s">
        <v>469</v>
      </c>
      <c r="L59">
        <v>0.89</v>
      </c>
      <c r="M59" t="s">
        <v>752</v>
      </c>
      <c r="N59" t="s">
        <v>753</v>
      </c>
      <c r="O59" t="s">
        <v>754</v>
      </c>
      <c r="P59" t="s">
        <v>485</v>
      </c>
      <c r="Q59" t="s">
        <v>219</v>
      </c>
      <c r="R59" t="s">
        <v>220</v>
      </c>
      <c r="S59" t="s">
        <v>221</v>
      </c>
      <c r="T59" t="s">
        <v>221</v>
      </c>
    </row>
    <row r="60" spans="1:20">
      <c r="A60" s="241">
        <v>44001</v>
      </c>
      <c r="B60" t="s">
        <v>755</v>
      </c>
      <c r="C60" t="s">
        <v>747</v>
      </c>
      <c r="D60" t="s">
        <v>756</v>
      </c>
      <c r="E60" t="s">
        <v>236</v>
      </c>
      <c r="F60" t="s">
        <v>757</v>
      </c>
      <c r="G60" t="s">
        <v>501</v>
      </c>
      <c r="H60" t="s">
        <v>758</v>
      </c>
      <c r="I60" t="s">
        <v>759</v>
      </c>
      <c r="J60" t="s">
        <v>760</v>
      </c>
      <c r="K60" t="s">
        <v>761</v>
      </c>
      <c r="L60">
        <v>0.89</v>
      </c>
      <c r="M60" t="s">
        <v>762</v>
      </c>
      <c r="N60" t="s">
        <v>763</v>
      </c>
      <c r="O60" t="s">
        <v>764</v>
      </c>
      <c r="P60" t="s">
        <v>485</v>
      </c>
      <c r="Q60" t="s">
        <v>219</v>
      </c>
      <c r="R60" t="s">
        <v>220</v>
      </c>
      <c r="S60" t="s">
        <v>221</v>
      </c>
      <c r="T60" t="s">
        <v>221</v>
      </c>
    </row>
    <row r="61" spans="1:20">
      <c r="A61" s="241">
        <v>44001</v>
      </c>
      <c r="B61" t="s">
        <v>765</v>
      </c>
      <c r="C61" t="s">
        <v>735</v>
      </c>
      <c r="D61" t="s">
        <v>463</v>
      </c>
      <c r="E61" t="s">
        <v>236</v>
      </c>
      <c r="F61" t="s">
        <v>766</v>
      </c>
      <c r="G61" t="s">
        <v>767</v>
      </c>
      <c r="H61" t="s">
        <v>768</v>
      </c>
      <c r="I61" t="s">
        <v>769</v>
      </c>
      <c r="J61" t="s">
        <v>770</v>
      </c>
      <c r="K61" t="s">
        <v>771</v>
      </c>
      <c r="L61">
        <v>0.89</v>
      </c>
      <c r="M61" t="s">
        <v>772</v>
      </c>
      <c r="N61" t="s">
        <v>773</v>
      </c>
      <c r="O61" t="s">
        <v>774</v>
      </c>
      <c r="P61" t="s">
        <v>485</v>
      </c>
      <c r="Q61" t="s">
        <v>219</v>
      </c>
      <c r="R61" t="s">
        <v>220</v>
      </c>
      <c r="S61" t="s">
        <v>221</v>
      </c>
      <c r="T61" t="s">
        <v>221</v>
      </c>
    </row>
    <row r="62" spans="1:20">
      <c r="A62" s="241">
        <v>44001</v>
      </c>
      <c r="B62" t="s">
        <v>775</v>
      </c>
      <c r="C62" t="s">
        <v>274</v>
      </c>
      <c r="D62" t="s">
        <v>274</v>
      </c>
      <c r="E62" t="s">
        <v>382</v>
      </c>
      <c r="F62" t="s">
        <v>776</v>
      </c>
      <c r="G62" t="s">
        <v>777</v>
      </c>
      <c r="H62" t="s">
        <v>778</v>
      </c>
      <c r="I62" t="s">
        <v>779</v>
      </c>
      <c r="J62" t="s">
        <v>780</v>
      </c>
      <c r="K62" t="s">
        <v>781</v>
      </c>
      <c r="L62">
        <v>0.87</v>
      </c>
      <c r="M62" t="s">
        <v>782</v>
      </c>
      <c r="N62" t="s">
        <v>783</v>
      </c>
      <c r="O62" t="s">
        <v>784</v>
      </c>
      <c r="P62" t="s">
        <v>485</v>
      </c>
      <c r="Q62" t="s">
        <v>219</v>
      </c>
      <c r="R62" t="s">
        <v>220</v>
      </c>
      <c r="S62" t="s">
        <v>221</v>
      </c>
      <c r="T62" t="s">
        <v>221</v>
      </c>
    </row>
    <row r="63" spans="1:20">
      <c r="A63" s="241">
        <v>44001</v>
      </c>
      <c r="B63" t="s">
        <v>785</v>
      </c>
      <c r="C63" t="s">
        <v>261</v>
      </c>
      <c r="D63" t="s">
        <v>510</v>
      </c>
      <c r="E63" t="s">
        <v>238</v>
      </c>
      <c r="F63" t="s">
        <v>241</v>
      </c>
      <c r="G63" t="s">
        <v>786</v>
      </c>
      <c r="H63" t="s">
        <v>787</v>
      </c>
      <c r="I63" t="s">
        <v>522</v>
      </c>
      <c r="J63" t="s">
        <v>523</v>
      </c>
      <c r="K63" t="s">
        <v>524</v>
      </c>
      <c r="L63">
        <v>0.87</v>
      </c>
      <c r="M63" t="s">
        <v>788</v>
      </c>
      <c r="N63" t="s">
        <v>789</v>
      </c>
      <c r="O63" t="s">
        <v>790</v>
      </c>
      <c r="P63" t="s">
        <v>485</v>
      </c>
      <c r="Q63" t="s">
        <v>219</v>
      </c>
      <c r="R63" t="s">
        <v>220</v>
      </c>
      <c r="S63" t="s">
        <v>221</v>
      </c>
      <c r="T63" t="s">
        <v>221</v>
      </c>
    </row>
    <row r="64" spans="1:20">
      <c r="A64" s="241">
        <v>44001</v>
      </c>
      <c r="B64" t="s">
        <v>791</v>
      </c>
      <c r="C64" t="s">
        <v>207</v>
      </c>
      <c r="D64" t="s">
        <v>249</v>
      </c>
      <c r="E64" t="s">
        <v>606</v>
      </c>
      <c r="F64" t="s">
        <v>539</v>
      </c>
      <c r="G64" t="s">
        <v>792</v>
      </c>
      <c r="H64" t="s">
        <v>787</v>
      </c>
      <c r="I64" t="s">
        <v>793</v>
      </c>
      <c r="J64" t="s">
        <v>533</v>
      </c>
      <c r="K64" t="s">
        <v>214</v>
      </c>
      <c r="L64">
        <v>0.87</v>
      </c>
      <c r="M64" t="s">
        <v>794</v>
      </c>
      <c r="N64" t="s">
        <v>795</v>
      </c>
      <c r="O64" t="s">
        <v>796</v>
      </c>
      <c r="P64" t="s">
        <v>485</v>
      </c>
      <c r="Q64" t="s">
        <v>219</v>
      </c>
      <c r="R64" t="s">
        <v>220</v>
      </c>
      <c r="S64" t="s">
        <v>221</v>
      </c>
      <c r="T64" t="s">
        <v>221</v>
      </c>
    </row>
    <row r="65" spans="1:20">
      <c r="A65" s="241">
        <v>44001</v>
      </c>
      <c r="B65" t="s">
        <v>797</v>
      </c>
      <c r="C65" t="s">
        <v>237</v>
      </c>
      <c r="D65" t="s">
        <v>423</v>
      </c>
      <c r="E65" t="s">
        <v>606</v>
      </c>
      <c r="F65" t="s">
        <v>585</v>
      </c>
      <c r="G65" t="s">
        <v>798</v>
      </c>
      <c r="H65" t="s">
        <v>799</v>
      </c>
      <c r="I65" t="s">
        <v>550</v>
      </c>
      <c r="J65" t="s">
        <v>543</v>
      </c>
      <c r="K65" t="s">
        <v>524</v>
      </c>
      <c r="L65">
        <v>0.86</v>
      </c>
      <c r="M65" t="s">
        <v>800</v>
      </c>
      <c r="N65" t="s">
        <v>801</v>
      </c>
      <c r="O65" t="s">
        <v>802</v>
      </c>
      <c r="P65" t="s">
        <v>485</v>
      </c>
      <c r="Q65" t="s">
        <v>219</v>
      </c>
      <c r="R65" t="s">
        <v>220</v>
      </c>
      <c r="S65" t="s">
        <v>221</v>
      </c>
      <c r="T65" t="s">
        <v>221</v>
      </c>
    </row>
    <row r="66" spans="1:20">
      <c r="A66" s="241">
        <v>44001</v>
      </c>
      <c r="B66" t="s">
        <v>803</v>
      </c>
      <c r="C66" t="s">
        <v>274</v>
      </c>
      <c r="D66" t="s">
        <v>423</v>
      </c>
      <c r="E66" t="s">
        <v>680</v>
      </c>
      <c r="F66" t="s">
        <v>600</v>
      </c>
      <c r="G66" t="s">
        <v>804</v>
      </c>
      <c r="H66" t="s">
        <v>805</v>
      </c>
      <c r="I66" t="s">
        <v>806</v>
      </c>
      <c r="J66" t="s">
        <v>807</v>
      </c>
      <c r="K66" t="s">
        <v>214</v>
      </c>
      <c r="L66">
        <v>0.86</v>
      </c>
      <c r="M66" t="s">
        <v>808</v>
      </c>
      <c r="N66" t="s">
        <v>809</v>
      </c>
      <c r="O66" t="s">
        <v>810</v>
      </c>
      <c r="P66" t="s">
        <v>485</v>
      </c>
      <c r="Q66" t="s">
        <v>219</v>
      </c>
      <c r="R66" t="s">
        <v>220</v>
      </c>
      <c r="S66" t="s">
        <v>221</v>
      </c>
      <c r="T66" t="s">
        <v>221</v>
      </c>
    </row>
    <row r="67" spans="1:20">
      <c r="A67" s="241">
        <v>44001</v>
      </c>
      <c r="B67" t="s">
        <v>811</v>
      </c>
      <c r="C67" t="s">
        <v>294</v>
      </c>
      <c r="D67" t="s">
        <v>442</v>
      </c>
      <c r="E67" t="s">
        <v>812</v>
      </c>
      <c r="F67" t="s">
        <v>813</v>
      </c>
      <c r="G67" t="s">
        <v>814</v>
      </c>
      <c r="H67" t="s">
        <v>815</v>
      </c>
      <c r="I67" t="s">
        <v>816</v>
      </c>
      <c r="J67" t="s">
        <v>817</v>
      </c>
      <c r="K67" t="s">
        <v>534</v>
      </c>
      <c r="L67">
        <v>0.86</v>
      </c>
      <c r="M67" t="s">
        <v>818</v>
      </c>
      <c r="N67" t="s">
        <v>819</v>
      </c>
      <c r="O67" t="s">
        <v>820</v>
      </c>
      <c r="P67" t="s">
        <v>485</v>
      </c>
      <c r="Q67" t="s">
        <v>219</v>
      </c>
      <c r="R67" t="s">
        <v>220</v>
      </c>
      <c r="S67" t="s">
        <v>221</v>
      </c>
      <c r="T67" t="s">
        <v>221</v>
      </c>
    </row>
    <row r="68" spans="1:20">
      <c r="A68" s="241">
        <v>44001</v>
      </c>
      <c r="B68" t="s">
        <v>821</v>
      </c>
      <c r="C68" t="s">
        <v>207</v>
      </c>
      <c r="D68" t="s">
        <v>645</v>
      </c>
      <c r="E68" t="s">
        <v>597</v>
      </c>
      <c r="F68" t="s">
        <v>822</v>
      </c>
      <c r="G68" t="s">
        <v>599</v>
      </c>
      <c r="H68" t="s">
        <v>823</v>
      </c>
      <c r="I68" t="s">
        <v>824</v>
      </c>
      <c r="J68" t="s">
        <v>825</v>
      </c>
      <c r="K68" t="s">
        <v>571</v>
      </c>
      <c r="L68">
        <v>0.86</v>
      </c>
      <c r="M68" t="s">
        <v>826</v>
      </c>
      <c r="N68" t="s">
        <v>827</v>
      </c>
      <c r="O68" t="s">
        <v>828</v>
      </c>
      <c r="P68" t="s">
        <v>485</v>
      </c>
      <c r="Q68" t="s">
        <v>219</v>
      </c>
      <c r="R68" t="s">
        <v>220</v>
      </c>
      <c r="S68" t="s">
        <v>221</v>
      </c>
      <c r="T68" t="s">
        <v>221</v>
      </c>
    </row>
    <row r="69" spans="1:20">
      <c r="A69" s="241">
        <v>44001</v>
      </c>
      <c r="B69" t="s">
        <v>829</v>
      </c>
      <c r="C69" t="s">
        <v>442</v>
      </c>
      <c r="D69" t="s">
        <v>614</v>
      </c>
      <c r="E69" t="s">
        <v>597</v>
      </c>
      <c r="F69" t="s">
        <v>584</v>
      </c>
      <c r="G69" t="s">
        <v>830</v>
      </c>
      <c r="H69" t="s">
        <v>241</v>
      </c>
      <c r="I69" t="s">
        <v>824</v>
      </c>
      <c r="J69" t="s">
        <v>825</v>
      </c>
      <c r="K69" t="s">
        <v>571</v>
      </c>
      <c r="L69">
        <v>0.86</v>
      </c>
      <c r="M69" t="s">
        <v>831</v>
      </c>
      <c r="N69" t="s">
        <v>832</v>
      </c>
      <c r="O69" t="s">
        <v>833</v>
      </c>
      <c r="P69" t="s">
        <v>485</v>
      </c>
      <c r="Q69" t="s">
        <v>219</v>
      </c>
      <c r="R69" t="s">
        <v>220</v>
      </c>
      <c r="S69" t="s">
        <v>221</v>
      </c>
      <c r="T69" t="s">
        <v>221</v>
      </c>
    </row>
    <row r="70" spans="1:20">
      <c r="A70" s="241">
        <v>44001</v>
      </c>
      <c r="B70" t="s">
        <v>834</v>
      </c>
      <c r="C70" t="s">
        <v>615</v>
      </c>
      <c r="D70" t="s">
        <v>442</v>
      </c>
      <c r="E70" t="s">
        <v>556</v>
      </c>
      <c r="F70" t="s">
        <v>835</v>
      </c>
      <c r="G70" t="s">
        <v>836</v>
      </c>
      <c r="H70" t="s">
        <v>837</v>
      </c>
      <c r="I70" t="s">
        <v>838</v>
      </c>
      <c r="J70" t="s">
        <v>279</v>
      </c>
      <c r="K70" t="s">
        <v>256</v>
      </c>
      <c r="L70">
        <v>0.86</v>
      </c>
      <c r="M70" t="s">
        <v>839</v>
      </c>
      <c r="N70" t="s">
        <v>840</v>
      </c>
      <c r="O70" t="s">
        <v>841</v>
      </c>
      <c r="P70" t="s">
        <v>485</v>
      </c>
      <c r="Q70" t="s">
        <v>219</v>
      </c>
      <c r="R70" t="s">
        <v>220</v>
      </c>
      <c r="S70" t="s">
        <v>221</v>
      </c>
      <c r="T70" t="s">
        <v>221</v>
      </c>
    </row>
    <row r="71" spans="1:20">
      <c r="A71" s="241">
        <v>44001</v>
      </c>
      <c r="B71" t="s">
        <v>842</v>
      </c>
      <c r="C71" t="s">
        <v>274</v>
      </c>
      <c r="D71" t="s">
        <v>261</v>
      </c>
      <c r="E71" t="s">
        <v>606</v>
      </c>
      <c r="F71" t="s">
        <v>616</v>
      </c>
      <c r="G71" t="s">
        <v>843</v>
      </c>
      <c r="H71" t="s">
        <v>585</v>
      </c>
      <c r="I71" t="s">
        <v>288</v>
      </c>
      <c r="J71" t="s">
        <v>289</v>
      </c>
      <c r="K71" t="s">
        <v>571</v>
      </c>
      <c r="L71">
        <v>0.86</v>
      </c>
      <c r="M71" t="s">
        <v>844</v>
      </c>
      <c r="N71" t="s">
        <v>845</v>
      </c>
      <c r="O71" t="s">
        <v>846</v>
      </c>
      <c r="P71" t="s">
        <v>485</v>
      </c>
      <c r="Q71" t="s">
        <v>219</v>
      </c>
      <c r="R71" t="s">
        <v>220</v>
      </c>
      <c r="S71" t="s">
        <v>221</v>
      </c>
      <c r="T71" t="s">
        <v>221</v>
      </c>
    </row>
    <row r="72" spans="1:20">
      <c r="A72" s="241">
        <v>44001</v>
      </c>
      <c r="B72" t="s">
        <v>847</v>
      </c>
      <c r="C72" t="s">
        <v>614</v>
      </c>
      <c r="D72" t="s">
        <v>645</v>
      </c>
      <c r="E72" t="s">
        <v>343</v>
      </c>
      <c r="F72" t="s">
        <v>848</v>
      </c>
      <c r="G72" t="s">
        <v>843</v>
      </c>
      <c r="H72" t="s">
        <v>837</v>
      </c>
      <c r="I72" t="s">
        <v>849</v>
      </c>
      <c r="J72" t="s">
        <v>850</v>
      </c>
      <c r="K72" t="s">
        <v>579</v>
      </c>
      <c r="L72">
        <v>0.86</v>
      </c>
      <c r="M72" t="s">
        <v>851</v>
      </c>
      <c r="N72" t="s">
        <v>852</v>
      </c>
      <c r="O72" t="s">
        <v>853</v>
      </c>
      <c r="P72" t="s">
        <v>485</v>
      </c>
      <c r="Q72" t="s">
        <v>219</v>
      </c>
      <c r="R72" t="s">
        <v>220</v>
      </c>
      <c r="S72" t="s">
        <v>221</v>
      </c>
      <c r="T72" t="s">
        <v>221</v>
      </c>
    </row>
    <row r="73" spans="1:20">
      <c r="A73" s="241">
        <v>44001</v>
      </c>
      <c r="B73" t="s">
        <v>854</v>
      </c>
      <c r="C73" t="s">
        <v>294</v>
      </c>
      <c r="D73" t="s">
        <v>614</v>
      </c>
      <c r="E73" t="s">
        <v>696</v>
      </c>
      <c r="F73" t="s">
        <v>855</v>
      </c>
      <c r="G73" t="s">
        <v>856</v>
      </c>
      <c r="H73" t="s">
        <v>539</v>
      </c>
      <c r="I73" t="s">
        <v>308</v>
      </c>
      <c r="J73" t="s">
        <v>857</v>
      </c>
      <c r="K73" t="s">
        <v>579</v>
      </c>
      <c r="L73">
        <v>0.86</v>
      </c>
      <c r="M73" t="s">
        <v>858</v>
      </c>
      <c r="N73" t="s">
        <v>859</v>
      </c>
      <c r="O73" t="s">
        <v>860</v>
      </c>
      <c r="P73" t="s">
        <v>485</v>
      </c>
      <c r="Q73" t="s">
        <v>219</v>
      </c>
      <c r="R73" t="s">
        <v>220</v>
      </c>
      <c r="S73" t="s">
        <v>221</v>
      </c>
      <c r="T73" t="s">
        <v>221</v>
      </c>
    </row>
    <row r="74" spans="1:20">
      <c r="A74" s="241">
        <v>44001</v>
      </c>
      <c r="B74" t="s">
        <v>861</v>
      </c>
      <c r="C74" t="s">
        <v>274</v>
      </c>
      <c r="D74" t="s">
        <v>645</v>
      </c>
      <c r="E74" t="s">
        <v>304</v>
      </c>
      <c r="F74" t="s">
        <v>395</v>
      </c>
      <c r="G74" t="s">
        <v>591</v>
      </c>
      <c r="H74" t="s">
        <v>862</v>
      </c>
      <c r="I74" t="s">
        <v>863</v>
      </c>
      <c r="J74" t="s">
        <v>601</v>
      </c>
      <c r="K74" t="s">
        <v>244</v>
      </c>
      <c r="L74">
        <v>0.86</v>
      </c>
      <c r="M74" t="s">
        <v>864</v>
      </c>
      <c r="N74" t="s">
        <v>865</v>
      </c>
      <c r="O74" t="s">
        <v>866</v>
      </c>
      <c r="P74" t="s">
        <v>485</v>
      </c>
      <c r="Q74" t="s">
        <v>219</v>
      </c>
      <c r="R74" t="s">
        <v>220</v>
      </c>
      <c r="S74" t="s">
        <v>221</v>
      </c>
      <c r="T74" t="s">
        <v>221</v>
      </c>
    </row>
    <row r="75" spans="1:20">
      <c r="A75" s="241">
        <v>44001</v>
      </c>
      <c r="B75" t="s">
        <v>867</v>
      </c>
      <c r="C75" t="s">
        <v>712</v>
      </c>
      <c r="D75" t="s">
        <v>442</v>
      </c>
      <c r="E75" t="s">
        <v>225</v>
      </c>
      <c r="F75" t="s">
        <v>405</v>
      </c>
      <c r="G75" t="s">
        <v>345</v>
      </c>
      <c r="H75" t="s">
        <v>868</v>
      </c>
      <c r="I75" t="s">
        <v>869</v>
      </c>
      <c r="J75" t="s">
        <v>870</v>
      </c>
      <c r="K75" t="s">
        <v>244</v>
      </c>
      <c r="L75">
        <v>0.86</v>
      </c>
      <c r="M75" t="s">
        <v>871</v>
      </c>
      <c r="N75" t="s">
        <v>872</v>
      </c>
      <c r="O75" t="s">
        <v>873</v>
      </c>
      <c r="P75" t="s">
        <v>485</v>
      </c>
      <c r="Q75" t="s">
        <v>219</v>
      </c>
      <c r="R75" t="s">
        <v>220</v>
      </c>
      <c r="S75" t="s">
        <v>221</v>
      </c>
      <c r="T75" t="s">
        <v>221</v>
      </c>
    </row>
    <row r="76" spans="1:20">
      <c r="A76" s="241">
        <v>44001</v>
      </c>
      <c r="B76" t="s">
        <v>874</v>
      </c>
      <c r="C76" t="s">
        <v>249</v>
      </c>
      <c r="D76" t="s">
        <v>614</v>
      </c>
      <c r="E76" t="s">
        <v>225</v>
      </c>
      <c r="F76" t="s">
        <v>426</v>
      </c>
      <c r="G76" t="s">
        <v>875</v>
      </c>
      <c r="H76" t="s">
        <v>876</v>
      </c>
      <c r="I76" t="s">
        <v>325</v>
      </c>
      <c r="J76" t="s">
        <v>634</v>
      </c>
      <c r="K76" t="s">
        <v>268</v>
      </c>
      <c r="L76">
        <v>0.86</v>
      </c>
      <c r="M76" t="s">
        <v>877</v>
      </c>
      <c r="N76" t="s">
        <v>878</v>
      </c>
      <c r="O76" t="s">
        <v>879</v>
      </c>
      <c r="P76" t="s">
        <v>485</v>
      </c>
      <c r="Q76" t="s">
        <v>219</v>
      </c>
      <c r="R76" t="s">
        <v>220</v>
      </c>
      <c r="S76" t="s">
        <v>221</v>
      </c>
      <c r="T76" t="s">
        <v>221</v>
      </c>
    </row>
    <row r="77" spans="1:20">
      <c r="A77" s="241">
        <v>44001</v>
      </c>
      <c r="B77" t="s">
        <v>880</v>
      </c>
      <c r="C77" t="s">
        <v>510</v>
      </c>
      <c r="D77" t="s">
        <v>615</v>
      </c>
      <c r="E77" t="s">
        <v>606</v>
      </c>
      <c r="F77" t="s">
        <v>633</v>
      </c>
      <c r="G77" t="s">
        <v>648</v>
      </c>
      <c r="H77" t="s">
        <v>881</v>
      </c>
      <c r="I77" t="s">
        <v>882</v>
      </c>
      <c r="J77" t="s">
        <v>337</v>
      </c>
      <c r="K77" t="s">
        <v>280</v>
      </c>
      <c r="L77">
        <v>0.86</v>
      </c>
      <c r="M77" t="s">
        <v>883</v>
      </c>
      <c r="N77" t="s">
        <v>884</v>
      </c>
      <c r="O77" t="s">
        <v>885</v>
      </c>
      <c r="P77" t="s">
        <v>485</v>
      </c>
      <c r="Q77" t="s">
        <v>219</v>
      </c>
      <c r="R77" t="s">
        <v>220</v>
      </c>
      <c r="S77" t="s">
        <v>221</v>
      </c>
      <c r="T77" t="s">
        <v>221</v>
      </c>
    </row>
    <row r="78" spans="1:20">
      <c r="A78" s="241">
        <v>44001</v>
      </c>
      <c r="B78" t="s">
        <v>886</v>
      </c>
      <c r="C78" t="s">
        <v>614</v>
      </c>
      <c r="D78" t="s">
        <v>237</v>
      </c>
      <c r="E78" t="s">
        <v>812</v>
      </c>
      <c r="F78" t="s">
        <v>887</v>
      </c>
      <c r="G78" t="s">
        <v>365</v>
      </c>
      <c r="H78" t="s">
        <v>881</v>
      </c>
      <c r="I78" t="s">
        <v>888</v>
      </c>
      <c r="J78" t="s">
        <v>650</v>
      </c>
      <c r="K78" t="s">
        <v>338</v>
      </c>
      <c r="L78">
        <v>0.86</v>
      </c>
      <c r="M78" t="s">
        <v>889</v>
      </c>
      <c r="N78" t="s">
        <v>890</v>
      </c>
      <c r="O78" t="s">
        <v>891</v>
      </c>
      <c r="P78" t="s">
        <v>485</v>
      </c>
      <c r="Q78" t="s">
        <v>219</v>
      </c>
      <c r="R78" t="s">
        <v>220</v>
      </c>
      <c r="S78" t="s">
        <v>221</v>
      </c>
      <c r="T78" t="s">
        <v>221</v>
      </c>
    </row>
    <row r="79" spans="1:20">
      <c r="A79" s="241">
        <v>44001</v>
      </c>
      <c r="B79" t="s">
        <v>892</v>
      </c>
      <c r="C79" t="s">
        <v>237</v>
      </c>
      <c r="D79" t="s">
        <v>274</v>
      </c>
      <c r="E79" t="s">
        <v>597</v>
      </c>
      <c r="F79" t="s">
        <v>647</v>
      </c>
      <c r="G79" t="s">
        <v>375</v>
      </c>
      <c r="H79" t="s">
        <v>584</v>
      </c>
      <c r="I79" t="s">
        <v>888</v>
      </c>
      <c r="J79" t="s">
        <v>650</v>
      </c>
      <c r="K79" t="s">
        <v>338</v>
      </c>
      <c r="L79">
        <v>0.86</v>
      </c>
      <c r="M79" t="s">
        <v>893</v>
      </c>
      <c r="N79" t="s">
        <v>894</v>
      </c>
      <c r="O79" t="s">
        <v>895</v>
      </c>
      <c r="P79" t="s">
        <v>485</v>
      </c>
      <c r="Q79" t="s">
        <v>219</v>
      </c>
      <c r="R79" t="s">
        <v>220</v>
      </c>
      <c r="S79" t="s">
        <v>221</v>
      </c>
      <c r="T79" t="s">
        <v>221</v>
      </c>
    </row>
    <row r="80" spans="1:20">
      <c r="A80" s="241">
        <v>44001</v>
      </c>
      <c r="B80" t="s">
        <v>896</v>
      </c>
      <c r="C80" t="s">
        <v>423</v>
      </c>
      <c r="D80" t="s">
        <v>294</v>
      </c>
      <c r="E80" t="s">
        <v>597</v>
      </c>
      <c r="F80" t="s">
        <v>897</v>
      </c>
      <c r="G80" t="s">
        <v>898</v>
      </c>
      <c r="H80" t="s">
        <v>366</v>
      </c>
      <c r="I80" t="s">
        <v>664</v>
      </c>
      <c r="J80" t="s">
        <v>899</v>
      </c>
      <c r="K80" t="s">
        <v>651</v>
      </c>
      <c r="L80">
        <v>0.86</v>
      </c>
      <c r="M80" t="s">
        <v>900</v>
      </c>
      <c r="N80" t="s">
        <v>901</v>
      </c>
      <c r="O80" t="s">
        <v>902</v>
      </c>
      <c r="P80" t="s">
        <v>485</v>
      </c>
      <c r="Q80" t="s">
        <v>219</v>
      </c>
      <c r="R80" t="s">
        <v>220</v>
      </c>
      <c r="S80" t="s">
        <v>221</v>
      </c>
      <c r="T80" t="s">
        <v>221</v>
      </c>
    </row>
    <row r="81" spans="1:20">
      <c r="A81" s="241">
        <v>44001</v>
      </c>
      <c r="B81" t="s">
        <v>903</v>
      </c>
      <c r="C81" t="s">
        <v>442</v>
      </c>
      <c r="D81" t="s">
        <v>442</v>
      </c>
      <c r="E81" t="s">
        <v>632</v>
      </c>
      <c r="F81" t="s">
        <v>904</v>
      </c>
      <c r="G81" t="s">
        <v>394</v>
      </c>
      <c r="H81" t="s">
        <v>598</v>
      </c>
      <c r="I81" t="s">
        <v>683</v>
      </c>
      <c r="J81" t="s">
        <v>387</v>
      </c>
      <c r="K81" t="s">
        <v>338</v>
      </c>
      <c r="L81">
        <v>0.86</v>
      </c>
      <c r="M81" t="s">
        <v>905</v>
      </c>
      <c r="N81" t="s">
        <v>906</v>
      </c>
      <c r="O81" t="s">
        <v>907</v>
      </c>
      <c r="P81" t="s">
        <v>485</v>
      </c>
      <c r="Q81" t="s">
        <v>219</v>
      </c>
      <c r="R81" t="s">
        <v>220</v>
      </c>
      <c r="S81" t="s">
        <v>221</v>
      </c>
      <c r="T81" t="s">
        <v>221</v>
      </c>
    </row>
    <row r="82" spans="1:20">
      <c r="A82" s="241">
        <v>44001</v>
      </c>
      <c r="B82" t="s">
        <v>908</v>
      </c>
      <c r="C82" t="s">
        <v>614</v>
      </c>
      <c r="D82" t="s">
        <v>645</v>
      </c>
      <c r="E82" t="s">
        <v>424</v>
      </c>
      <c r="F82" t="s">
        <v>909</v>
      </c>
      <c r="G82" t="s">
        <v>910</v>
      </c>
      <c r="H82" t="s">
        <v>295</v>
      </c>
      <c r="I82" t="s">
        <v>911</v>
      </c>
      <c r="J82" t="s">
        <v>912</v>
      </c>
      <c r="K82" t="s">
        <v>359</v>
      </c>
      <c r="L82">
        <v>0.86</v>
      </c>
      <c r="M82" t="s">
        <v>913</v>
      </c>
      <c r="N82" t="s">
        <v>914</v>
      </c>
      <c r="O82" t="s">
        <v>915</v>
      </c>
      <c r="P82" t="s">
        <v>485</v>
      </c>
      <c r="Q82" t="s">
        <v>219</v>
      </c>
      <c r="R82" t="s">
        <v>220</v>
      </c>
      <c r="S82" t="s">
        <v>221</v>
      </c>
      <c r="T82" t="s">
        <v>221</v>
      </c>
    </row>
    <row r="83" spans="1:20">
      <c r="A83" s="241">
        <v>44001</v>
      </c>
      <c r="B83" t="s">
        <v>916</v>
      </c>
      <c r="C83" t="s">
        <v>261</v>
      </c>
      <c r="D83" t="s">
        <v>207</v>
      </c>
      <c r="E83" t="s">
        <v>812</v>
      </c>
      <c r="F83" t="s">
        <v>917</v>
      </c>
      <c r="G83" t="s">
        <v>918</v>
      </c>
      <c r="H83" t="s">
        <v>706</v>
      </c>
      <c r="I83" t="s">
        <v>698</v>
      </c>
      <c r="J83" t="s">
        <v>919</v>
      </c>
      <c r="K83" t="s">
        <v>369</v>
      </c>
      <c r="L83">
        <v>0.86</v>
      </c>
      <c r="M83" t="s">
        <v>920</v>
      </c>
      <c r="N83" t="s">
        <v>921</v>
      </c>
      <c r="O83" t="s">
        <v>922</v>
      </c>
      <c r="P83" t="s">
        <v>485</v>
      </c>
      <c r="Q83" t="s">
        <v>219</v>
      </c>
      <c r="R83" t="s">
        <v>220</v>
      </c>
      <c r="S83" t="s">
        <v>221</v>
      </c>
      <c r="T83" t="s">
        <v>221</v>
      </c>
    </row>
    <row r="84" spans="1:20">
      <c r="A84" s="241">
        <v>44001</v>
      </c>
      <c r="B84" t="s">
        <v>923</v>
      </c>
      <c r="C84" t="s">
        <v>294</v>
      </c>
      <c r="D84" t="s">
        <v>442</v>
      </c>
      <c r="E84" t="s">
        <v>304</v>
      </c>
      <c r="F84" t="s">
        <v>924</v>
      </c>
      <c r="G84" t="s">
        <v>925</v>
      </c>
      <c r="H84" t="s">
        <v>926</v>
      </c>
      <c r="I84" t="s">
        <v>406</v>
      </c>
      <c r="J84" t="s">
        <v>919</v>
      </c>
      <c r="K84" t="s">
        <v>359</v>
      </c>
      <c r="L84">
        <v>0.86</v>
      </c>
      <c r="M84" t="s">
        <v>927</v>
      </c>
      <c r="N84" t="s">
        <v>928</v>
      </c>
      <c r="O84" t="s">
        <v>929</v>
      </c>
      <c r="P84" t="s">
        <v>485</v>
      </c>
      <c r="Q84" t="s">
        <v>219</v>
      </c>
      <c r="R84" t="s">
        <v>220</v>
      </c>
      <c r="S84" t="s">
        <v>221</v>
      </c>
      <c r="T84" t="s">
        <v>221</v>
      </c>
    </row>
    <row r="85" spans="1:20">
      <c r="A85" s="241">
        <v>44001</v>
      </c>
      <c r="B85" t="s">
        <v>930</v>
      </c>
      <c r="C85" t="s">
        <v>614</v>
      </c>
      <c r="D85" t="s">
        <v>712</v>
      </c>
      <c r="E85" t="s">
        <v>225</v>
      </c>
      <c r="F85" t="s">
        <v>403</v>
      </c>
      <c r="G85" t="s">
        <v>931</v>
      </c>
      <c r="H85" t="s">
        <v>706</v>
      </c>
      <c r="I85" t="s">
        <v>932</v>
      </c>
      <c r="J85" t="s">
        <v>707</v>
      </c>
      <c r="K85" t="s">
        <v>359</v>
      </c>
      <c r="L85">
        <v>0.86</v>
      </c>
      <c r="M85" t="s">
        <v>933</v>
      </c>
      <c r="N85" t="s">
        <v>934</v>
      </c>
      <c r="O85" t="s">
        <v>935</v>
      </c>
      <c r="P85" t="s">
        <v>485</v>
      </c>
      <c r="Q85" t="s">
        <v>219</v>
      </c>
      <c r="R85" t="s">
        <v>220</v>
      </c>
      <c r="S85" t="s">
        <v>221</v>
      </c>
      <c r="T85" t="s">
        <v>221</v>
      </c>
    </row>
    <row r="86" spans="1:20">
      <c r="A86" s="241">
        <v>44001</v>
      </c>
      <c r="B86" t="s">
        <v>936</v>
      </c>
      <c r="C86" t="s">
        <v>625</v>
      </c>
      <c r="D86" t="s">
        <v>614</v>
      </c>
      <c r="E86" t="s">
        <v>332</v>
      </c>
      <c r="F86" t="s">
        <v>937</v>
      </c>
      <c r="G86" t="s">
        <v>938</v>
      </c>
      <c r="H86" t="s">
        <v>713</v>
      </c>
      <c r="I86" t="s">
        <v>939</v>
      </c>
      <c r="J86" t="s">
        <v>940</v>
      </c>
      <c r="K86" t="s">
        <v>700</v>
      </c>
      <c r="L86">
        <v>0.86</v>
      </c>
      <c r="M86" t="s">
        <v>941</v>
      </c>
      <c r="N86" t="s">
        <v>942</v>
      </c>
      <c r="O86" t="s">
        <v>943</v>
      </c>
      <c r="P86" t="s">
        <v>485</v>
      </c>
      <c r="Q86" t="s">
        <v>219</v>
      </c>
      <c r="R86" t="s">
        <v>220</v>
      </c>
      <c r="S86" t="s">
        <v>221</v>
      </c>
      <c r="T86" t="s">
        <v>221</v>
      </c>
    </row>
    <row r="87" spans="1:20">
      <c r="A87" s="241">
        <v>44001</v>
      </c>
      <c r="B87" t="s">
        <v>944</v>
      </c>
      <c r="C87" t="s">
        <v>442</v>
      </c>
      <c r="D87" t="s">
        <v>615</v>
      </c>
      <c r="E87" t="s">
        <v>597</v>
      </c>
      <c r="F87" t="s">
        <v>945</v>
      </c>
      <c r="G87" t="s">
        <v>946</v>
      </c>
      <c r="H87" t="s">
        <v>729</v>
      </c>
      <c r="I87" t="s">
        <v>947</v>
      </c>
      <c r="J87" t="s">
        <v>730</v>
      </c>
      <c r="K87" t="s">
        <v>369</v>
      </c>
      <c r="L87">
        <v>0.86</v>
      </c>
      <c r="M87" t="s">
        <v>948</v>
      </c>
      <c r="N87" t="s">
        <v>949</v>
      </c>
      <c r="O87" t="s">
        <v>950</v>
      </c>
      <c r="P87" t="s">
        <v>485</v>
      </c>
      <c r="Q87" t="s">
        <v>219</v>
      </c>
      <c r="R87" t="s">
        <v>220</v>
      </c>
      <c r="S87" t="s">
        <v>221</v>
      </c>
      <c r="T87" t="s">
        <v>221</v>
      </c>
    </row>
    <row r="88" spans="1:20">
      <c r="A88" s="241">
        <v>44001</v>
      </c>
      <c r="B88" t="s">
        <v>951</v>
      </c>
      <c r="C88" t="s">
        <v>274</v>
      </c>
      <c r="D88" t="s">
        <v>671</v>
      </c>
      <c r="E88" t="s">
        <v>812</v>
      </c>
      <c r="F88" t="s">
        <v>952</v>
      </c>
      <c r="G88" t="s">
        <v>953</v>
      </c>
      <c r="H88" t="s">
        <v>647</v>
      </c>
      <c r="I88" t="s">
        <v>446</v>
      </c>
      <c r="J88" t="s">
        <v>954</v>
      </c>
      <c r="K88" t="s">
        <v>359</v>
      </c>
      <c r="L88">
        <v>0.86</v>
      </c>
      <c r="M88" t="s">
        <v>955</v>
      </c>
      <c r="N88" t="s">
        <v>956</v>
      </c>
      <c r="O88" t="s">
        <v>957</v>
      </c>
      <c r="P88" t="s">
        <v>485</v>
      </c>
      <c r="Q88" t="s">
        <v>219</v>
      </c>
      <c r="R88" t="s">
        <v>220</v>
      </c>
      <c r="S88" t="s">
        <v>221</v>
      </c>
      <c r="T88" t="s">
        <v>221</v>
      </c>
    </row>
    <row r="89" spans="1:20">
      <c r="A89" s="241">
        <v>44001</v>
      </c>
      <c r="B89" t="s">
        <v>958</v>
      </c>
      <c r="C89" t="s">
        <v>959</v>
      </c>
      <c r="D89" t="s">
        <v>959</v>
      </c>
      <c r="E89" t="s">
        <v>249</v>
      </c>
      <c r="F89" t="s">
        <v>960</v>
      </c>
      <c r="G89" t="s">
        <v>961</v>
      </c>
      <c r="H89" t="s">
        <v>962</v>
      </c>
      <c r="I89" t="s">
        <v>963</v>
      </c>
      <c r="J89" t="s">
        <v>964</v>
      </c>
      <c r="K89" t="s">
        <v>742</v>
      </c>
      <c r="L89">
        <v>0.89</v>
      </c>
      <c r="M89" t="s">
        <v>965</v>
      </c>
      <c r="N89" t="s">
        <v>966</v>
      </c>
      <c r="O89" t="s">
        <v>967</v>
      </c>
      <c r="P89" t="s">
        <v>485</v>
      </c>
      <c r="Q89" t="s">
        <v>219</v>
      </c>
      <c r="R89" t="s">
        <v>220</v>
      </c>
      <c r="S89" t="s">
        <v>221</v>
      </c>
      <c r="T89" t="s">
        <v>221</v>
      </c>
    </row>
    <row r="90" spans="1:20">
      <c r="A90" s="241">
        <v>44001</v>
      </c>
      <c r="B90" t="s">
        <v>968</v>
      </c>
      <c r="C90" t="s">
        <v>969</v>
      </c>
      <c r="D90" t="s">
        <v>462</v>
      </c>
      <c r="E90" t="s">
        <v>488</v>
      </c>
      <c r="F90" t="s">
        <v>970</v>
      </c>
      <c r="G90" t="s">
        <v>971</v>
      </c>
      <c r="H90" t="s">
        <v>972</v>
      </c>
      <c r="I90" t="s">
        <v>973</v>
      </c>
      <c r="J90" t="s">
        <v>974</v>
      </c>
      <c r="K90" t="s">
        <v>975</v>
      </c>
      <c r="L90">
        <v>0.89</v>
      </c>
      <c r="M90" t="s">
        <v>976</v>
      </c>
      <c r="N90" t="s">
        <v>977</v>
      </c>
      <c r="O90" t="s">
        <v>978</v>
      </c>
      <c r="P90" t="s">
        <v>485</v>
      </c>
      <c r="Q90" t="s">
        <v>219</v>
      </c>
      <c r="R90" t="s">
        <v>220</v>
      </c>
      <c r="S90" t="s">
        <v>221</v>
      </c>
      <c r="T90" t="s">
        <v>221</v>
      </c>
    </row>
    <row r="91" spans="1:20">
      <c r="A91" s="241">
        <v>44001</v>
      </c>
      <c r="B91" t="s">
        <v>979</v>
      </c>
      <c r="C91" t="s">
        <v>747</v>
      </c>
      <c r="D91" t="s">
        <v>499</v>
      </c>
      <c r="E91" t="s">
        <v>262</v>
      </c>
      <c r="F91" t="s">
        <v>980</v>
      </c>
      <c r="G91" t="s">
        <v>981</v>
      </c>
      <c r="H91" t="s">
        <v>982</v>
      </c>
      <c r="I91" t="s">
        <v>983</v>
      </c>
      <c r="J91" t="s">
        <v>984</v>
      </c>
      <c r="K91" t="s">
        <v>985</v>
      </c>
      <c r="L91">
        <v>0.89</v>
      </c>
      <c r="M91" t="s">
        <v>986</v>
      </c>
      <c r="N91" t="s">
        <v>987</v>
      </c>
      <c r="O91" t="s">
        <v>988</v>
      </c>
      <c r="P91" t="s">
        <v>485</v>
      </c>
      <c r="Q91" t="s">
        <v>219</v>
      </c>
      <c r="R91" t="s">
        <v>220</v>
      </c>
      <c r="S91" t="s">
        <v>221</v>
      </c>
      <c r="T91" t="s">
        <v>221</v>
      </c>
    </row>
    <row r="92" spans="1:20">
      <c r="A92" s="241">
        <v>44001</v>
      </c>
      <c r="B92" t="s">
        <v>989</v>
      </c>
      <c r="C92" t="s">
        <v>474</v>
      </c>
      <c r="D92" t="s">
        <v>462</v>
      </c>
      <c r="E92" t="s">
        <v>224</v>
      </c>
      <c r="F92" t="s">
        <v>489</v>
      </c>
      <c r="G92" t="s">
        <v>990</v>
      </c>
      <c r="H92" t="s">
        <v>991</v>
      </c>
      <c r="I92" t="s">
        <v>992</v>
      </c>
      <c r="J92" t="s">
        <v>993</v>
      </c>
      <c r="K92" t="s">
        <v>994</v>
      </c>
      <c r="L92">
        <v>0.89</v>
      </c>
      <c r="M92" t="s">
        <v>995</v>
      </c>
      <c r="N92" t="s">
        <v>996</v>
      </c>
      <c r="O92" t="s">
        <v>997</v>
      </c>
      <c r="P92" t="s">
        <v>485</v>
      </c>
      <c r="Q92" t="s">
        <v>219</v>
      </c>
      <c r="R92" t="s">
        <v>220</v>
      </c>
      <c r="S92" t="s">
        <v>221</v>
      </c>
      <c r="T92" t="s">
        <v>221</v>
      </c>
    </row>
    <row r="93" spans="1:20">
      <c r="A93" s="241">
        <v>44001</v>
      </c>
      <c r="B93" t="s">
        <v>998</v>
      </c>
      <c r="C93" t="s">
        <v>207</v>
      </c>
      <c r="D93" t="s">
        <v>442</v>
      </c>
      <c r="E93" t="s">
        <v>225</v>
      </c>
      <c r="F93" t="s">
        <v>531</v>
      </c>
      <c r="G93" t="s">
        <v>999</v>
      </c>
      <c r="H93" t="s">
        <v>1000</v>
      </c>
      <c r="I93" t="s">
        <v>1001</v>
      </c>
      <c r="J93" t="s">
        <v>1002</v>
      </c>
      <c r="K93" t="s">
        <v>1003</v>
      </c>
      <c r="L93">
        <v>0.87</v>
      </c>
      <c r="M93" t="s">
        <v>1004</v>
      </c>
      <c r="N93" t="s">
        <v>1005</v>
      </c>
      <c r="O93" t="s">
        <v>1006</v>
      </c>
      <c r="P93" t="s">
        <v>485</v>
      </c>
      <c r="Q93" t="s">
        <v>219</v>
      </c>
      <c r="R93" t="s">
        <v>220</v>
      </c>
      <c r="S93" t="s">
        <v>221</v>
      </c>
      <c r="T93" t="s">
        <v>221</v>
      </c>
    </row>
    <row r="94" spans="1:20">
      <c r="A94" s="241">
        <v>44001</v>
      </c>
      <c r="B94" t="s">
        <v>1007</v>
      </c>
      <c r="C94" t="s">
        <v>207</v>
      </c>
      <c r="D94" t="s">
        <v>274</v>
      </c>
      <c r="E94" t="s">
        <v>304</v>
      </c>
      <c r="F94" t="s">
        <v>287</v>
      </c>
      <c r="G94" t="s">
        <v>1008</v>
      </c>
      <c r="H94" t="s">
        <v>1009</v>
      </c>
      <c r="I94" t="s">
        <v>1010</v>
      </c>
      <c r="J94" t="s">
        <v>1011</v>
      </c>
      <c r="K94" t="s">
        <v>1012</v>
      </c>
      <c r="L94">
        <v>0.87</v>
      </c>
      <c r="M94" t="s">
        <v>1013</v>
      </c>
      <c r="N94" t="s">
        <v>1014</v>
      </c>
      <c r="O94" t="s">
        <v>1015</v>
      </c>
      <c r="P94" t="s">
        <v>485</v>
      </c>
      <c r="Q94" t="s">
        <v>219</v>
      </c>
      <c r="R94" t="s">
        <v>220</v>
      </c>
      <c r="S94" t="s">
        <v>221</v>
      </c>
      <c r="T94" t="s">
        <v>221</v>
      </c>
    </row>
    <row r="95" spans="1:20">
      <c r="A95" s="241">
        <v>44001</v>
      </c>
      <c r="B95" t="s">
        <v>1016</v>
      </c>
      <c r="C95" t="s">
        <v>249</v>
      </c>
      <c r="D95" t="s">
        <v>614</v>
      </c>
      <c r="E95" t="s">
        <v>424</v>
      </c>
      <c r="F95" t="s">
        <v>1017</v>
      </c>
      <c r="G95" t="s">
        <v>540</v>
      </c>
      <c r="H95" t="s">
        <v>1018</v>
      </c>
      <c r="I95" t="s">
        <v>1019</v>
      </c>
      <c r="J95" t="s">
        <v>1020</v>
      </c>
      <c r="K95" t="s">
        <v>524</v>
      </c>
      <c r="L95">
        <v>0.87</v>
      </c>
      <c r="M95" t="s">
        <v>1021</v>
      </c>
      <c r="N95" t="s">
        <v>1022</v>
      </c>
      <c r="O95" t="s">
        <v>1023</v>
      </c>
      <c r="P95" t="s">
        <v>485</v>
      </c>
      <c r="Q95" t="s">
        <v>219</v>
      </c>
      <c r="R95" t="s">
        <v>220</v>
      </c>
      <c r="S95" t="s">
        <v>221</v>
      </c>
      <c r="T95" t="s">
        <v>221</v>
      </c>
    </row>
    <row r="96" spans="1:20">
      <c r="A96" s="241">
        <v>44001</v>
      </c>
      <c r="B96" t="s">
        <v>1024</v>
      </c>
      <c r="C96" t="s">
        <v>237</v>
      </c>
      <c r="D96" t="s">
        <v>261</v>
      </c>
      <c r="E96" t="s">
        <v>696</v>
      </c>
      <c r="F96" t="s">
        <v>209</v>
      </c>
      <c r="G96" t="s">
        <v>1025</v>
      </c>
      <c r="H96" t="s">
        <v>776</v>
      </c>
      <c r="I96" t="s">
        <v>532</v>
      </c>
      <c r="J96" t="s">
        <v>1026</v>
      </c>
      <c r="K96" t="s">
        <v>515</v>
      </c>
      <c r="L96">
        <v>0.86</v>
      </c>
      <c r="M96" t="s">
        <v>1027</v>
      </c>
      <c r="N96" t="s">
        <v>1028</v>
      </c>
      <c r="O96" t="s">
        <v>1029</v>
      </c>
      <c r="P96" t="s">
        <v>485</v>
      </c>
      <c r="Q96" t="s">
        <v>219</v>
      </c>
      <c r="R96" t="s">
        <v>220</v>
      </c>
      <c r="S96" t="s">
        <v>221</v>
      </c>
      <c r="T96" t="s">
        <v>221</v>
      </c>
    </row>
    <row r="97" spans="1:20">
      <c r="A97" s="241">
        <v>44001</v>
      </c>
      <c r="B97" t="s">
        <v>1030</v>
      </c>
      <c r="C97" t="s">
        <v>249</v>
      </c>
      <c r="D97" t="s">
        <v>614</v>
      </c>
      <c r="E97" t="s">
        <v>632</v>
      </c>
      <c r="F97" t="s">
        <v>608</v>
      </c>
      <c r="G97" t="s">
        <v>240</v>
      </c>
      <c r="H97" t="s">
        <v>559</v>
      </c>
      <c r="I97" t="s">
        <v>1031</v>
      </c>
      <c r="J97" t="s">
        <v>213</v>
      </c>
      <c r="K97" t="s">
        <v>1032</v>
      </c>
      <c r="L97">
        <v>0.86</v>
      </c>
      <c r="M97" t="s">
        <v>1033</v>
      </c>
      <c r="N97" t="s">
        <v>1034</v>
      </c>
      <c r="O97" t="s">
        <v>1035</v>
      </c>
      <c r="P97" t="s">
        <v>485</v>
      </c>
      <c r="Q97" t="s">
        <v>219</v>
      </c>
      <c r="R97" t="s">
        <v>220</v>
      </c>
      <c r="S97" t="s">
        <v>221</v>
      </c>
      <c r="T97" t="s">
        <v>221</v>
      </c>
    </row>
    <row r="98" spans="1:20">
      <c r="A98" s="241">
        <v>44001</v>
      </c>
      <c r="B98" t="s">
        <v>1036</v>
      </c>
      <c r="C98" t="s">
        <v>625</v>
      </c>
      <c r="D98" t="s">
        <v>274</v>
      </c>
      <c r="E98" t="s">
        <v>424</v>
      </c>
      <c r="F98" t="s">
        <v>813</v>
      </c>
      <c r="G98" t="s">
        <v>1037</v>
      </c>
      <c r="H98" t="s">
        <v>1038</v>
      </c>
      <c r="I98" t="s">
        <v>816</v>
      </c>
      <c r="J98" t="s">
        <v>1039</v>
      </c>
      <c r="K98" t="s">
        <v>1032</v>
      </c>
      <c r="L98">
        <v>0.86</v>
      </c>
      <c r="M98" t="s">
        <v>1040</v>
      </c>
      <c r="N98" t="s">
        <v>1041</v>
      </c>
      <c r="O98" t="s">
        <v>1042</v>
      </c>
      <c r="P98" t="s">
        <v>485</v>
      </c>
      <c r="Q98" t="s">
        <v>219</v>
      </c>
      <c r="R98" t="s">
        <v>220</v>
      </c>
      <c r="S98" t="s">
        <v>221</v>
      </c>
      <c r="T98" t="s">
        <v>221</v>
      </c>
    </row>
    <row r="99" spans="1:20">
      <c r="A99" s="241">
        <v>44001</v>
      </c>
      <c r="B99" t="s">
        <v>1043</v>
      </c>
      <c r="C99" t="s">
        <v>261</v>
      </c>
      <c r="D99" t="s">
        <v>294</v>
      </c>
      <c r="E99" t="s">
        <v>812</v>
      </c>
      <c r="F99" t="s">
        <v>263</v>
      </c>
      <c r="G99" t="s">
        <v>1044</v>
      </c>
      <c r="H99" t="s">
        <v>568</v>
      </c>
      <c r="I99" t="s">
        <v>824</v>
      </c>
      <c r="J99" t="s">
        <v>230</v>
      </c>
      <c r="K99" t="s">
        <v>1032</v>
      </c>
      <c r="L99">
        <v>0.86</v>
      </c>
      <c r="M99" t="s">
        <v>1045</v>
      </c>
      <c r="N99" t="s">
        <v>1046</v>
      </c>
      <c r="O99" t="s">
        <v>1047</v>
      </c>
      <c r="P99" t="s">
        <v>485</v>
      </c>
      <c r="Q99" t="s">
        <v>219</v>
      </c>
      <c r="R99" t="s">
        <v>220</v>
      </c>
      <c r="S99" t="s">
        <v>221</v>
      </c>
      <c r="T99" t="s">
        <v>221</v>
      </c>
    </row>
    <row r="100" spans="1:20">
      <c r="A100" s="241">
        <v>44001</v>
      </c>
      <c r="B100" t="s">
        <v>1048</v>
      </c>
      <c r="C100" t="s">
        <v>237</v>
      </c>
      <c r="D100" t="s">
        <v>224</v>
      </c>
      <c r="E100" t="s">
        <v>1049</v>
      </c>
      <c r="F100" t="s">
        <v>1050</v>
      </c>
      <c r="G100" t="s">
        <v>567</v>
      </c>
      <c r="H100" t="s">
        <v>1051</v>
      </c>
      <c r="I100" t="s">
        <v>229</v>
      </c>
      <c r="J100" t="s">
        <v>825</v>
      </c>
      <c r="K100" t="s">
        <v>244</v>
      </c>
      <c r="L100">
        <v>0.86</v>
      </c>
      <c r="M100" t="s">
        <v>1052</v>
      </c>
      <c r="N100" t="s">
        <v>1053</v>
      </c>
      <c r="O100" t="s">
        <v>1054</v>
      </c>
      <c r="P100" t="s">
        <v>485</v>
      </c>
      <c r="Q100" t="s">
        <v>219</v>
      </c>
      <c r="R100" t="s">
        <v>220</v>
      </c>
      <c r="S100" t="s">
        <v>221</v>
      </c>
      <c r="T100" t="s">
        <v>221</v>
      </c>
    </row>
    <row r="101" spans="1:20">
      <c r="A101" s="241">
        <v>44001</v>
      </c>
      <c r="B101" t="s">
        <v>1055</v>
      </c>
      <c r="C101" t="s">
        <v>615</v>
      </c>
      <c r="D101" t="s">
        <v>614</v>
      </c>
      <c r="E101" t="s">
        <v>250</v>
      </c>
      <c r="F101" t="s">
        <v>1056</v>
      </c>
      <c r="G101" t="s">
        <v>1044</v>
      </c>
      <c r="H101" t="s">
        <v>1057</v>
      </c>
      <c r="I101" t="s">
        <v>266</v>
      </c>
      <c r="J101" t="s">
        <v>578</v>
      </c>
      <c r="K101" t="s">
        <v>244</v>
      </c>
      <c r="L101">
        <v>0.86</v>
      </c>
      <c r="M101" t="s">
        <v>1058</v>
      </c>
      <c r="N101" t="s">
        <v>1059</v>
      </c>
      <c r="O101" t="s">
        <v>1060</v>
      </c>
      <c r="P101" t="s">
        <v>485</v>
      </c>
      <c r="Q101" t="s">
        <v>219</v>
      </c>
      <c r="R101" t="s">
        <v>220</v>
      </c>
      <c r="S101" t="s">
        <v>221</v>
      </c>
      <c r="T101" t="s">
        <v>221</v>
      </c>
    </row>
    <row r="102" spans="1:20">
      <c r="A102" s="241">
        <v>44001</v>
      </c>
      <c r="B102" t="s">
        <v>1061</v>
      </c>
      <c r="C102" t="s">
        <v>261</v>
      </c>
      <c r="D102" t="s">
        <v>645</v>
      </c>
      <c r="E102" t="s">
        <v>1049</v>
      </c>
      <c r="F102" t="s">
        <v>848</v>
      </c>
      <c r="G102" t="s">
        <v>296</v>
      </c>
      <c r="H102" t="s">
        <v>209</v>
      </c>
      <c r="I102" t="s">
        <v>1062</v>
      </c>
      <c r="J102" t="s">
        <v>1063</v>
      </c>
      <c r="K102" t="s">
        <v>571</v>
      </c>
      <c r="L102">
        <v>0.86</v>
      </c>
      <c r="M102" t="s">
        <v>1064</v>
      </c>
      <c r="N102" t="s">
        <v>1065</v>
      </c>
      <c r="O102" t="s">
        <v>1066</v>
      </c>
      <c r="P102" t="s">
        <v>485</v>
      </c>
      <c r="Q102" t="s">
        <v>219</v>
      </c>
      <c r="R102" t="s">
        <v>220</v>
      </c>
      <c r="S102" t="s">
        <v>221</v>
      </c>
      <c r="T102" t="s">
        <v>221</v>
      </c>
    </row>
    <row r="103" spans="1:20">
      <c r="A103" s="241">
        <v>44001</v>
      </c>
      <c r="B103" t="s">
        <v>1067</v>
      </c>
      <c r="C103" t="s">
        <v>274</v>
      </c>
      <c r="D103" t="s">
        <v>712</v>
      </c>
      <c r="E103" t="s">
        <v>632</v>
      </c>
      <c r="F103" t="s">
        <v>616</v>
      </c>
      <c r="G103" t="s">
        <v>1068</v>
      </c>
      <c r="H103" t="s">
        <v>1069</v>
      </c>
      <c r="I103" t="s">
        <v>288</v>
      </c>
      <c r="J103" t="s">
        <v>1070</v>
      </c>
      <c r="K103" t="s">
        <v>231</v>
      </c>
      <c r="L103">
        <v>0.86</v>
      </c>
      <c r="M103" t="s">
        <v>1071</v>
      </c>
      <c r="N103" t="s">
        <v>1072</v>
      </c>
      <c r="O103" t="s">
        <v>1073</v>
      </c>
      <c r="P103" t="s">
        <v>485</v>
      </c>
      <c r="Q103" t="s">
        <v>219</v>
      </c>
      <c r="R103" t="s">
        <v>220</v>
      </c>
      <c r="S103" t="s">
        <v>221</v>
      </c>
      <c r="T103" t="s">
        <v>221</v>
      </c>
    </row>
    <row r="104" spans="1:20">
      <c r="A104" s="241">
        <v>44001</v>
      </c>
      <c r="B104" t="s">
        <v>1074</v>
      </c>
      <c r="C104" t="s">
        <v>442</v>
      </c>
      <c r="D104" t="s">
        <v>631</v>
      </c>
      <c r="E104" t="s">
        <v>238</v>
      </c>
      <c r="F104" t="s">
        <v>405</v>
      </c>
      <c r="G104" t="s">
        <v>599</v>
      </c>
      <c r="H104" t="s">
        <v>529</v>
      </c>
      <c r="I104" t="s">
        <v>609</v>
      </c>
      <c r="J104" t="s">
        <v>298</v>
      </c>
      <c r="K104" t="s">
        <v>244</v>
      </c>
      <c r="L104">
        <v>0.86</v>
      </c>
      <c r="M104" t="s">
        <v>1075</v>
      </c>
      <c r="N104" t="s">
        <v>1076</v>
      </c>
      <c r="O104" t="s">
        <v>1077</v>
      </c>
      <c r="P104" t="s">
        <v>485</v>
      </c>
      <c r="Q104" t="s">
        <v>219</v>
      </c>
      <c r="R104" t="s">
        <v>220</v>
      </c>
      <c r="S104" t="s">
        <v>221</v>
      </c>
      <c r="T104" t="s">
        <v>221</v>
      </c>
    </row>
    <row r="105" spans="1:20">
      <c r="A105" s="241">
        <v>44001</v>
      </c>
      <c r="B105" t="s">
        <v>1078</v>
      </c>
      <c r="C105" t="s">
        <v>237</v>
      </c>
      <c r="D105" t="s">
        <v>1079</v>
      </c>
      <c r="E105" t="s">
        <v>225</v>
      </c>
      <c r="F105" t="s">
        <v>1080</v>
      </c>
      <c r="G105" t="s">
        <v>1081</v>
      </c>
      <c r="H105" t="s">
        <v>618</v>
      </c>
      <c r="I105" t="s">
        <v>1082</v>
      </c>
      <c r="J105" t="s">
        <v>309</v>
      </c>
      <c r="K105" t="s">
        <v>244</v>
      </c>
      <c r="L105">
        <v>0.86</v>
      </c>
      <c r="M105" t="s">
        <v>1083</v>
      </c>
      <c r="N105" t="s">
        <v>1084</v>
      </c>
      <c r="O105" t="s">
        <v>1085</v>
      </c>
      <c r="P105" t="s">
        <v>485</v>
      </c>
      <c r="Q105" t="s">
        <v>219</v>
      </c>
      <c r="R105" t="s">
        <v>220</v>
      </c>
      <c r="S105" t="s">
        <v>221</v>
      </c>
      <c r="T105" t="s">
        <v>221</v>
      </c>
    </row>
    <row r="106" spans="1:20">
      <c r="A106" s="241">
        <v>44001</v>
      </c>
      <c r="B106" t="s">
        <v>1086</v>
      </c>
      <c r="C106" t="s">
        <v>614</v>
      </c>
      <c r="D106" t="s">
        <v>645</v>
      </c>
      <c r="E106" t="s">
        <v>424</v>
      </c>
      <c r="F106" t="s">
        <v>295</v>
      </c>
      <c r="G106" t="s">
        <v>856</v>
      </c>
      <c r="H106" t="s">
        <v>868</v>
      </c>
      <c r="I106" t="s">
        <v>1087</v>
      </c>
      <c r="J106" t="s">
        <v>620</v>
      </c>
      <c r="K106" t="s">
        <v>299</v>
      </c>
      <c r="L106">
        <v>0.86</v>
      </c>
      <c r="M106" t="s">
        <v>1088</v>
      </c>
      <c r="N106" t="s">
        <v>1089</v>
      </c>
      <c r="O106" t="s">
        <v>1090</v>
      </c>
      <c r="P106" t="s">
        <v>485</v>
      </c>
      <c r="Q106" t="s">
        <v>219</v>
      </c>
      <c r="R106" t="s">
        <v>220</v>
      </c>
      <c r="S106" t="s">
        <v>221</v>
      </c>
      <c r="T106" t="s">
        <v>221</v>
      </c>
    </row>
    <row r="107" spans="1:20">
      <c r="A107" s="241">
        <v>44001</v>
      </c>
      <c r="B107" t="s">
        <v>1091</v>
      </c>
      <c r="C107" t="s">
        <v>274</v>
      </c>
      <c r="D107" t="s">
        <v>625</v>
      </c>
      <c r="E107" t="s">
        <v>632</v>
      </c>
      <c r="F107" t="s">
        <v>314</v>
      </c>
      <c r="G107" t="s">
        <v>875</v>
      </c>
      <c r="H107" t="s">
        <v>566</v>
      </c>
      <c r="I107" t="s">
        <v>869</v>
      </c>
      <c r="J107" t="s">
        <v>1092</v>
      </c>
      <c r="K107" t="s">
        <v>268</v>
      </c>
      <c r="L107">
        <v>0.86</v>
      </c>
      <c r="M107" t="s">
        <v>1093</v>
      </c>
      <c r="N107" t="s">
        <v>1094</v>
      </c>
      <c r="O107" t="s">
        <v>1095</v>
      </c>
      <c r="P107" t="s">
        <v>485</v>
      </c>
      <c r="Q107" t="s">
        <v>219</v>
      </c>
      <c r="R107" t="s">
        <v>220</v>
      </c>
      <c r="S107" t="s">
        <v>221</v>
      </c>
      <c r="T107" t="s">
        <v>221</v>
      </c>
    </row>
    <row r="108" spans="1:20">
      <c r="A108" s="241">
        <v>44001</v>
      </c>
      <c r="B108" t="s">
        <v>1096</v>
      </c>
      <c r="C108" t="s">
        <v>625</v>
      </c>
      <c r="D108" t="s">
        <v>442</v>
      </c>
      <c r="E108" t="s">
        <v>304</v>
      </c>
      <c r="F108" t="s">
        <v>426</v>
      </c>
      <c r="G108" t="s">
        <v>355</v>
      </c>
      <c r="H108" t="s">
        <v>584</v>
      </c>
      <c r="I108" t="s">
        <v>1097</v>
      </c>
      <c r="J108" t="s">
        <v>326</v>
      </c>
      <c r="K108" t="s">
        <v>280</v>
      </c>
      <c r="L108">
        <v>0.86</v>
      </c>
      <c r="M108" t="s">
        <v>1098</v>
      </c>
      <c r="N108" t="s">
        <v>1099</v>
      </c>
      <c r="O108" t="s">
        <v>1100</v>
      </c>
      <c r="P108" t="s">
        <v>485</v>
      </c>
      <c r="Q108" t="s">
        <v>219</v>
      </c>
      <c r="R108" t="s">
        <v>220</v>
      </c>
      <c r="S108" t="s">
        <v>221</v>
      </c>
      <c r="T108" t="s">
        <v>221</v>
      </c>
    </row>
    <row r="109" spans="1:20">
      <c r="A109" s="241">
        <v>44001</v>
      </c>
      <c r="B109" t="s">
        <v>1101</v>
      </c>
      <c r="C109" t="s">
        <v>274</v>
      </c>
      <c r="D109" t="s">
        <v>614</v>
      </c>
      <c r="E109" t="s">
        <v>1102</v>
      </c>
      <c r="F109" t="s">
        <v>1103</v>
      </c>
      <c r="G109" t="s">
        <v>1104</v>
      </c>
      <c r="H109" t="s">
        <v>868</v>
      </c>
      <c r="I109" t="s">
        <v>347</v>
      </c>
      <c r="J109" t="s">
        <v>326</v>
      </c>
      <c r="K109" t="s">
        <v>268</v>
      </c>
      <c r="L109">
        <v>0.86</v>
      </c>
      <c r="M109" t="s">
        <v>1105</v>
      </c>
      <c r="N109" t="s">
        <v>1106</v>
      </c>
      <c r="O109" t="s">
        <v>1107</v>
      </c>
      <c r="P109" t="s">
        <v>485</v>
      </c>
      <c r="Q109" t="s">
        <v>219</v>
      </c>
      <c r="R109" t="s">
        <v>220</v>
      </c>
      <c r="S109" t="s">
        <v>221</v>
      </c>
      <c r="T109" t="s">
        <v>221</v>
      </c>
    </row>
    <row r="110" spans="1:20">
      <c r="A110" s="241">
        <v>44001</v>
      </c>
      <c r="B110" t="s">
        <v>1108</v>
      </c>
      <c r="C110" t="s">
        <v>679</v>
      </c>
      <c r="D110" t="s">
        <v>712</v>
      </c>
      <c r="E110" t="s">
        <v>225</v>
      </c>
      <c r="F110" t="s">
        <v>1109</v>
      </c>
      <c r="G110" t="s">
        <v>1110</v>
      </c>
      <c r="H110" t="s">
        <v>356</v>
      </c>
      <c r="I110" t="s">
        <v>336</v>
      </c>
      <c r="J110" t="s">
        <v>640</v>
      </c>
      <c r="K110" t="s">
        <v>280</v>
      </c>
      <c r="L110">
        <v>0.86</v>
      </c>
      <c r="M110" t="s">
        <v>1111</v>
      </c>
      <c r="N110" t="s">
        <v>1112</v>
      </c>
      <c r="O110" t="s">
        <v>1113</v>
      </c>
      <c r="P110" t="s">
        <v>485</v>
      </c>
      <c r="Q110" t="s">
        <v>219</v>
      </c>
      <c r="R110" t="s">
        <v>220</v>
      </c>
      <c r="S110" t="s">
        <v>221</v>
      </c>
      <c r="T110" t="s">
        <v>221</v>
      </c>
    </row>
    <row r="111" spans="1:20">
      <c r="A111" s="241">
        <v>44001</v>
      </c>
      <c r="B111" t="s">
        <v>1114</v>
      </c>
      <c r="C111" t="s">
        <v>261</v>
      </c>
      <c r="D111" t="s">
        <v>294</v>
      </c>
      <c r="E111" t="s">
        <v>646</v>
      </c>
      <c r="F111" t="s">
        <v>364</v>
      </c>
      <c r="G111" t="s">
        <v>1115</v>
      </c>
      <c r="H111" t="s">
        <v>366</v>
      </c>
      <c r="I111" t="s">
        <v>656</v>
      </c>
      <c r="J111" t="s">
        <v>1116</v>
      </c>
      <c r="K111" t="s">
        <v>338</v>
      </c>
      <c r="L111">
        <v>0.86</v>
      </c>
      <c r="M111" t="s">
        <v>1117</v>
      </c>
      <c r="N111" t="s">
        <v>1118</v>
      </c>
      <c r="O111" t="s">
        <v>1119</v>
      </c>
      <c r="P111" t="s">
        <v>485</v>
      </c>
      <c r="Q111" t="s">
        <v>219</v>
      </c>
      <c r="R111" t="s">
        <v>220</v>
      </c>
      <c r="S111" t="s">
        <v>221</v>
      </c>
      <c r="T111" t="s">
        <v>221</v>
      </c>
    </row>
    <row r="112" spans="1:20">
      <c r="A112" s="241">
        <v>44001</v>
      </c>
      <c r="B112" t="s">
        <v>1120</v>
      </c>
      <c r="C112" t="s">
        <v>294</v>
      </c>
      <c r="D112" t="s">
        <v>294</v>
      </c>
      <c r="E112" t="s">
        <v>1121</v>
      </c>
      <c r="F112" t="s">
        <v>354</v>
      </c>
      <c r="G112" t="s">
        <v>1122</v>
      </c>
      <c r="H112" t="s">
        <v>285</v>
      </c>
      <c r="I112" t="s">
        <v>367</v>
      </c>
      <c r="J112" t="s">
        <v>899</v>
      </c>
      <c r="K112" t="s">
        <v>327</v>
      </c>
      <c r="L112">
        <v>0.86</v>
      </c>
      <c r="M112" t="s">
        <v>1123</v>
      </c>
      <c r="N112" t="s">
        <v>1124</v>
      </c>
      <c r="O112" t="s">
        <v>1125</v>
      </c>
      <c r="P112" t="s">
        <v>485</v>
      </c>
      <c r="Q112" t="s">
        <v>219</v>
      </c>
      <c r="R112" t="s">
        <v>220</v>
      </c>
      <c r="S112" t="s">
        <v>221</v>
      </c>
      <c r="T112" t="s">
        <v>221</v>
      </c>
    </row>
    <row r="113" spans="1:20">
      <c r="A113" s="241">
        <v>44001</v>
      </c>
      <c r="B113" t="s">
        <v>1126</v>
      </c>
      <c r="C113" t="s">
        <v>614</v>
      </c>
      <c r="D113" t="s">
        <v>671</v>
      </c>
      <c r="E113" t="s">
        <v>304</v>
      </c>
      <c r="F113" t="s">
        <v>1127</v>
      </c>
      <c r="G113" t="s">
        <v>918</v>
      </c>
      <c r="H113" t="s">
        <v>1056</v>
      </c>
      <c r="I113" t="s">
        <v>386</v>
      </c>
      <c r="J113" t="s">
        <v>1128</v>
      </c>
      <c r="K113" t="s">
        <v>651</v>
      </c>
      <c r="L113">
        <v>0.86</v>
      </c>
      <c r="M113" t="s">
        <v>1129</v>
      </c>
      <c r="N113" t="s">
        <v>1130</v>
      </c>
      <c r="O113" t="s">
        <v>1131</v>
      </c>
      <c r="P113" t="s">
        <v>485</v>
      </c>
      <c r="Q113" t="s">
        <v>219</v>
      </c>
      <c r="R113" t="s">
        <v>220</v>
      </c>
      <c r="S113" t="s">
        <v>221</v>
      </c>
      <c r="T113" t="s">
        <v>221</v>
      </c>
    </row>
    <row r="114" spans="1:20">
      <c r="A114" s="241">
        <v>44001</v>
      </c>
      <c r="B114" t="s">
        <v>1132</v>
      </c>
      <c r="C114" t="s">
        <v>294</v>
      </c>
      <c r="D114" t="s">
        <v>645</v>
      </c>
      <c r="E114" t="s">
        <v>812</v>
      </c>
      <c r="F114" t="s">
        <v>374</v>
      </c>
      <c r="G114" t="s">
        <v>1133</v>
      </c>
      <c r="H114" t="s">
        <v>305</v>
      </c>
      <c r="I114" t="s">
        <v>1134</v>
      </c>
      <c r="J114" t="s">
        <v>684</v>
      </c>
      <c r="K114" t="s">
        <v>651</v>
      </c>
      <c r="L114">
        <v>0.86</v>
      </c>
      <c r="M114" t="s">
        <v>1135</v>
      </c>
      <c r="N114" t="s">
        <v>1136</v>
      </c>
      <c r="O114" t="s">
        <v>1137</v>
      </c>
      <c r="P114" t="s">
        <v>485</v>
      </c>
      <c r="Q114" t="s">
        <v>219</v>
      </c>
      <c r="R114" t="s">
        <v>220</v>
      </c>
      <c r="S114" t="s">
        <v>221</v>
      </c>
      <c r="T114" t="s">
        <v>221</v>
      </c>
    </row>
    <row r="115" spans="1:20">
      <c r="A115" s="241">
        <v>44001</v>
      </c>
      <c r="B115" t="s">
        <v>1138</v>
      </c>
      <c r="C115" t="s">
        <v>423</v>
      </c>
      <c r="D115" t="s">
        <v>1139</v>
      </c>
      <c r="E115" t="s">
        <v>812</v>
      </c>
      <c r="F115" t="s">
        <v>403</v>
      </c>
      <c r="G115" t="s">
        <v>925</v>
      </c>
      <c r="H115" t="s">
        <v>926</v>
      </c>
      <c r="I115" t="s">
        <v>1140</v>
      </c>
      <c r="J115" t="s">
        <v>1141</v>
      </c>
      <c r="K115" t="s">
        <v>666</v>
      </c>
      <c r="L115">
        <v>0.86</v>
      </c>
      <c r="M115" t="s">
        <v>1142</v>
      </c>
      <c r="N115" t="s">
        <v>1143</v>
      </c>
      <c r="O115" t="s">
        <v>1144</v>
      </c>
      <c r="P115" t="s">
        <v>485</v>
      </c>
      <c r="Q115" t="s">
        <v>219</v>
      </c>
      <c r="R115" t="s">
        <v>220</v>
      </c>
      <c r="S115" t="s">
        <v>221</v>
      </c>
      <c r="T115" t="s">
        <v>221</v>
      </c>
    </row>
    <row r="116" spans="1:20">
      <c r="A116" s="241">
        <v>44001</v>
      </c>
      <c r="B116" t="s">
        <v>1145</v>
      </c>
      <c r="C116" t="s">
        <v>625</v>
      </c>
      <c r="D116" t="s">
        <v>614</v>
      </c>
      <c r="E116" t="s">
        <v>680</v>
      </c>
      <c r="F116" t="s">
        <v>909</v>
      </c>
      <c r="G116" t="s">
        <v>1146</v>
      </c>
      <c r="H116" t="s">
        <v>1147</v>
      </c>
      <c r="I116" t="s">
        <v>1140</v>
      </c>
      <c r="J116" t="s">
        <v>699</v>
      </c>
      <c r="K116" t="s">
        <v>359</v>
      </c>
      <c r="L116">
        <v>0.86</v>
      </c>
      <c r="M116" t="s">
        <v>1148</v>
      </c>
      <c r="N116" t="s">
        <v>1149</v>
      </c>
      <c r="O116" t="s">
        <v>1150</v>
      </c>
      <c r="P116" t="s">
        <v>485</v>
      </c>
      <c r="Q116" t="s">
        <v>219</v>
      </c>
      <c r="R116" t="s">
        <v>220</v>
      </c>
      <c r="S116" t="s">
        <v>221</v>
      </c>
      <c r="T116" t="s">
        <v>221</v>
      </c>
    </row>
    <row r="117" spans="1:20">
      <c r="A117" s="241">
        <v>44001</v>
      </c>
      <c r="B117" t="s">
        <v>1151</v>
      </c>
      <c r="C117" t="s">
        <v>679</v>
      </c>
      <c r="D117" t="s">
        <v>625</v>
      </c>
      <c r="E117" t="s">
        <v>597</v>
      </c>
      <c r="F117" t="s">
        <v>393</v>
      </c>
      <c r="G117" t="s">
        <v>925</v>
      </c>
      <c r="H117" t="s">
        <v>415</v>
      </c>
      <c r="I117" t="s">
        <v>698</v>
      </c>
      <c r="J117" t="s">
        <v>1141</v>
      </c>
      <c r="K117" t="s">
        <v>349</v>
      </c>
      <c r="L117">
        <v>0.86</v>
      </c>
      <c r="M117" t="s">
        <v>1152</v>
      </c>
      <c r="N117" t="s">
        <v>1153</v>
      </c>
      <c r="O117" t="s">
        <v>1154</v>
      </c>
      <c r="P117" t="s">
        <v>485</v>
      </c>
      <c r="Q117" t="s">
        <v>219</v>
      </c>
      <c r="R117" t="s">
        <v>220</v>
      </c>
      <c r="S117" t="s">
        <v>221</v>
      </c>
      <c r="T117" t="s">
        <v>221</v>
      </c>
    </row>
    <row r="118" spans="1:20">
      <c r="A118" s="241">
        <v>44001</v>
      </c>
      <c r="B118" t="s">
        <v>1155</v>
      </c>
      <c r="C118" t="s">
        <v>442</v>
      </c>
      <c r="D118" t="s">
        <v>671</v>
      </c>
      <c r="E118" t="s">
        <v>812</v>
      </c>
      <c r="F118" t="s">
        <v>1156</v>
      </c>
      <c r="G118" t="s">
        <v>1157</v>
      </c>
      <c r="H118" t="s">
        <v>639</v>
      </c>
      <c r="I118" t="s">
        <v>1158</v>
      </c>
      <c r="J118" t="s">
        <v>1159</v>
      </c>
      <c r="K118" t="s">
        <v>428</v>
      </c>
      <c r="L118">
        <v>0.86</v>
      </c>
      <c r="M118" t="s">
        <v>1160</v>
      </c>
      <c r="N118" t="s">
        <v>1161</v>
      </c>
      <c r="O118" t="s">
        <v>1162</v>
      </c>
      <c r="P118" t="s">
        <v>485</v>
      </c>
      <c r="Q118" t="s">
        <v>219</v>
      </c>
      <c r="R118" t="s">
        <v>220</v>
      </c>
      <c r="S118" t="s">
        <v>221</v>
      </c>
      <c r="T118" t="s">
        <v>221</v>
      </c>
    </row>
    <row r="119" spans="1:20">
      <c r="A119" s="241">
        <v>44001</v>
      </c>
      <c r="B119" t="s">
        <v>1163</v>
      </c>
      <c r="C119" t="s">
        <v>625</v>
      </c>
      <c r="D119" t="s">
        <v>614</v>
      </c>
      <c r="E119" t="s">
        <v>680</v>
      </c>
      <c r="F119" t="s">
        <v>1164</v>
      </c>
      <c r="G119" t="s">
        <v>1146</v>
      </c>
      <c r="H119" t="s">
        <v>647</v>
      </c>
      <c r="I119" t="s">
        <v>1165</v>
      </c>
      <c r="J119" t="s">
        <v>954</v>
      </c>
      <c r="K119" t="s">
        <v>369</v>
      </c>
      <c r="L119">
        <v>0.86</v>
      </c>
      <c r="M119" t="s">
        <v>1166</v>
      </c>
      <c r="N119" t="s">
        <v>1167</v>
      </c>
      <c r="O119" t="s">
        <v>1168</v>
      </c>
      <c r="P119" t="s">
        <v>485</v>
      </c>
      <c r="Q119" t="s">
        <v>219</v>
      </c>
      <c r="R119" t="s">
        <v>220</v>
      </c>
      <c r="S119" t="s">
        <v>221</v>
      </c>
      <c r="T119" t="s">
        <v>221</v>
      </c>
    </row>
    <row r="120" spans="1:20">
      <c r="A120" s="241">
        <v>44001</v>
      </c>
      <c r="B120" t="s">
        <v>1169</v>
      </c>
      <c r="C120" t="s">
        <v>294</v>
      </c>
      <c r="D120" t="s">
        <v>614</v>
      </c>
      <c r="E120" t="s">
        <v>304</v>
      </c>
      <c r="F120" t="s">
        <v>718</v>
      </c>
      <c r="G120" t="s">
        <v>1170</v>
      </c>
      <c r="H120" t="s">
        <v>1103</v>
      </c>
      <c r="I120" t="s">
        <v>947</v>
      </c>
      <c r="J120" t="s">
        <v>1171</v>
      </c>
      <c r="K120" t="s">
        <v>722</v>
      </c>
      <c r="L120">
        <v>0.86</v>
      </c>
      <c r="M120" t="s">
        <v>1172</v>
      </c>
      <c r="N120" t="s">
        <v>1173</v>
      </c>
      <c r="O120" t="s">
        <v>1174</v>
      </c>
      <c r="P120" t="s">
        <v>485</v>
      </c>
      <c r="Q120" t="s">
        <v>219</v>
      </c>
      <c r="R120" t="s">
        <v>220</v>
      </c>
      <c r="S120" t="s">
        <v>221</v>
      </c>
      <c r="T120" t="s">
        <v>221</v>
      </c>
    </row>
    <row r="121" spans="1:20">
      <c r="A121" s="241">
        <v>44001</v>
      </c>
      <c r="B121" t="s">
        <v>1175</v>
      </c>
      <c r="C121" t="s">
        <v>510</v>
      </c>
      <c r="D121" t="s">
        <v>1176</v>
      </c>
      <c r="E121" t="s">
        <v>679</v>
      </c>
      <c r="F121" t="s">
        <v>1177</v>
      </c>
      <c r="G121" t="s">
        <v>1178</v>
      </c>
      <c r="H121" t="s">
        <v>1179</v>
      </c>
      <c r="I121" t="s">
        <v>1180</v>
      </c>
      <c r="J121" t="s">
        <v>1181</v>
      </c>
      <c r="K121" t="s">
        <v>1182</v>
      </c>
      <c r="L121">
        <v>0.88</v>
      </c>
      <c r="M121" t="s">
        <v>1183</v>
      </c>
      <c r="N121" t="s">
        <v>1184</v>
      </c>
      <c r="O121" t="s">
        <v>1185</v>
      </c>
      <c r="P121" t="s">
        <v>485</v>
      </c>
      <c r="Q121" t="s">
        <v>219</v>
      </c>
      <c r="R121" t="s">
        <v>220</v>
      </c>
      <c r="S121" t="s">
        <v>221</v>
      </c>
      <c r="T121" t="s">
        <v>221</v>
      </c>
    </row>
    <row r="122" spans="1:20">
      <c r="A122" s="241">
        <v>44001</v>
      </c>
      <c r="B122" t="s">
        <v>1186</v>
      </c>
      <c r="C122" t="s">
        <v>735</v>
      </c>
      <c r="D122" t="s">
        <v>499</v>
      </c>
      <c r="E122" t="s">
        <v>262</v>
      </c>
      <c r="F122" t="s">
        <v>1187</v>
      </c>
      <c r="G122" t="s">
        <v>971</v>
      </c>
      <c r="H122" t="s">
        <v>972</v>
      </c>
      <c r="I122" t="s">
        <v>1188</v>
      </c>
      <c r="J122" t="s">
        <v>1189</v>
      </c>
      <c r="K122" t="s">
        <v>1190</v>
      </c>
      <c r="L122">
        <v>0.89</v>
      </c>
      <c r="M122" t="s">
        <v>1191</v>
      </c>
      <c r="N122" t="s">
        <v>1192</v>
      </c>
      <c r="O122" t="s">
        <v>1193</v>
      </c>
      <c r="P122" t="s">
        <v>485</v>
      </c>
      <c r="Q122" t="s">
        <v>219</v>
      </c>
      <c r="R122" t="s">
        <v>220</v>
      </c>
      <c r="S122" t="s">
        <v>221</v>
      </c>
      <c r="T122" t="s">
        <v>221</v>
      </c>
    </row>
    <row r="123" spans="1:20">
      <c r="A123" s="241">
        <v>44001</v>
      </c>
      <c r="B123" t="s">
        <v>1194</v>
      </c>
      <c r="C123" t="s">
        <v>747</v>
      </c>
      <c r="D123" t="s">
        <v>1195</v>
      </c>
      <c r="E123" t="s">
        <v>1196</v>
      </c>
      <c r="F123" t="s">
        <v>757</v>
      </c>
      <c r="G123" t="s">
        <v>1197</v>
      </c>
      <c r="H123" t="s">
        <v>758</v>
      </c>
      <c r="I123" t="s">
        <v>1198</v>
      </c>
      <c r="J123" t="s">
        <v>1199</v>
      </c>
      <c r="K123" t="s">
        <v>1200</v>
      </c>
      <c r="L123">
        <v>0.89</v>
      </c>
      <c r="M123" t="s">
        <v>1201</v>
      </c>
      <c r="N123" t="s">
        <v>1202</v>
      </c>
      <c r="O123" t="s">
        <v>1203</v>
      </c>
      <c r="P123" t="s">
        <v>485</v>
      </c>
      <c r="Q123" t="s">
        <v>219</v>
      </c>
      <c r="R123" t="s">
        <v>220</v>
      </c>
      <c r="S123" t="s">
        <v>221</v>
      </c>
      <c r="T123" t="s">
        <v>221</v>
      </c>
    </row>
    <row r="124" spans="1:20">
      <c r="A124" s="241">
        <v>44001</v>
      </c>
      <c r="B124" t="s">
        <v>1204</v>
      </c>
      <c r="C124" t="s">
        <v>499</v>
      </c>
      <c r="D124" t="s">
        <v>487</v>
      </c>
      <c r="E124" t="s">
        <v>1196</v>
      </c>
      <c r="F124" t="s">
        <v>1205</v>
      </c>
      <c r="G124" t="s">
        <v>1206</v>
      </c>
      <c r="H124" t="s">
        <v>1207</v>
      </c>
      <c r="I124" t="s">
        <v>492</v>
      </c>
      <c r="J124" t="s">
        <v>1208</v>
      </c>
      <c r="K124" t="s">
        <v>771</v>
      </c>
      <c r="L124">
        <v>0.89</v>
      </c>
      <c r="M124" t="s">
        <v>1209</v>
      </c>
      <c r="N124" t="s">
        <v>1210</v>
      </c>
      <c r="O124" t="s">
        <v>1211</v>
      </c>
      <c r="P124" t="s">
        <v>485</v>
      </c>
      <c r="Q124" t="s">
        <v>219</v>
      </c>
      <c r="R124" t="s">
        <v>220</v>
      </c>
      <c r="S124" t="s">
        <v>221</v>
      </c>
      <c r="T124" t="s">
        <v>221</v>
      </c>
    </row>
    <row r="125" spans="1:20">
      <c r="A125" s="241">
        <v>44001</v>
      </c>
      <c r="B125" t="s">
        <v>1212</v>
      </c>
      <c r="C125" t="s">
        <v>237</v>
      </c>
      <c r="D125" t="s">
        <v>423</v>
      </c>
      <c r="E125" t="s">
        <v>424</v>
      </c>
      <c r="F125" t="s">
        <v>1213</v>
      </c>
      <c r="G125" t="s">
        <v>1214</v>
      </c>
      <c r="H125" t="s">
        <v>1215</v>
      </c>
      <c r="I125" t="s">
        <v>779</v>
      </c>
      <c r="J125" t="s">
        <v>1216</v>
      </c>
      <c r="K125" t="s">
        <v>1012</v>
      </c>
      <c r="L125">
        <v>0.87</v>
      </c>
      <c r="M125" t="s">
        <v>1217</v>
      </c>
      <c r="N125" t="s">
        <v>1218</v>
      </c>
      <c r="O125" t="s">
        <v>1219</v>
      </c>
      <c r="P125" t="s">
        <v>485</v>
      </c>
      <c r="Q125" t="s">
        <v>219</v>
      </c>
      <c r="R125" t="s">
        <v>220</v>
      </c>
      <c r="S125" t="s">
        <v>221</v>
      </c>
      <c r="T125" t="s">
        <v>221</v>
      </c>
    </row>
    <row r="126" spans="1:20">
      <c r="A126" s="241">
        <v>44001</v>
      </c>
      <c r="B126" t="s">
        <v>1220</v>
      </c>
      <c r="C126" t="s">
        <v>423</v>
      </c>
      <c r="D126" t="s">
        <v>294</v>
      </c>
      <c r="E126" t="s">
        <v>556</v>
      </c>
      <c r="F126" t="s">
        <v>1038</v>
      </c>
      <c r="G126" t="s">
        <v>1025</v>
      </c>
      <c r="H126" t="s">
        <v>541</v>
      </c>
      <c r="I126" t="s">
        <v>522</v>
      </c>
      <c r="J126" t="s">
        <v>523</v>
      </c>
      <c r="K126" t="s">
        <v>524</v>
      </c>
      <c r="L126">
        <v>0.87</v>
      </c>
      <c r="M126" t="s">
        <v>1221</v>
      </c>
      <c r="N126" t="s">
        <v>1222</v>
      </c>
      <c r="O126" t="s">
        <v>1223</v>
      </c>
      <c r="P126" t="s">
        <v>485</v>
      </c>
      <c r="Q126" t="s">
        <v>219</v>
      </c>
      <c r="R126" t="s">
        <v>220</v>
      </c>
      <c r="S126" t="s">
        <v>221</v>
      </c>
      <c r="T126" t="s">
        <v>221</v>
      </c>
    </row>
    <row r="127" spans="1:20">
      <c r="A127" s="241">
        <v>44001</v>
      </c>
      <c r="B127" t="s">
        <v>1224</v>
      </c>
      <c r="C127" t="s">
        <v>442</v>
      </c>
      <c r="D127" t="s">
        <v>237</v>
      </c>
      <c r="E127" t="s">
        <v>424</v>
      </c>
      <c r="F127" t="s">
        <v>539</v>
      </c>
      <c r="G127" t="s">
        <v>792</v>
      </c>
      <c r="H127" t="s">
        <v>1225</v>
      </c>
      <c r="I127" t="s">
        <v>1226</v>
      </c>
      <c r="J127" t="s">
        <v>533</v>
      </c>
      <c r="K127" t="s">
        <v>244</v>
      </c>
      <c r="L127">
        <v>0.87</v>
      </c>
      <c r="M127" t="s">
        <v>1227</v>
      </c>
      <c r="N127" t="s">
        <v>1228</v>
      </c>
      <c r="O127" t="s">
        <v>1229</v>
      </c>
      <c r="P127" t="s">
        <v>485</v>
      </c>
      <c r="Q127" t="s">
        <v>219</v>
      </c>
      <c r="R127" t="s">
        <v>220</v>
      </c>
      <c r="S127" t="s">
        <v>221</v>
      </c>
      <c r="T127" t="s">
        <v>221</v>
      </c>
    </row>
    <row r="128" spans="1:20">
      <c r="A128" s="241">
        <v>44001</v>
      </c>
      <c r="B128" t="s">
        <v>1230</v>
      </c>
      <c r="C128" t="s">
        <v>207</v>
      </c>
      <c r="D128" t="s">
        <v>615</v>
      </c>
      <c r="E128" t="s">
        <v>304</v>
      </c>
      <c r="F128" t="s">
        <v>1231</v>
      </c>
      <c r="G128" t="s">
        <v>1025</v>
      </c>
      <c r="H128" t="s">
        <v>541</v>
      </c>
      <c r="I128" t="s">
        <v>1232</v>
      </c>
      <c r="J128" t="s">
        <v>1233</v>
      </c>
      <c r="K128" t="s">
        <v>1234</v>
      </c>
      <c r="L128">
        <v>0.86</v>
      </c>
      <c r="M128" t="s">
        <v>1235</v>
      </c>
      <c r="N128" t="s">
        <v>1236</v>
      </c>
      <c r="O128" t="s">
        <v>1237</v>
      </c>
      <c r="P128" t="s">
        <v>485</v>
      </c>
      <c r="Q128" t="s">
        <v>219</v>
      </c>
      <c r="R128" t="s">
        <v>220</v>
      </c>
      <c r="S128" t="s">
        <v>221</v>
      </c>
      <c r="T128" t="s">
        <v>221</v>
      </c>
    </row>
    <row r="129" spans="1:20">
      <c r="A129" s="241">
        <v>44001</v>
      </c>
      <c r="B129" t="s">
        <v>1238</v>
      </c>
      <c r="C129" t="s">
        <v>294</v>
      </c>
      <c r="D129" t="s">
        <v>274</v>
      </c>
      <c r="E129" t="s">
        <v>812</v>
      </c>
      <c r="F129" t="s">
        <v>618</v>
      </c>
      <c r="G129" t="s">
        <v>1239</v>
      </c>
      <c r="H129" t="s">
        <v>799</v>
      </c>
      <c r="I129" t="s">
        <v>212</v>
      </c>
      <c r="J129" t="s">
        <v>1240</v>
      </c>
      <c r="K129" t="s">
        <v>515</v>
      </c>
      <c r="L129">
        <v>0.86</v>
      </c>
      <c r="M129" t="s">
        <v>1241</v>
      </c>
      <c r="N129" t="s">
        <v>1242</v>
      </c>
      <c r="O129" t="s">
        <v>1243</v>
      </c>
      <c r="P129" t="s">
        <v>485</v>
      </c>
      <c r="Q129" t="s">
        <v>219</v>
      </c>
      <c r="R129" t="s">
        <v>220</v>
      </c>
      <c r="S129" t="s">
        <v>221</v>
      </c>
      <c r="T129" t="s">
        <v>221</v>
      </c>
    </row>
    <row r="130" spans="1:20">
      <c r="A130" s="241">
        <v>44001</v>
      </c>
      <c r="B130" t="s">
        <v>1244</v>
      </c>
      <c r="C130" t="s">
        <v>614</v>
      </c>
      <c r="D130" t="s">
        <v>261</v>
      </c>
      <c r="E130" t="s">
        <v>225</v>
      </c>
      <c r="F130" t="s">
        <v>251</v>
      </c>
      <c r="G130" t="s">
        <v>252</v>
      </c>
      <c r="H130" t="s">
        <v>1038</v>
      </c>
      <c r="I130" t="s">
        <v>560</v>
      </c>
      <c r="J130" t="s">
        <v>1245</v>
      </c>
      <c r="K130" t="s">
        <v>244</v>
      </c>
      <c r="L130">
        <v>0.86</v>
      </c>
      <c r="M130" t="s">
        <v>1246</v>
      </c>
      <c r="N130" t="s">
        <v>1247</v>
      </c>
      <c r="O130" t="s">
        <v>1248</v>
      </c>
      <c r="P130" t="s">
        <v>485</v>
      </c>
      <c r="Q130" t="s">
        <v>219</v>
      </c>
      <c r="R130" t="s">
        <v>220</v>
      </c>
      <c r="S130" t="s">
        <v>221</v>
      </c>
      <c r="T130" t="s">
        <v>221</v>
      </c>
    </row>
    <row r="131" spans="1:20">
      <c r="A131" s="241">
        <v>44001</v>
      </c>
      <c r="B131" t="s">
        <v>1249</v>
      </c>
      <c r="C131" t="s">
        <v>442</v>
      </c>
      <c r="D131" t="s">
        <v>712</v>
      </c>
      <c r="E131" t="s">
        <v>332</v>
      </c>
      <c r="F131" t="s">
        <v>881</v>
      </c>
      <c r="G131" t="s">
        <v>1239</v>
      </c>
      <c r="H131" t="s">
        <v>228</v>
      </c>
      <c r="I131" t="s">
        <v>1250</v>
      </c>
      <c r="J131" t="s">
        <v>1245</v>
      </c>
      <c r="K131" t="s">
        <v>1032</v>
      </c>
      <c r="L131">
        <v>0.86</v>
      </c>
      <c r="M131" t="s">
        <v>1251</v>
      </c>
      <c r="N131" t="s">
        <v>1252</v>
      </c>
      <c r="O131" t="s">
        <v>1253</v>
      </c>
      <c r="P131" t="s">
        <v>485</v>
      </c>
      <c r="Q131" t="s">
        <v>219</v>
      </c>
      <c r="R131" t="s">
        <v>220</v>
      </c>
      <c r="S131" t="s">
        <v>221</v>
      </c>
      <c r="T131" t="s">
        <v>221</v>
      </c>
    </row>
    <row r="132" spans="1:20">
      <c r="A132" s="241">
        <v>44001</v>
      </c>
      <c r="B132" t="s">
        <v>1254</v>
      </c>
      <c r="C132" t="s">
        <v>615</v>
      </c>
      <c r="D132" t="s">
        <v>274</v>
      </c>
      <c r="E132" t="s">
        <v>225</v>
      </c>
      <c r="F132" t="s">
        <v>1255</v>
      </c>
      <c r="G132" t="s">
        <v>1256</v>
      </c>
      <c r="H132" t="s">
        <v>1257</v>
      </c>
      <c r="I132" t="s">
        <v>824</v>
      </c>
      <c r="J132" t="s">
        <v>230</v>
      </c>
      <c r="K132" t="s">
        <v>214</v>
      </c>
      <c r="L132">
        <v>0.86</v>
      </c>
      <c r="M132" t="s">
        <v>1258</v>
      </c>
      <c r="N132" t="s">
        <v>1259</v>
      </c>
      <c r="O132" t="s">
        <v>1260</v>
      </c>
      <c r="P132" t="s">
        <v>485</v>
      </c>
      <c r="Q132" t="s">
        <v>219</v>
      </c>
      <c r="R132" t="s">
        <v>220</v>
      </c>
      <c r="S132" t="s">
        <v>221</v>
      </c>
      <c r="T132" t="s">
        <v>221</v>
      </c>
    </row>
    <row r="133" spans="1:20">
      <c r="A133" s="241">
        <v>44001</v>
      </c>
      <c r="B133" t="s">
        <v>1261</v>
      </c>
      <c r="C133" t="s">
        <v>712</v>
      </c>
      <c r="D133" t="s">
        <v>237</v>
      </c>
      <c r="E133" t="s">
        <v>225</v>
      </c>
      <c r="F133" t="s">
        <v>1262</v>
      </c>
      <c r="G133" t="s">
        <v>1263</v>
      </c>
      <c r="H133" t="s">
        <v>1069</v>
      </c>
      <c r="I133" t="s">
        <v>1264</v>
      </c>
      <c r="J133" t="s">
        <v>279</v>
      </c>
      <c r="K133" t="s">
        <v>571</v>
      </c>
      <c r="L133">
        <v>0.86</v>
      </c>
      <c r="M133" t="s">
        <v>1265</v>
      </c>
      <c r="N133" t="s">
        <v>1266</v>
      </c>
      <c r="O133" t="s">
        <v>1267</v>
      </c>
      <c r="P133" t="s">
        <v>485</v>
      </c>
      <c r="Q133" t="s">
        <v>219</v>
      </c>
      <c r="R133" t="s">
        <v>220</v>
      </c>
      <c r="S133" t="s">
        <v>221</v>
      </c>
      <c r="T133" t="s">
        <v>221</v>
      </c>
    </row>
    <row r="134" spans="1:20">
      <c r="A134" s="241">
        <v>44001</v>
      </c>
      <c r="B134" t="s">
        <v>1268</v>
      </c>
      <c r="C134" t="s">
        <v>261</v>
      </c>
      <c r="D134" t="s">
        <v>294</v>
      </c>
      <c r="E134" t="s">
        <v>238</v>
      </c>
      <c r="F134" t="s">
        <v>1056</v>
      </c>
      <c r="G134" t="s">
        <v>1269</v>
      </c>
      <c r="H134" t="s">
        <v>287</v>
      </c>
      <c r="I134" t="s">
        <v>838</v>
      </c>
      <c r="J134" t="s">
        <v>267</v>
      </c>
      <c r="K134" t="s">
        <v>571</v>
      </c>
      <c r="L134">
        <v>0.86</v>
      </c>
      <c r="M134" t="s">
        <v>1270</v>
      </c>
      <c r="N134" t="s">
        <v>1271</v>
      </c>
      <c r="O134" t="s">
        <v>1272</v>
      </c>
      <c r="P134" t="s">
        <v>485</v>
      </c>
      <c r="Q134" t="s">
        <v>219</v>
      </c>
      <c r="R134" t="s">
        <v>220</v>
      </c>
      <c r="S134" t="s">
        <v>221</v>
      </c>
      <c r="T134" t="s">
        <v>221</v>
      </c>
    </row>
    <row r="135" spans="1:20">
      <c r="A135" s="241">
        <v>44001</v>
      </c>
      <c r="B135" t="s">
        <v>1273</v>
      </c>
      <c r="C135" t="s">
        <v>614</v>
      </c>
      <c r="D135" t="s">
        <v>614</v>
      </c>
      <c r="E135" t="s">
        <v>812</v>
      </c>
      <c r="F135" t="s">
        <v>616</v>
      </c>
      <c r="G135" t="s">
        <v>843</v>
      </c>
      <c r="H135" t="s">
        <v>1274</v>
      </c>
      <c r="I135" t="s">
        <v>849</v>
      </c>
      <c r="J135" t="s">
        <v>850</v>
      </c>
      <c r="K135" t="s">
        <v>299</v>
      </c>
      <c r="L135">
        <v>0.86</v>
      </c>
      <c r="M135" t="s">
        <v>1275</v>
      </c>
      <c r="N135" t="s">
        <v>1276</v>
      </c>
      <c r="O135" t="s">
        <v>1277</v>
      </c>
      <c r="P135" t="s">
        <v>485</v>
      </c>
      <c r="Q135" t="s">
        <v>219</v>
      </c>
      <c r="R135" t="s">
        <v>220</v>
      </c>
      <c r="S135" t="s">
        <v>221</v>
      </c>
      <c r="T135" t="s">
        <v>221</v>
      </c>
    </row>
    <row r="136" spans="1:20">
      <c r="A136" s="241">
        <v>44001</v>
      </c>
      <c r="B136" t="s">
        <v>1278</v>
      </c>
      <c r="C136" t="s">
        <v>442</v>
      </c>
      <c r="D136" t="s">
        <v>615</v>
      </c>
      <c r="E136" t="s">
        <v>304</v>
      </c>
      <c r="F136" t="s">
        <v>576</v>
      </c>
      <c r="G136" t="s">
        <v>607</v>
      </c>
      <c r="H136" t="s">
        <v>539</v>
      </c>
      <c r="I136" t="s">
        <v>1264</v>
      </c>
      <c r="J136" t="s">
        <v>289</v>
      </c>
      <c r="K136" t="s">
        <v>299</v>
      </c>
      <c r="L136">
        <v>0.86</v>
      </c>
      <c r="M136" t="s">
        <v>1279</v>
      </c>
      <c r="N136" t="s">
        <v>1280</v>
      </c>
      <c r="O136" t="s">
        <v>1281</v>
      </c>
      <c r="P136" t="s">
        <v>485</v>
      </c>
      <c r="Q136" t="s">
        <v>219</v>
      </c>
      <c r="R136" t="s">
        <v>220</v>
      </c>
      <c r="S136" t="s">
        <v>221</v>
      </c>
      <c r="T136" t="s">
        <v>221</v>
      </c>
    </row>
    <row r="137" spans="1:20">
      <c r="A137" s="241">
        <v>44001</v>
      </c>
      <c r="B137" t="s">
        <v>1282</v>
      </c>
      <c r="C137" t="s">
        <v>294</v>
      </c>
      <c r="D137" t="s">
        <v>510</v>
      </c>
      <c r="E137" t="s">
        <v>632</v>
      </c>
      <c r="F137" t="s">
        <v>682</v>
      </c>
      <c r="G137" t="s">
        <v>324</v>
      </c>
      <c r="H137" t="s">
        <v>608</v>
      </c>
      <c r="I137" t="s">
        <v>1087</v>
      </c>
      <c r="J137" t="s">
        <v>870</v>
      </c>
      <c r="K137" t="s">
        <v>256</v>
      </c>
      <c r="L137">
        <v>0.86</v>
      </c>
      <c r="M137" t="s">
        <v>1283</v>
      </c>
      <c r="N137" t="s">
        <v>1284</v>
      </c>
      <c r="O137" t="s">
        <v>1285</v>
      </c>
      <c r="P137" t="s">
        <v>485</v>
      </c>
      <c r="Q137" t="s">
        <v>219</v>
      </c>
      <c r="R137" t="s">
        <v>220</v>
      </c>
      <c r="S137" t="s">
        <v>221</v>
      </c>
      <c r="T137" t="s">
        <v>221</v>
      </c>
    </row>
    <row r="138" spans="1:20">
      <c r="A138" s="241">
        <v>44001</v>
      </c>
      <c r="B138" t="s">
        <v>1286</v>
      </c>
      <c r="C138" t="s">
        <v>615</v>
      </c>
      <c r="D138" t="s">
        <v>423</v>
      </c>
      <c r="E138" t="s">
        <v>696</v>
      </c>
      <c r="F138" t="s">
        <v>626</v>
      </c>
      <c r="G138" t="s">
        <v>617</v>
      </c>
      <c r="H138" t="s">
        <v>251</v>
      </c>
      <c r="I138" t="s">
        <v>869</v>
      </c>
      <c r="J138" t="s">
        <v>1092</v>
      </c>
      <c r="K138" t="s">
        <v>280</v>
      </c>
      <c r="L138">
        <v>0.86</v>
      </c>
      <c r="M138" t="s">
        <v>1287</v>
      </c>
      <c r="N138" t="s">
        <v>1288</v>
      </c>
      <c r="O138" t="s">
        <v>1289</v>
      </c>
      <c r="P138" t="s">
        <v>485</v>
      </c>
      <c r="Q138" t="s">
        <v>219</v>
      </c>
      <c r="R138" t="s">
        <v>220</v>
      </c>
      <c r="S138" t="s">
        <v>221</v>
      </c>
      <c r="T138" t="s">
        <v>221</v>
      </c>
    </row>
    <row r="139" spans="1:20">
      <c r="A139" s="241">
        <v>44001</v>
      </c>
      <c r="B139" t="s">
        <v>1290</v>
      </c>
      <c r="C139" t="s">
        <v>294</v>
      </c>
      <c r="D139" t="s">
        <v>294</v>
      </c>
      <c r="E139" t="s">
        <v>424</v>
      </c>
      <c r="F139" t="s">
        <v>1291</v>
      </c>
      <c r="G139" t="s">
        <v>1292</v>
      </c>
      <c r="H139" t="s">
        <v>618</v>
      </c>
      <c r="I139" t="s">
        <v>619</v>
      </c>
      <c r="J139" t="s">
        <v>318</v>
      </c>
      <c r="K139" t="s">
        <v>651</v>
      </c>
      <c r="L139">
        <v>0.86</v>
      </c>
      <c r="M139" t="s">
        <v>1293</v>
      </c>
      <c r="N139" t="s">
        <v>1294</v>
      </c>
      <c r="O139" t="s">
        <v>1295</v>
      </c>
      <c r="P139" t="s">
        <v>485</v>
      </c>
      <c r="Q139" t="s">
        <v>219</v>
      </c>
      <c r="R139" t="s">
        <v>220</v>
      </c>
      <c r="S139" t="s">
        <v>221</v>
      </c>
      <c r="T139" t="s">
        <v>221</v>
      </c>
    </row>
    <row r="140" spans="1:20">
      <c r="A140" s="241">
        <v>44001</v>
      </c>
      <c r="B140" t="s">
        <v>1296</v>
      </c>
      <c r="C140" t="s">
        <v>614</v>
      </c>
      <c r="D140" t="s">
        <v>615</v>
      </c>
      <c r="E140" t="s">
        <v>606</v>
      </c>
      <c r="F140" t="s">
        <v>344</v>
      </c>
      <c r="G140" t="s">
        <v>1297</v>
      </c>
      <c r="H140" t="s">
        <v>405</v>
      </c>
      <c r="I140" t="s">
        <v>396</v>
      </c>
      <c r="J140" t="s">
        <v>1298</v>
      </c>
      <c r="K140" t="s">
        <v>338</v>
      </c>
      <c r="L140">
        <v>0.86</v>
      </c>
      <c r="M140" t="s">
        <v>1299</v>
      </c>
      <c r="N140" t="s">
        <v>1300</v>
      </c>
      <c r="O140" t="s">
        <v>1301</v>
      </c>
      <c r="P140" t="s">
        <v>485</v>
      </c>
      <c r="Q140" t="s">
        <v>219</v>
      </c>
      <c r="R140" t="s">
        <v>220</v>
      </c>
      <c r="S140" t="s">
        <v>221</v>
      </c>
      <c r="T140" t="s">
        <v>221</v>
      </c>
    </row>
    <row r="141" spans="1:20">
      <c r="A141" s="241">
        <v>44001</v>
      </c>
      <c r="B141" t="s">
        <v>1302</v>
      </c>
      <c r="C141" t="s">
        <v>615</v>
      </c>
      <c r="D141" t="s">
        <v>261</v>
      </c>
      <c r="E141" t="s">
        <v>1121</v>
      </c>
      <c r="F141" t="s">
        <v>1303</v>
      </c>
      <c r="G141" t="s">
        <v>434</v>
      </c>
      <c r="H141" t="s">
        <v>435</v>
      </c>
      <c r="I141" t="s">
        <v>416</v>
      </c>
      <c r="J141" t="s">
        <v>1304</v>
      </c>
      <c r="K141" t="s">
        <v>349</v>
      </c>
      <c r="L141">
        <v>0.86</v>
      </c>
      <c r="M141" t="s">
        <v>1305</v>
      </c>
      <c r="N141" t="s">
        <v>1306</v>
      </c>
      <c r="O141" t="s">
        <v>1307</v>
      </c>
      <c r="P141" t="s">
        <v>485</v>
      </c>
      <c r="Q141" t="s">
        <v>219</v>
      </c>
      <c r="R141" t="s">
        <v>220</v>
      </c>
      <c r="S141" t="s">
        <v>221</v>
      </c>
      <c r="T141" t="s">
        <v>221</v>
      </c>
    </row>
    <row r="142" spans="1:20">
      <c r="A142" s="241">
        <v>44001</v>
      </c>
      <c r="B142" t="s">
        <v>1308</v>
      </c>
      <c r="C142" t="s">
        <v>274</v>
      </c>
      <c r="D142" t="s">
        <v>645</v>
      </c>
      <c r="E142" t="s">
        <v>632</v>
      </c>
      <c r="F142" t="s">
        <v>1303</v>
      </c>
      <c r="G142" t="s">
        <v>946</v>
      </c>
      <c r="H142" t="s">
        <v>1109</v>
      </c>
      <c r="I142" t="s">
        <v>416</v>
      </c>
      <c r="J142" t="s">
        <v>1309</v>
      </c>
      <c r="K142" t="s">
        <v>359</v>
      </c>
      <c r="L142">
        <v>0.86</v>
      </c>
      <c r="M142" t="s">
        <v>1310</v>
      </c>
      <c r="N142" t="s">
        <v>1311</v>
      </c>
      <c r="O142" t="s">
        <v>1312</v>
      </c>
      <c r="P142" t="s">
        <v>485</v>
      </c>
      <c r="Q142" t="s">
        <v>219</v>
      </c>
      <c r="R142" t="s">
        <v>220</v>
      </c>
      <c r="S142" t="s">
        <v>221</v>
      </c>
      <c r="T142" t="s">
        <v>221</v>
      </c>
    </row>
    <row r="143" spans="1:20">
      <c r="A143" s="241">
        <v>44001</v>
      </c>
      <c r="B143" t="s">
        <v>1313</v>
      </c>
      <c r="C143" t="s">
        <v>274</v>
      </c>
      <c r="D143" t="s">
        <v>712</v>
      </c>
      <c r="E143" t="s">
        <v>1314</v>
      </c>
      <c r="F143" t="s">
        <v>1315</v>
      </c>
      <c r="G143" t="s">
        <v>931</v>
      </c>
      <c r="H143" t="s">
        <v>445</v>
      </c>
      <c r="I143" t="s">
        <v>932</v>
      </c>
      <c r="J143" t="s">
        <v>407</v>
      </c>
      <c r="K143" t="s">
        <v>369</v>
      </c>
      <c r="L143">
        <v>0.86</v>
      </c>
      <c r="M143" t="s">
        <v>1316</v>
      </c>
      <c r="N143" t="s">
        <v>1317</v>
      </c>
      <c r="O143" t="s">
        <v>1318</v>
      </c>
      <c r="P143" t="s">
        <v>485</v>
      </c>
      <c r="Q143" t="s">
        <v>219</v>
      </c>
      <c r="R143" t="s">
        <v>220</v>
      </c>
      <c r="S143" t="s">
        <v>221</v>
      </c>
      <c r="T143" t="s">
        <v>221</v>
      </c>
    </row>
    <row r="144" spans="1:20">
      <c r="A144" s="241">
        <v>44001</v>
      </c>
      <c r="B144" t="s">
        <v>1319</v>
      </c>
      <c r="C144" t="s">
        <v>614</v>
      </c>
      <c r="D144" t="s">
        <v>679</v>
      </c>
      <c r="E144" t="s">
        <v>606</v>
      </c>
      <c r="F144" t="s">
        <v>403</v>
      </c>
      <c r="G144" t="s">
        <v>705</v>
      </c>
      <c r="H144" t="s">
        <v>454</v>
      </c>
      <c r="I144" t="s">
        <v>427</v>
      </c>
      <c r="J144" t="s">
        <v>1309</v>
      </c>
      <c r="K144" t="s">
        <v>369</v>
      </c>
      <c r="L144">
        <v>0.86</v>
      </c>
      <c r="M144" t="s">
        <v>1320</v>
      </c>
      <c r="N144" t="s">
        <v>1321</v>
      </c>
      <c r="O144" t="s">
        <v>1322</v>
      </c>
      <c r="P144" t="s">
        <v>485</v>
      </c>
      <c r="Q144" t="s">
        <v>219</v>
      </c>
      <c r="R144" t="s">
        <v>220</v>
      </c>
      <c r="S144" t="s">
        <v>221</v>
      </c>
      <c r="T144" t="s">
        <v>221</v>
      </c>
    </row>
    <row r="145" spans="1:20">
      <c r="A145" s="241">
        <v>44001</v>
      </c>
      <c r="B145" t="s">
        <v>1323</v>
      </c>
      <c r="C145" t="s">
        <v>615</v>
      </c>
      <c r="D145" t="s">
        <v>631</v>
      </c>
      <c r="E145" t="s">
        <v>225</v>
      </c>
      <c r="F145" t="s">
        <v>403</v>
      </c>
      <c r="G145" t="s">
        <v>1324</v>
      </c>
      <c r="H145" t="s">
        <v>639</v>
      </c>
      <c r="I145" t="s">
        <v>416</v>
      </c>
      <c r="J145" t="s">
        <v>1304</v>
      </c>
      <c r="K145" t="s">
        <v>349</v>
      </c>
      <c r="L145">
        <v>0.86</v>
      </c>
      <c r="M145" t="s">
        <v>1325</v>
      </c>
      <c r="N145" t="s">
        <v>1326</v>
      </c>
      <c r="O145" t="s">
        <v>1327</v>
      </c>
      <c r="P145" t="s">
        <v>485</v>
      </c>
      <c r="Q145" t="s">
        <v>219</v>
      </c>
      <c r="R145" t="s">
        <v>220</v>
      </c>
      <c r="S145" t="s">
        <v>221</v>
      </c>
      <c r="T145" t="s">
        <v>221</v>
      </c>
    </row>
    <row r="146" spans="1:20">
      <c r="A146" s="241">
        <v>44001</v>
      </c>
      <c r="B146" t="s">
        <v>1328</v>
      </c>
      <c r="C146" t="s">
        <v>712</v>
      </c>
      <c r="D146" t="s">
        <v>614</v>
      </c>
      <c r="E146" t="s">
        <v>606</v>
      </c>
      <c r="F146" t="s">
        <v>1164</v>
      </c>
      <c r="G146" t="s">
        <v>425</v>
      </c>
      <c r="H146" t="s">
        <v>333</v>
      </c>
      <c r="I146" t="s">
        <v>436</v>
      </c>
      <c r="J146" t="s">
        <v>1309</v>
      </c>
      <c r="K146" t="s">
        <v>349</v>
      </c>
      <c r="L146">
        <v>0.86</v>
      </c>
      <c r="M146" t="s">
        <v>1329</v>
      </c>
      <c r="N146" t="s">
        <v>1330</v>
      </c>
      <c r="O146" t="s">
        <v>1331</v>
      </c>
      <c r="P146" t="s">
        <v>485</v>
      </c>
      <c r="Q146" t="s">
        <v>219</v>
      </c>
      <c r="R146" t="s">
        <v>220</v>
      </c>
      <c r="S146" t="s">
        <v>221</v>
      </c>
      <c r="T146" t="s">
        <v>221</v>
      </c>
    </row>
    <row r="147" spans="1:20">
      <c r="A147" s="241">
        <v>44001</v>
      </c>
      <c r="B147" t="s">
        <v>1332</v>
      </c>
      <c r="C147" t="s">
        <v>615</v>
      </c>
      <c r="D147" t="s">
        <v>274</v>
      </c>
      <c r="E147" t="s">
        <v>1314</v>
      </c>
      <c r="F147" t="s">
        <v>945</v>
      </c>
      <c r="G147" t="s">
        <v>946</v>
      </c>
      <c r="H147" t="s">
        <v>445</v>
      </c>
      <c r="I147" t="s">
        <v>446</v>
      </c>
      <c r="J147" t="s">
        <v>1333</v>
      </c>
      <c r="K147" t="s">
        <v>418</v>
      </c>
      <c r="L147">
        <v>0.86</v>
      </c>
      <c r="M147" t="s">
        <v>1334</v>
      </c>
      <c r="N147" t="s">
        <v>1335</v>
      </c>
      <c r="O147" t="s">
        <v>1336</v>
      </c>
      <c r="P147" t="s">
        <v>485</v>
      </c>
      <c r="Q147" t="s">
        <v>219</v>
      </c>
      <c r="R147" t="s">
        <v>220</v>
      </c>
      <c r="S147" t="s">
        <v>221</v>
      </c>
      <c r="T147" t="s">
        <v>221</v>
      </c>
    </row>
    <row r="148" spans="1:20">
      <c r="A148" s="241">
        <v>44001</v>
      </c>
      <c r="B148" t="s">
        <v>1337</v>
      </c>
      <c r="C148" t="s">
        <v>614</v>
      </c>
      <c r="D148" t="s">
        <v>423</v>
      </c>
      <c r="E148" t="s">
        <v>343</v>
      </c>
      <c r="F148" t="s">
        <v>1338</v>
      </c>
      <c r="G148" t="s">
        <v>1339</v>
      </c>
      <c r="H148" t="s">
        <v>1340</v>
      </c>
      <c r="I148" t="s">
        <v>1341</v>
      </c>
      <c r="J148" t="s">
        <v>1342</v>
      </c>
      <c r="K148" t="s">
        <v>1343</v>
      </c>
      <c r="L148">
        <v>0.86</v>
      </c>
      <c r="M148" t="s">
        <v>1344</v>
      </c>
      <c r="N148" t="s">
        <v>1345</v>
      </c>
      <c r="O148" t="s">
        <v>1346</v>
      </c>
      <c r="P148" t="s">
        <v>485</v>
      </c>
      <c r="Q148" t="s">
        <v>219</v>
      </c>
      <c r="R148" t="s">
        <v>220</v>
      </c>
      <c r="S148" t="s">
        <v>221</v>
      </c>
      <c r="T148" t="s">
        <v>221</v>
      </c>
    </row>
    <row r="149" spans="1:20">
      <c r="A149" s="241">
        <v>44001</v>
      </c>
      <c r="B149" t="s">
        <v>1347</v>
      </c>
      <c r="C149" t="s">
        <v>462</v>
      </c>
      <c r="D149" t="s">
        <v>1348</v>
      </c>
      <c r="E149" t="s">
        <v>236</v>
      </c>
      <c r="F149" t="s">
        <v>1349</v>
      </c>
      <c r="G149" t="s">
        <v>1350</v>
      </c>
      <c r="H149" t="s">
        <v>962</v>
      </c>
      <c r="I149" t="s">
        <v>1351</v>
      </c>
      <c r="J149" t="s">
        <v>1352</v>
      </c>
      <c r="K149" t="s">
        <v>505</v>
      </c>
      <c r="L149">
        <v>0.89</v>
      </c>
      <c r="M149" t="s">
        <v>1353</v>
      </c>
      <c r="N149" t="s">
        <v>1354</v>
      </c>
      <c r="O149" t="s">
        <v>1355</v>
      </c>
      <c r="P149" t="s">
        <v>485</v>
      </c>
      <c r="Q149" t="s">
        <v>219</v>
      </c>
      <c r="R149" t="s">
        <v>220</v>
      </c>
      <c r="S149" t="s">
        <v>221</v>
      </c>
      <c r="T149" t="s">
        <v>221</v>
      </c>
    </row>
    <row r="150" spans="1:20">
      <c r="A150" s="241">
        <v>44001</v>
      </c>
      <c r="B150" t="s">
        <v>1356</v>
      </c>
      <c r="C150" t="s">
        <v>747</v>
      </c>
      <c r="D150" t="s">
        <v>1357</v>
      </c>
      <c r="E150" t="s">
        <v>1196</v>
      </c>
      <c r="F150" t="s">
        <v>1358</v>
      </c>
      <c r="G150" t="s">
        <v>1359</v>
      </c>
      <c r="H150" t="s">
        <v>478</v>
      </c>
      <c r="I150" t="s">
        <v>1360</v>
      </c>
      <c r="J150" t="s">
        <v>1361</v>
      </c>
      <c r="K150" t="s">
        <v>1362</v>
      </c>
      <c r="L150">
        <v>0.89</v>
      </c>
      <c r="M150" t="s">
        <v>1363</v>
      </c>
      <c r="N150" t="s">
        <v>1364</v>
      </c>
      <c r="O150" t="s">
        <v>1365</v>
      </c>
      <c r="P150" t="s">
        <v>485</v>
      </c>
      <c r="Q150" t="s">
        <v>219</v>
      </c>
      <c r="R150" t="s">
        <v>220</v>
      </c>
      <c r="S150" t="s">
        <v>221</v>
      </c>
      <c r="T150" t="s">
        <v>221</v>
      </c>
    </row>
    <row r="151" spans="1:20">
      <c r="A151" s="241">
        <v>44001</v>
      </c>
      <c r="B151" t="s">
        <v>1366</v>
      </c>
      <c r="C151" t="s">
        <v>756</v>
      </c>
      <c r="D151" t="s">
        <v>736</v>
      </c>
      <c r="E151" t="s">
        <v>1367</v>
      </c>
      <c r="F151" t="s">
        <v>1368</v>
      </c>
      <c r="G151" t="s">
        <v>490</v>
      </c>
      <c r="H151" t="s">
        <v>1369</v>
      </c>
      <c r="I151" t="s">
        <v>1370</v>
      </c>
      <c r="J151" t="s">
        <v>1371</v>
      </c>
      <c r="K151" t="s">
        <v>771</v>
      </c>
      <c r="L151">
        <v>0.89</v>
      </c>
      <c r="M151" t="s">
        <v>1372</v>
      </c>
      <c r="N151" t="s">
        <v>1373</v>
      </c>
      <c r="O151" t="s">
        <v>1374</v>
      </c>
      <c r="P151" t="s">
        <v>485</v>
      </c>
      <c r="Q151" t="s">
        <v>219</v>
      </c>
      <c r="R151" t="s">
        <v>220</v>
      </c>
      <c r="S151" t="s">
        <v>221</v>
      </c>
      <c r="T151" t="s">
        <v>221</v>
      </c>
    </row>
    <row r="152" spans="1:20">
      <c r="A152" s="241">
        <v>44001</v>
      </c>
      <c r="B152" t="s">
        <v>1375</v>
      </c>
      <c r="C152" t="s">
        <v>1376</v>
      </c>
      <c r="D152" t="s">
        <v>1377</v>
      </c>
      <c r="E152" t="s">
        <v>615</v>
      </c>
      <c r="F152" t="s">
        <v>1378</v>
      </c>
      <c r="G152" t="s">
        <v>1379</v>
      </c>
      <c r="H152" t="s">
        <v>1380</v>
      </c>
      <c r="I152" t="s">
        <v>1381</v>
      </c>
      <c r="J152" t="s">
        <v>1382</v>
      </c>
      <c r="K152" t="s">
        <v>1383</v>
      </c>
      <c r="L152">
        <v>0.88</v>
      </c>
      <c r="M152" t="s">
        <v>1384</v>
      </c>
      <c r="N152" t="s">
        <v>1385</v>
      </c>
      <c r="O152" t="s">
        <v>1386</v>
      </c>
      <c r="P152" t="s">
        <v>485</v>
      </c>
      <c r="Q152" t="s">
        <v>219</v>
      </c>
      <c r="R152" t="s">
        <v>220</v>
      </c>
      <c r="S152" t="s">
        <v>221</v>
      </c>
      <c r="T152" t="s">
        <v>221</v>
      </c>
    </row>
    <row r="153" spans="1:20">
      <c r="A153" s="241">
        <v>44001</v>
      </c>
      <c r="B153" t="s">
        <v>1387</v>
      </c>
      <c r="C153" t="s">
        <v>223</v>
      </c>
      <c r="D153" t="s">
        <v>614</v>
      </c>
      <c r="E153" t="s">
        <v>696</v>
      </c>
      <c r="F153" t="s">
        <v>1388</v>
      </c>
      <c r="G153" t="s">
        <v>1389</v>
      </c>
      <c r="H153" t="s">
        <v>1390</v>
      </c>
      <c r="I153" t="s">
        <v>1391</v>
      </c>
      <c r="J153" t="s">
        <v>1392</v>
      </c>
      <c r="K153" t="s">
        <v>1234</v>
      </c>
      <c r="L153">
        <v>0.87</v>
      </c>
      <c r="M153" t="s">
        <v>1393</v>
      </c>
      <c r="N153" t="s">
        <v>1394</v>
      </c>
      <c r="O153" t="s">
        <v>1395</v>
      </c>
      <c r="P153" t="s">
        <v>485</v>
      </c>
      <c r="Q153" t="s">
        <v>219</v>
      </c>
      <c r="R153" t="s">
        <v>220</v>
      </c>
      <c r="S153" t="s">
        <v>221</v>
      </c>
      <c r="T153" t="s">
        <v>221</v>
      </c>
    </row>
    <row r="154" spans="1:20">
      <c r="A154" s="241">
        <v>44001</v>
      </c>
      <c r="B154" t="s">
        <v>1396</v>
      </c>
      <c r="C154" t="s">
        <v>615</v>
      </c>
      <c r="D154" t="s">
        <v>274</v>
      </c>
      <c r="E154" t="s">
        <v>332</v>
      </c>
      <c r="F154" t="s">
        <v>1397</v>
      </c>
      <c r="G154" t="s">
        <v>1398</v>
      </c>
      <c r="H154" t="s">
        <v>521</v>
      </c>
      <c r="I154" t="s">
        <v>1010</v>
      </c>
      <c r="J154" t="s">
        <v>514</v>
      </c>
      <c r="K154" t="s">
        <v>1399</v>
      </c>
      <c r="L154">
        <v>0.86</v>
      </c>
      <c r="M154" t="s">
        <v>1400</v>
      </c>
      <c r="N154" t="s">
        <v>1401</v>
      </c>
      <c r="O154" t="s">
        <v>1402</v>
      </c>
      <c r="P154" t="s">
        <v>485</v>
      </c>
      <c r="Q154" t="s">
        <v>219</v>
      </c>
      <c r="R154" t="s">
        <v>220</v>
      </c>
      <c r="S154" t="s">
        <v>221</v>
      </c>
      <c r="T154" t="s">
        <v>221</v>
      </c>
    </row>
    <row r="155" spans="1:20">
      <c r="A155" s="241">
        <v>44001</v>
      </c>
      <c r="B155" t="s">
        <v>1403</v>
      </c>
      <c r="C155" t="s">
        <v>442</v>
      </c>
      <c r="D155" t="s">
        <v>712</v>
      </c>
      <c r="E155" t="s">
        <v>304</v>
      </c>
      <c r="F155" t="s">
        <v>837</v>
      </c>
      <c r="G155" t="s">
        <v>1008</v>
      </c>
      <c r="H155" t="s">
        <v>1404</v>
      </c>
      <c r="I155" t="s">
        <v>1019</v>
      </c>
      <c r="J155" t="s">
        <v>1405</v>
      </c>
      <c r="K155" t="s">
        <v>1406</v>
      </c>
      <c r="L155">
        <v>0.86</v>
      </c>
      <c r="M155" t="s">
        <v>1407</v>
      </c>
      <c r="N155" t="s">
        <v>1408</v>
      </c>
      <c r="O155" t="s">
        <v>1409</v>
      </c>
      <c r="P155" t="s">
        <v>485</v>
      </c>
      <c r="Q155" t="s">
        <v>219</v>
      </c>
      <c r="R155" t="s">
        <v>220</v>
      </c>
      <c r="S155" t="s">
        <v>221</v>
      </c>
      <c r="T155" t="s">
        <v>221</v>
      </c>
    </row>
    <row r="156" spans="1:20">
      <c r="A156" s="241">
        <v>44001</v>
      </c>
      <c r="B156" t="s">
        <v>1410</v>
      </c>
      <c r="C156" t="s">
        <v>294</v>
      </c>
      <c r="D156" t="s">
        <v>294</v>
      </c>
      <c r="E156" t="s">
        <v>304</v>
      </c>
      <c r="F156" t="s">
        <v>529</v>
      </c>
      <c r="G156" t="s">
        <v>1411</v>
      </c>
      <c r="H156" t="s">
        <v>549</v>
      </c>
      <c r="I156" t="s">
        <v>1232</v>
      </c>
      <c r="J156" t="s">
        <v>1233</v>
      </c>
      <c r="K156" t="s">
        <v>1399</v>
      </c>
      <c r="L156">
        <v>0.86</v>
      </c>
      <c r="M156" t="s">
        <v>1412</v>
      </c>
      <c r="N156" t="s">
        <v>1413</v>
      </c>
      <c r="O156" t="s">
        <v>1414</v>
      </c>
      <c r="P156" t="s">
        <v>485</v>
      </c>
      <c r="Q156" t="s">
        <v>219</v>
      </c>
      <c r="R156" t="s">
        <v>220</v>
      </c>
      <c r="S156" t="s">
        <v>221</v>
      </c>
      <c r="T156" t="s">
        <v>221</v>
      </c>
    </row>
    <row r="157" spans="1:20">
      <c r="A157" s="241">
        <v>44001</v>
      </c>
      <c r="B157" t="s">
        <v>1415</v>
      </c>
      <c r="C157" t="s">
        <v>614</v>
      </c>
      <c r="D157" t="s">
        <v>614</v>
      </c>
      <c r="E157" t="s">
        <v>304</v>
      </c>
      <c r="F157" t="s">
        <v>1231</v>
      </c>
      <c r="G157" t="s">
        <v>1411</v>
      </c>
      <c r="H157" t="s">
        <v>1225</v>
      </c>
      <c r="I157" t="s">
        <v>1232</v>
      </c>
      <c r="J157" t="s">
        <v>1026</v>
      </c>
      <c r="K157" t="s">
        <v>524</v>
      </c>
      <c r="L157">
        <v>0.86</v>
      </c>
      <c r="M157" t="s">
        <v>1416</v>
      </c>
      <c r="N157" t="s">
        <v>1417</v>
      </c>
      <c r="O157" t="s">
        <v>1418</v>
      </c>
      <c r="P157" t="s">
        <v>485</v>
      </c>
      <c r="Q157" t="s">
        <v>219</v>
      </c>
      <c r="R157" t="s">
        <v>220</v>
      </c>
      <c r="S157" t="s">
        <v>221</v>
      </c>
      <c r="T157" t="s">
        <v>221</v>
      </c>
    </row>
    <row r="158" spans="1:20">
      <c r="A158" s="241">
        <v>44001</v>
      </c>
      <c r="B158" t="s">
        <v>1419</v>
      </c>
      <c r="C158" t="s">
        <v>614</v>
      </c>
      <c r="D158" t="s">
        <v>294</v>
      </c>
      <c r="E158" t="s">
        <v>424</v>
      </c>
      <c r="F158" t="s">
        <v>346</v>
      </c>
      <c r="G158" t="s">
        <v>1420</v>
      </c>
      <c r="H158" t="s">
        <v>815</v>
      </c>
      <c r="I158" t="s">
        <v>1421</v>
      </c>
      <c r="J158" t="s">
        <v>1240</v>
      </c>
      <c r="K158" t="s">
        <v>534</v>
      </c>
      <c r="L158">
        <v>0.86</v>
      </c>
      <c r="M158" t="s">
        <v>1422</v>
      </c>
      <c r="N158" t="s">
        <v>1423</v>
      </c>
      <c r="O158" t="s">
        <v>1424</v>
      </c>
      <c r="P158" t="s">
        <v>485</v>
      </c>
      <c r="Q158" t="s">
        <v>219</v>
      </c>
      <c r="R158" t="s">
        <v>220</v>
      </c>
      <c r="S158" t="s">
        <v>221</v>
      </c>
      <c r="T158" t="s">
        <v>221</v>
      </c>
    </row>
    <row r="159" spans="1:20">
      <c r="A159" s="241">
        <v>44001</v>
      </c>
      <c r="B159" t="s">
        <v>1425</v>
      </c>
      <c r="C159" t="s">
        <v>261</v>
      </c>
      <c r="D159" t="s">
        <v>712</v>
      </c>
      <c r="E159" t="s">
        <v>304</v>
      </c>
      <c r="F159" t="s">
        <v>600</v>
      </c>
      <c r="G159" t="s">
        <v>1411</v>
      </c>
      <c r="H159" t="s">
        <v>1426</v>
      </c>
      <c r="I159" t="s">
        <v>1427</v>
      </c>
      <c r="J159" t="s">
        <v>1428</v>
      </c>
      <c r="K159" t="s">
        <v>515</v>
      </c>
      <c r="L159">
        <v>0.86</v>
      </c>
      <c r="M159" t="s">
        <v>1429</v>
      </c>
      <c r="N159" t="s">
        <v>1430</v>
      </c>
      <c r="O159" t="s">
        <v>1431</v>
      </c>
      <c r="P159" t="s">
        <v>485</v>
      </c>
      <c r="Q159" t="s">
        <v>219</v>
      </c>
      <c r="R159" t="s">
        <v>220</v>
      </c>
      <c r="S159" t="s">
        <v>221</v>
      </c>
      <c r="T159" t="s">
        <v>221</v>
      </c>
    </row>
    <row r="160" spans="1:20">
      <c r="A160" s="241">
        <v>44001</v>
      </c>
      <c r="B160" t="s">
        <v>1432</v>
      </c>
      <c r="C160" t="s">
        <v>442</v>
      </c>
      <c r="D160" t="s">
        <v>645</v>
      </c>
      <c r="E160" t="s">
        <v>238</v>
      </c>
      <c r="F160" t="s">
        <v>813</v>
      </c>
      <c r="G160" t="s">
        <v>1433</v>
      </c>
      <c r="H160" t="s">
        <v>1257</v>
      </c>
      <c r="I160" t="s">
        <v>560</v>
      </c>
      <c r="J160" t="s">
        <v>807</v>
      </c>
      <c r="K160" t="s">
        <v>1032</v>
      </c>
      <c r="L160">
        <v>0.86</v>
      </c>
      <c r="M160" t="s">
        <v>1434</v>
      </c>
      <c r="N160" t="s">
        <v>1435</v>
      </c>
      <c r="O160" t="s">
        <v>1436</v>
      </c>
      <c r="P160" t="s">
        <v>485</v>
      </c>
      <c r="Q160" t="s">
        <v>219</v>
      </c>
      <c r="R160" t="s">
        <v>220</v>
      </c>
      <c r="S160" t="s">
        <v>221</v>
      </c>
      <c r="T160" t="s">
        <v>221</v>
      </c>
    </row>
    <row r="161" spans="1:20">
      <c r="A161" s="241">
        <v>44001</v>
      </c>
      <c r="B161" t="s">
        <v>1437</v>
      </c>
      <c r="C161" t="s">
        <v>237</v>
      </c>
      <c r="D161" t="s">
        <v>645</v>
      </c>
      <c r="E161" t="s">
        <v>304</v>
      </c>
      <c r="F161" t="s">
        <v>239</v>
      </c>
      <c r="G161" t="s">
        <v>1239</v>
      </c>
      <c r="H161" t="s">
        <v>1017</v>
      </c>
      <c r="I161" t="s">
        <v>242</v>
      </c>
      <c r="J161" t="s">
        <v>1245</v>
      </c>
      <c r="K161" t="s">
        <v>231</v>
      </c>
      <c r="L161">
        <v>0.86</v>
      </c>
      <c r="M161" t="s">
        <v>1438</v>
      </c>
      <c r="N161" t="s">
        <v>1439</v>
      </c>
      <c r="O161" t="s">
        <v>1440</v>
      </c>
      <c r="P161" t="s">
        <v>485</v>
      </c>
      <c r="Q161" t="s">
        <v>219</v>
      </c>
      <c r="R161" t="s">
        <v>220</v>
      </c>
      <c r="S161" t="s">
        <v>221</v>
      </c>
      <c r="T161" t="s">
        <v>221</v>
      </c>
    </row>
    <row r="162" spans="1:20">
      <c r="A162" s="241">
        <v>44001</v>
      </c>
      <c r="B162" t="s">
        <v>1441</v>
      </c>
      <c r="C162" t="s">
        <v>261</v>
      </c>
      <c r="D162" t="s">
        <v>615</v>
      </c>
      <c r="E162" t="s">
        <v>812</v>
      </c>
      <c r="F162" t="s">
        <v>822</v>
      </c>
      <c r="G162" t="s">
        <v>1442</v>
      </c>
      <c r="H162" t="s">
        <v>805</v>
      </c>
      <c r="I162" t="s">
        <v>824</v>
      </c>
      <c r="J162" t="s">
        <v>243</v>
      </c>
      <c r="K162" t="s">
        <v>515</v>
      </c>
      <c r="L162">
        <v>0.86</v>
      </c>
      <c r="M162" t="s">
        <v>1443</v>
      </c>
      <c r="N162" t="s">
        <v>1444</v>
      </c>
      <c r="O162" t="s">
        <v>1445</v>
      </c>
      <c r="P162" t="s">
        <v>485</v>
      </c>
      <c r="Q162" t="s">
        <v>219</v>
      </c>
      <c r="R162" t="s">
        <v>220</v>
      </c>
      <c r="S162" t="s">
        <v>221</v>
      </c>
      <c r="T162" t="s">
        <v>221</v>
      </c>
    </row>
    <row r="163" spans="1:20">
      <c r="A163" s="241">
        <v>44001</v>
      </c>
      <c r="B163" t="s">
        <v>1446</v>
      </c>
      <c r="C163" t="s">
        <v>261</v>
      </c>
      <c r="D163" t="s">
        <v>625</v>
      </c>
      <c r="E163" t="s">
        <v>597</v>
      </c>
      <c r="F163" t="s">
        <v>1056</v>
      </c>
      <c r="G163" t="s">
        <v>1447</v>
      </c>
      <c r="H163" t="s">
        <v>1257</v>
      </c>
      <c r="I163" t="s">
        <v>577</v>
      </c>
      <c r="J163" t="s">
        <v>255</v>
      </c>
      <c r="K163" t="s">
        <v>231</v>
      </c>
      <c r="L163">
        <v>0.86</v>
      </c>
      <c r="M163" t="s">
        <v>1448</v>
      </c>
      <c r="N163" t="s">
        <v>1449</v>
      </c>
      <c r="O163" t="s">
        <v>1450</v>
      </c>
      <c r="P163" t="s">
        <v>485</v>
      </c>
      <c r="Q163" t="s">
        <v>219</v>
      </c>
      <c r="R163" t="s">
        <v>220</v>
      </c>
      <c r="S163" t="s">
        <v>221</v>
      </c>
      <c r="T163" t="s">
        <v>221</v>
      </c>
    </row>
    <row r="164" spans="1:20">
      <c r="A164" s="241">
        <v>44001</v>
      </c>
      <c r="B164" t="s">
        <v>1451</v>
      </c>
      <c r="C164" t="s">
        <v>237</v>
      </c>
      <c r="D164" t="s">
        <v>1139</v>
      </c>
      <c r="E164" t="s">
        <v>332</v>
      </c>
      <c r="F164" t="s">
        <v>1452</v>
      </c>
      <c r="G164" t="s">
        <v>276</v>
      </c>
      <c r="H164" t="s">
        <v>1453</v>
      </c>
      <c r="I164" t="s">
        <v>577</v>
      </c>
      <c r="J164" t="s">
        <v>255</v>
      </c>
      <c r="K164" t="s">
        <v>231</v>
      </c>
      <c r="L164">
        <v>0.86</v>
      </c>
      <c r="M164" t="s">
        <v>1454</v>
      </c>
      <c r="N164" t="s">
        <v>1455</v>
      </c>
      <c r="O164" t="s">
        <v>1456</v>
      </c>
      <c r="P164" t="s">
        <v>485</v>
      </c>
      <c r="Q164" t="s">
        <v>219</v>
      </c>
      <c r="R164" t="s">
        <v>220</v>
      </c>
      <c r="S164" t="s">
        <v>221</v>
      </c>
      <c r="T164" t="s">
        <v>221</v>
      </c>
    </row>
    <row r="165" spans="1:20">
      <c r="A165" s="241">
        <v>44001</v>
      </c>
      <c r="B165" t="s">
        <v>1457</v>
      </c>
      <c r="C165" t="s">
        <v>274</v>
      </c>
      <c r="D165" t="s">
        <v>274</v>
      </c>
      <c r="E165" t="s">
        <v>1049</v>
      </c>
      <c r="F165" t="s">
        <v>1262</v>
      </c>
      <c r="G165" t="s">
        <v>286</v>
      </c>
      <c r="H165" t="s">
        <v>539</v>
      </c>
      <c r="I165" t="s">
        <v>1062</v>
      </c>
      <c r="J165" t="s">
        <v>1063</v>
      </c>
      <c r="K165" t="s">
        <v>571</v>
      </c>
      <c r="L165">
        <v>0.86</v>
      </c>
      <c r="M165" t="s">
        <v>1458</v>
      </c>
      <c r="N165" t="s">
        <v>1459</v>
      </c>
      <c r="O165" t="s">
        <v>1460</v>
      </c>
      <c r="P165" t="s">
        <v>485</v>
      </c>
      <c r="Q165" t="s">
        <v>219</v>
      </c>
      <c r="R165" t="s">
        <v>220</v>
      </c>
      <c r="S165" t="s">
        <v>221</v>
      </c>
      <c r="T165" t="s">
        <v>221</v>
      </c>
    </row>
    <row r="166" spans="1:20">
      <c r="A166" s="241">
        <v>44001</v>
      </c>
      <c r="B166" t="s">
        <v>1461</v>
      </c>
      <c r="C166" t="s">
        <v>261</v>
      </c>
      <c r="D166" t="s">
        <v>712</v>
      </c>
      <c r="E166" t="s">
        <v>238</v>
      </c>
      <c r="F166" t="s">
        <v>1291</v>
      </c>
      <c r="G166" t="s">
        <v>1462</v>
      </c>
      <c r="H166" t="s">
        <v>1057</v>
      </c>
      <c r="I166" t="s">
        <v>849</v>
      </c>
      <c r="J166" t="s">
        <v>850</v>
      </c>
      <c r="K166" t="s">
        <v>299</v>
      </c>
      <c r="L166">
        <v>0.86</v>
      </c>
      <c r="M166" t="s">
        <v>1463</v>
      </c>
      <c r="N166" t="s">
        <v>1464</v>
      </c>
      <c r="O166" t="s">
        <v>1465</v>
      </c>
      <c r="P166" t="s">
        <v>485</v>
      </c>
      <c r="Q166" t="s">
        <v>219</v>
      </c>
      <c r="R166" t="s">
        <v>220</v>
      </c>
      <c r="S166" t="s">
        <v>221</v>
      </c>
      <c r="T166" t="s">
        <v>221</v>
      </c>
    </row>
    <row r="167" spans="1:20">
      <c r="A167" s="241">
        <v>44001</v>
      </c>
      <c r="B167" t="s">
        <v>1466</v>
      </c>
      <c r="C167" t="s">
        <v>614</v>
      </c>
      <c r="D167" t="s">
        <v>625</v>
      </c>
      <c r="E167" t="s">
        <v>238</v>
      </c>
      <c r="F167" t="s">
        <v>1467</v>
      </c>
      <c r="G167" t="s">
        <v>836</v>
      </c>
      <c r="H167" t="s">
        <v>539</v>
      </c>
      <c r="I167" t="s">
        <v>1468</v>
      </c>
      <c r="J167" t="s">
        <v>1070</v>
      </c>
      <c r="K167" t="s">
        <v>571</v>
      </c>
      <c r="L167">
        <v>0.86</v>
      </c>
      <c r="M167" t="s">
        <v>1469</v>
      </c>
      <c r="N167" t="s">
        <v>1470</v>
      </c>
      <c r="O167" t="s">
        <v>1471</v>
      </c>
      <c r="P167" t="s">
        <v>485</v>
      </c>
      <c r="Q167" t="s">
        <v>219</v>
      </c>
      <c r="R167" t="s">
        <v>220</v>
      </c>
      <c r="S167" t="s">
        <v>221</v>
      </c>
      <c r="T167" t="s">
        <v>221</v>
      </c>
    </row>
    <row r="168" spans="1:20">
      <c r="A168" s="241">
        <v>44001</v>
      </c>
      <c r="B168" t="s">
        <v>1472</v>
      </c>
      <c r="C168" t="s">
        <v>423</v>
      </c>
      <c r="D168" t="s">
        <v>615</v>
      </c>
      <c r="E168" t="s">
        <v>696</v>
      </c>
      <c r="F168" t="s">
        <v>385</v>
      </c>
      <c r="G168" t="s">
        <v>843</v>
      </c>
      <c r="H168" t="s">
        <v>277</v>
      </c>
      <c r="I168" t="s">
        <v>288</v>
      </c>
      <c r="J168" t="s">
        <v>592</v>
      </c>
      <c r="K168" t="s">
        <v>299</v>
      </c>
      <c r="L168">
        <v>0.86</v>
      </c>
      <c r="M168" t="s">
        <v>1473</v>
      </c>
      <c r="N168" t="s">
        <v>1474</v>
      </c>
      <c r="O168" t="s">
        <v>1475</v>
      </c>
      <c r="P168" t="s">
        <v>485</v>
      </c>
      <c r="Q168" t="s">
        <v>219</v>
      </c>
      <c r="R168" t="s">
        <v>220</v>
      </c>
      <c r="S168" t="s">
        <v>221</v>
      </c>
      <c r="T168" t="s">
        <v>221</v>
      </c>
    </row>
    <row r="169" spans="1:20">
      <c r="A169" s="241">
        <v>44001</v>
      </c>
      <c r="B169" t="s">
        <v>1476</v>
      </c>
      <c r="C169" t="s">
        <v>294</v>
      </c>
      <c r="D169" t="s">
        <v>615</v>
      </c>
      <c r="E169" t="s">
        <v>424</v>
      </c>
      <c r="F169" t="s">
        <v>285</v>
      </c>
      <c r="G169" t="s">
        <v>1477</v>
      </c>
      <c r="H169" t="s">
        <v>1478</v>
      </c>
      <c r="I169" t="s">
        <v>308</v>
      </c>
      <c r="J169" t="s">
        <v>857</v>
      </c>
      <c r="K169" t="s">
        <v>579</v>
      </c>
      <c r="L169">
        <v>0.86</v>
      </c>
      <c r="M169" t="s">
        <v>1479</v>
      </c>
      <c r="N169" t="s">
        <v>1480</v>
      </c>
      <c r="O169" t="s">
        <v>1481</v>
      </c>
      <c r="P169" t="s">
        <v>485</v>
      </c>
      <c r="Q169" t="s">
        <v>219</v>
      </c>
      <c r="R169" t="s">
        <v>220</v>
      </c>
      <c r="S169" t="s">
        <v>221</v>
      </c>
      <c r="T169" t="s">
        <v>221</v>
      </c>
    </row>
    <row r="170" spans="1:20">
      <c r="A170" s="241">
        <v>44001</v>
      </c>
      <c r="B170" t="s">
        <v>1482</v>
      </c>
      <c r="C170" t="s">
        <v>615</v>
      </c>
      <c r="D170" t="s">
        <v>614</v>
      </c>
      <c r="E170" t="s">
        <v>250</v>
      </c>
      <c r="F170" t="s">
        <v>926</v>
      </c>
      <c r="G170" t="s">
        <v>1483</v>
      </c>
      <c r="H170" t="s">
        <v>226</v>
      </c>
      <c r="I170" t="s">
        <v>619</v>
      </c>
      <c r="J170" t="s">
        <v>1484</v>
      </c>
      <c r="K170" t="s">
        <v>299</v>
      </c>
      <c r="L170">
        <v>0.86</v>
      </c>
      <c r="M170" t="s">
        <v>1485</v>
      </c>
      <c r="N170" t="s">
        <v>1486</v>
      </c>
      <c r="O170" t="s">
        <v>1487</v>
      </c>
      <c r="P170" t="s">
        <v>485</v>
      </c>
      <c r="Q170" t="s">
        <v>219</v>
      </c>
      <c r="R170" t="s">
        <v>220</v>
      </c>
      <c r="S170" t="s">
        <v>221</v>
      </c>
      <c r="T170" t="s">
        <v>221</v>
      </c>
    </row>
    <row r="171" spans="1:20">
      <c r="A171" s="241">
        <v>44001</v>
      </c>
      <c r="B171" t="s">
        <v>1488</v>
      </c>
      <c r="C171" t="s">
        <v>207</v>
      </c>
      <c r="D171" t="s">
        <v>615</v>
      </c>
      <c r="E171" t="s">
        <v>238</v>
      </c>
      <c r="F171" t="s">
        <v>926</v>
      </c>
      <c r="G171" t="s">
        <v>315</v>
      </c>
      <c r="H171" t="s">
        <v>251</v>
      </c>
      <c r="I171" t="s">
        <v>869</v>
      </c>
      <c r="J171" t="s">
        <v>1092</v>
      </c>
      <c r="K171" t="s">
        <v>280</v>
      </c>
      <c r="L171">
        <v>0.86</v>
      </c>
      <c r="M171" t="s">
        <v>1489</v>
      </c>
      <c r="N171" t="s">
        <v>1490</v>
      </c>
      <c r="O171" t="s">
        <v>1491</v>
      </c>
      <c r="P171" t="s">
        <v>485</v>
      </c>
      <c r="Q171" t="s">
        <v>219</v>
      </c>
      <c r="R171" t="s">
        <v>220</v>
      </c>
      <c r="S171" t="s">
        <v>221</v>
      </c>
      <c r="T171" t="s">
        <v>221</v>
      </c>
    </row>
    <row r="172" spans="1:20">
      <c r="A172" s="241">
        <v>44001</v>
      </c>
      <c r="B172" t="s">
        <v>1492</v>
      </c>
      <c r="C172" t="s">
        <v>207</v>
      </c>
      <c r="D172" t="s">
        <v>615</v>
      </c>
      <c r="E172" t="s">
        <v>680</v>
      </c>
      <c r="F172" t="s">
        <v>1493</v>
      </c>
      <c r="G172" t="s">
        <v>324</v>
      </c>
      <c r="H172" t="s">
        <v>335</v>
      </c>
      <c r="I172" t="s">
        <v>1494</v>
      </c>
      <c r="J172" t="s">
        <v>1495</v>
      </c>
      <c r="K172" t="s">
        <v>256</v>
      </c>
      <c r="L172">
        <v>0.86</v>
      </c>
      <c r="M172" t="s">
        <v>1496</v>
      </c>
      <c r="N172" t="s">
        <v>1497</v>
      </c>
      <c r="O172" t="s">
        <v>1498</v>
      </c>
      <c r="P172" t="s">
        <v>485</v>
      </c>
      <c r="Q172" t="s">
        <v>219</v>
      </c>
      <c r="R172" t="s">
        <v>220</v>
      </c>
      <c r="S172" t="s">
        <v>221</v>
      </c>
      <c r="T172" t="s">
        <v>221</v>
      </c>
    </row>
    <row r="173" spans="1:20">
      <c r="A173" s="241">
        <v>44001</v>
      </c>
      <c r="B173" t="s">
        <v>1499</v>
      </c>
      <c r="C173" t="s">
        <v>237</v>
      </c>
      <c r="D173" t="s">
        <v>274</v>
      </c>
      <c r="E173" t="s">
        <v>304</v>
      </c>
      <c r="F173" t="s">
        <v>314</v>
      </c>
      <c r="G173" t="s">
        <v>1500</v>
      </c>
      <c r="H173" t="s">
        <v>316</v>
      </c>
      <c r="I173" t="s">
        <v>1501</v>
      </c>
      <c r="J173" t="s">
        <v>1092</v>
      </c>
      <c r="K173" t="s">
        <v>256</v>
      </c>
      <c r="L173">
        <v>0.86</v>
      </c>
      <c r="M173" t="s">
        <v>1502</v>
      </c>
      <c r="N173" t="s">
        <v>1503</v>
      </c>
      <c r="O173" t="s">
        <v>1504</v>
      </c>
      <c r="P173" t="s">
        <v>485</v>
      </c>
      <c r="Q173" t="s">
        <v>219</v>
      </c>
      <c r="R173" t="s">
        <v>220</v>
      </c>
      <c r="S173" t="s">
        <v>221</v>
      </c>
      <c r="T173" t="s">
        <v>221</v>
      </c>
    </row>
    <row r="174" spans="1:20">
      <c r="A174" s="241">
        <v>44001</v>
      </c>
      <c r="B174" t="s">
        <v>1505</v>
      </c>
      <c r="C174" t="s">
        <v>442</v>
      </c>
      <c r="D174" t="s">
        <v>645</v>
      </c>
      <c r="E174" t="s">
        <v>225</v>
      </c>
      <c r="F174" t="s">
        <v>314</v>
      </c>
      <c r="G174" t="s">
        <v>1500</v>
      </c>
      <c r="H174" t="s">
        <v>590</v>
      </c>
      <c r="I174" t="s">
        <v>347</v>
      </c>
      <c r="J174" t="s">
        <v>1506</v>
      </c>
      <c r="K174" t="s">
        <v>299</v>
      </c>
      <c r="L174">
        <v>0.86</v>
      </c>
      <c r="M174" t="s">
        <v>1507</v>
      </c>
      <c r="N174" t="s">
        <v>1508</v>
      </c>
      <c r="O174" t="s">
        <v>1509</v>
      </c>
      <c r="P174" t="s">
        <v>485</v>
      </c>
      <c r="Q174" t="s">
        <v>219</v>
      </c>
      <c r="R174" t="s">
        <v>220</v>
      </c>
      <c r="S174" t="s">
        <v>221</v>
      </c>
      <c r="T174" t="s">
        <v>221</v>
      </c>
    </row>
    <row r="175" spans="1:20">
      <c r="A175" s="241">
        <v>44001</v>
      </c>
      <c r="B175" t="s">
        <v>1510</v>
      </c>
      <c r="C175" t="s">
        <v>442</v>
      </c>
      <c r="D175" t="s">
        <v>615</v>
      </c>
      <c r="E175" t="s">
        <v>597</v>
      </c>
      <c r="F175" t="s">
        <v>1511</v>
      </c>
      <c r="G175" t="s">
        <v>1512</v>
      </c>
      <c r="H175" t="s">
        <v>881</v>
      </c>
      <c r="I175" t="s">
        <v>347</v>
      </c>
      <c r="J175" t="s">
        <v>640</v>
      </c>
      <c r="K175" t="s">
        <v>280</v>
      </c>
      <c r="L175">
        <v>0.86</v>
      </c>
      <c r="M175" t="s">
        <v>1513</v>
      </c>
      <c r="N175" t="s">
        <v>1514</v>
      </c>
      <c r="O175" t="s">
        <v>1515</v>
      </c>
      <c r="P175" t="s">
        <v>485</v>
      </c>
      <c r="Q175" t="s">
        <v>219</v>
      </c>
      <c r="R175" t="s">
        <v>220</v>
      </c>
      <c r="S175" t="s">
        <v>221</v>
      </c>
      <c r="T175" t="s">
        <v>221</v>
      </c>
    </row>
    <row r="176" spans="1:20">
      <c r="A176" s="241">
        <v>44001</v>
      </c>
      <c r="B176" t="s">
        <v>1516</v>
      </c>
      <c r="C176" t="s">
        <v>614</v>
      </c>
      <c r="D176" t="s">
        <v>442</v>
      </c>
      <c r="E176" t="s">
        <v>304</v>
      </c>
      <c r="F176" t="s">
        <v>647</v>
      </c>
      <c r="G176" t="s">
        <v>1517</v>
      </c>
      <c r="H176" t="s">
        <v>251</v>
      </c>
      <c r="I176" t="s">
        <v>1518</v>
      </c>
      <c r="J176" t="s">
        <v>348</v>
      </c>
      <c r="K176" t="s">
        <v>280</v>
      </c>
      <c r="L176">
        <v>0.86</v>
      </c>
      <c r="M176" t="s">
        <v>1519</v>
      </c>
      <c r="N176" t="s">
        <v>1520</v>
      </c>
      <c r="O176" t="s">
        <v>1521</v>
      </c>
      <c r="P176" t="s">
        <v>485</v>
      </c>
      <c r="Q176" t="s">
        <v>219</v>
      </c>
      <c r="R176" t="s">
        <v>220</v>
      </c>
      <c r="S176" t="s">
        <v>221</v>
      </c>
      <c r="T176" t="s">
        <v>221</v>
      </c>
    </row>
    <row r="177" spans="1:20">
      <c r="A177" s="241">
        <v>44001</v>
      </c>
      <c r="B177" t="s">
        <v>1522</v>
      </c>
      <c r="C177" t="s">
        <v>261</v>
      </c>
      <c r="D177" t="s">
        <v>615</v>
      </c>
      <c r="E177" t="s">
        <v>812</v>
      </c>
      <c r="F177" t="s">
        <v>383</v>
      </c>
      <c r="G177" t="s">
        <v>1500</v>
      </c>
      <c r="H177" t="s">
        <v>385</v>
      </c>
      <c r="I177" t="s">
        <v>1523</v>
      </c>
      <c r="J177" t="s">
        <v>1116</v>
      </c>
      <c r="K177" t="s">
        <v>651</v>
      </c>
      <c r="L177">
        <v>0.86</v>
      </c>
      <c r="M177" t="s">
        <v>1524</v>
      </c>
      <c r="N177" t="s">
        <v>1525</v>
      </c>
      <c r="O177" t="s">
        <v>1526</v>
      </c>
      <c r="P177" t="s">
        <v>485</v>
      </c>
      <c r="Q177" t="s">
        <v>219</v>
      </c>
      <c r="R177" t="s">
        <v>220</v>
      </c>
      <c r="S177" t="s">
        <v>221</v>
      </c>
      <c r="T177" t="s">
        <v>221</v>
      </c>
    </row>
    <row r="178" spans="1:20">
      <c r="A178" s="241">
        <v>44001</v>
      </c>
      <c r="B178" t="s">
        <v>1527</v>
      </c>
      <c r="C178" t="s">
        <v>274</v>
      </c>
      <c r="D178" t="s">
        <v>614</v>
      </c>
      <c r="E178" t="s">
        <v>1121</v>
      </c>
      <c r="F178" t="s">
        <v>454</v>
      </c>
      <c r="G178" t="s">
        <v>1292</v>
      </c>
      <c r="H178" t="s">
        <v>385</v>
      </c>
      <c r="I178" t="s">
        <v>888</v>
      </c>
      <c r="J178" t="s">
        <v>650</v>
      </c>
      <c r="K178" t="s">
        <v>280</v>
      </c>
      <c r="L178">
        <v>0.86</v>
      </c>
      <c r="M178" t="s">
        <v>1528</v>
      </c>
      <c r="N178" t="s">
        <v>1529</v>
      </c>
      <c r="O178" t="s">
        <v>1530</v>
      </c>
      <c r="P178" t="s">
        <v>485</v>
      </c>
      <c r="Q178" t="s">
        <v>219</v>
      </c>
      <c r="R178" t="s">
        <v>220</v>
      </c>
      <c r="S178" t="s">
        <v>221</v>
      </c>
      <c r="T178" t="s">
        <v>221</v>
      </c>
    </row>
    <row r="179" spans="1:20">
      <c r="A179" s="241">
        <v>44001</v>
      </c>
      <c r="B179" t="s">
        <v>1531</v>
      </c>
      <c r="C179" t="s">
        <v>261</v>
      </c>
      <c r="D179" t="s">
        <v>645</v>
      </c>
      <c r="E179" t="s">
        <v>606</v>
      </c>
      <c r="F179" t="s">
        <v>344</v>
      </c>
      <c r="G179" t="s">
        <v>1115</v>
      </c>
      <c r="H179" t="s">
        <v>590</v>
      </c>
      <c r="I179" t="s">
        <v>367</v>
      </c>
      <c r="J179" t="s">
        <v>1116</v>
      </c>
      <c r="K179" t="s">
        <v>268</v>
      </c>
      <c r="L179">
        <v>0.86</v>
      </c>
      <c r="M179" t="s">
        <v>1532</v>
      </c>
      <c r="N179" t="s">
        <v>1533</v>
      </c>
      <c r="O179" t="s">
        <v>1534</v>
      </c>
      <c r="P179" t="s">
        <v>485</v>
      </c>
      <c r="Q179" t="s">
        <v>219</v>
      </c>
      <c r="R179" t="s">
        <v>220</v>
      </c>
      <c r="S179" t="s">
        <v>221</v>
      </c>
      <c r="T179" t="s">
        <v>221</v>
      </c>
    </row>
    <row r="180" spans="1:20">
      <c r="A180" s="241">
        <v>44001</v>
      </c>
      <c r="B180" t="s">
        <v>1535</v>
      </c>
      <c r="C180" t="s">
        <v>614</v>
      </c>
      <c r="D180" t="s">
        <v>294</v>
      </c>
      <c r="E180" t="s">
        <v>1049</v>
      </c>
      <c r="F180" t="s">
        <v>1536</v>
      </c>
      <c r="G180" t="s">
        <v>375</v>
      </c>
      <c r="H180" t="s">
        <v>590</v>
      </c>
      <c r="I180" t="s">
        <v>1523</v>
      </c>
      <c r="J180" t="s">
        <v>1116</v>
      </c>
      <c r="K180" t="s">
        <v>327</v>
      </c>
      <c r="L180">
        <v>0.86</v>
      </c>
      <c r="M180" t="s">
        <v>1537</v>
      </c>
      <c r="N180" t="s">
        <v>1538</v>
      </c>
      <c r="O180" t="s">
        <v>1539</v>
      </c>
      <c r="P180" t="s">
        <v>485</v>
      </c>
      <c r="Q180" t="s">
        <v>219</v>
      </c>
      <c r="R180" t="s">
        <v>220</v>
      </c>
      <c r="S180" t="s">
        <v>221</v>
      </c>
      <c r="T180" t="s">
        <v>221</v>
      </c>
    </row>
    <row r="181" spans="1:20">
      <c r="A181" s="241">
        <v>44001</v>
      </c>
      <c r="B181" t="s">
        <v>1540</v>
      </c>
      <c r="C181" t="s">
        <v>645</v>
      </c>
      <c r="D181" t="s">
        <v>294</v>
      </c>
      <c r="E181" t="s">
        <v>225</v>
      </c>
      <c r="F181" t="s">
        <v>1541</v>
      </c>
      <c r="G181" t="s">
        <v>898</v>
      </c>
      <c r="H181" t="s">
        <v>682</v>
      </c>
      <c r="I181" t="s">
        <v>386</v>
      </c>
      <c r="J181" t="s">
        <v>1128</v>
      </c>
      <c r="K181" t="s">
        <v>327</v>
      </c>
      <c r="L181">
        <v>0.86</v>
      </c>
      <c r="M181" t="s">
        <v>1542</v>
      </c>
      <c r="N181" t="s">
        <v>1543</v>
      </c>
      <c r="O181" t="s">
        <v>1544</v>
      </c>
      <c r="P181" t="s">
        <v>485</v>
      </c>
      <c r="Q181" t="s">
        <v>219</v>
      </c>
      <c r="R181" t="s">
        <v>220</v>
      </c>
      <c r="S181" t="s">
        <v>221</v>
      </c>
      <c r="T181" t="s">
        <v>221</v>
      </c>
    </row>
    <row r="182" spans="1:20">
      <c r="A182" s="241">
        <v>44001</v>
      </c>
      <c r="B182" t="s">
        <v>1545</v>
      </c>
      <c r="C182" t="s">
        <v>294</v>
      </c>
      <c r="D182" t="s">
        <v>274</v>
      </c>
      <c r="E182" t="s">
        <v>250</v>
      </c>
      <c r="F182" t="s">
        <v>672</v>
      </c>
      <c r="G182" t="s">
        <v>1512</v>
      </c>
      <c r="H182" t="s">
        <v>1546</v>
      </c>
      <c r="I182" t="s">
        <v>1547</v>
      </c>
      <c r="J182" t="s">
        <v>377</v>
      </c>
      <c r="K182" t="s">
        <v>349</v>
      </c>
      <c r="L182">
        <v>0.86</v>
      </c>
      <c r="M182" t="s">
        <v>1548</v>
      </c>
      <c r="N182" t="s">
        <v>1549</v>
      </c>
      <c r="O182" t="s">
        <v>1550</v>
      </c>
      <c r="P182" t="s">
        <v>485</v>
      </c>
      <c r="Q182" t="s">
        <v>219</v>
      </c>
      <c r="R182" t="s">
        <v>220</v>
      </c>
      <c r="S182" t="s">
        <v>221</v>
      </c>
      <c r="T182" t="s">
        <v>221</v>
      </c>
    </row>
    <row r="183" spans="1:20">
      <c r="A183" s="241">
        <v>44001</v>
      </c>
      <c r="B183" t="s">
        <v>1551</v>
      </c>
      <c r="C183" t="s">
        <v>261</v>
      </c>
      <c r="D183" t="s">
        <v>625</v>
      </c>
      <c r="E183" t="s">
        <v>424</v>
      </c>
      <c r="F183" t="s">
        <v>662</v>
      </c>
      <c r="G183" t="s">
        <v>1104</v>
      </c>
      <c r="H183" t="s">
        <v>1552</v>
      </c>
      <c r="I183" t="s">
        <v>386</v>
      </c>
      <c r="J183" t="s">
        <v>1128</v>
      </c>
      <c r="K183" t="s">
        <v>651</v>
      </c>
      <c r="L183">
        <v>0.86</v>
      </c>
      <c r="M183" t="s">
        <v>1553</v>
      </c>
      <c r="N183" t="s">
        <v>1554</v>
      </c>
      <c r="O183" t="s">
        <v>1555</v>
      </c>
      <c r="P183" t="s">
        <v>485</v>
      </c>
      <c r="Q183" t="s">
        <v>219</v>
      </c>
      <c r="R183" t="s">
        <v>220</v>
      </c>
      <c r="S183" t="s">
        <v>221</v>
      </c>
      <c r="T183" t="s">
        <v>221</v>
      </c>
    </row>
    <row r="184" spans="1:20">
      <c r="A184" s="241">
        <v>44001</v>
      </c>
      <c r="B184" t="s">
        <v>1556</v>
      </c>
      <c r="C184" t="s">
        <v>261</v>
      </c>
      <c r="D184" t="s">
        <v>249</v>
      </c>
      <c r="E184" t="s">
        <v>606</v>
      </c>
      <c r="F184" t="s">
        <v>672</v>
      </c>
      <c r="G184" t="s">
        <v>648</v>
      </c>
      <c r="H184" t="s">
        <v>285</v>
      </c>
      <c r="I184" t="s">
        <v>1547</v>
      </c>
      <c r="J184" t="s">
        <v>368</v>
      </c>
      <c r="K184" t="s">
        <v>651</v>
      </c>
      <c r="L184">
        <v>0.86</v>
      </c>
      <c r="M184" t="s">
        <v>1557</v>
      </c>
      <c r="N184" t="s">
        <v>1558</v>
      </c>
      <c r="O184" t="s">
        <v>1559</v>
      </c>
      <c r="P184" t="s">
        <v>485</v>
      </c>
      <c r="Q184" t="s">
        <v>219</v>
      </c>
      <c r="R184" t="s">
        <v>220</v>
      </c>
      <c r="S184" t="s">
        <v>221</v>
      </c>
      <c r="T184" t="s">
        <v>221</v>
      </c>
    </row>
    <row r="185" spans="1:20">
      <c r="A185" s="241">
        <v>44001</v>
      </c>
      <c r="B185" t="s">
        <v>1560</v>
      </c>
      <c r="C185" t="s">
        <v>274</v>
      </c>
      <c r="D185" t="s">
        <v>237</v>
      </c>
      <c r="E185" t="s">
        <v>812</v>
      </c>
      <c r="F185" t="s">
        <v>1561</v>
      </c>
      <c r="G185" t="s">
        <v>1562</v>
      </c>
      <c r="H185" t="s">
        <v>926</v>
      </c>
      <c r="I185" t="s">
        <v>1563</v>
      </c>
      <c r="J185" t="s">
        <v>1298</v>
      </c>
      <c r="K185" t="s">
        <v>700</v>
      </c>
      <c r="L185">
        <v>0.86</v>
      </c>
      <c r="M185" t="s">
        <v>1564</v>
      </c>
      <c r="N185" t="s">
        <v>1565</v>
      </c>
      <c r="O185" t="s">
        <v>1566</v>
      </c>
      <c r="P185" t="s">
        <v>485</v>
      </c>
      <c r="Q185" t="s">
        <v>219</v>
      </c>
      <c r="R185" t="s">
        <v>220</v>
      </c>
      <c r="S185" t="s">
        <v>221</v>
      </c>
      <c r="T185" t="s">
        <v>221</v>
      </c>
    </row>
    <row r="186" spans="1:20">
      <c r="A186" s="241">
        <v>44001</v>
      </c>
      <c r="B186" t="s">
        <v>1567</v>
      </c>
      <c r="C186" t="s">
        <v>712</v>
      </c>
      <c r="D186" t="s">
        <v>614</v>
      </c>
      <c r="E186" t="s">
        <v>696</v>
      </c>
      <c r="F186" t="s">
        <v>909</v>
      </c>
      <c r="G186" t="s">
        <v>1568</v>
      </c>
      <c r="H186" t="s">
        <v>295</v>
      </c>
      <c r="I186" t="s">
        <v>911</v>
      </c>
      <c r="J186" t="s">
        <v>1569</v>
      </c>
      <c r="K186" t="s">
        <v>666</v>
      </c>
      <c r="L186">
        <v>0.86</v>
      </c>
      <c r="M186" t="s">
        <v>1570</v>
      </c>
      <c r="N186" t="s">
        <v>1571</v>
      </c>
      <c r="O186" t="s">
        <v>1572</v>
      </c>
      <c r="P186" t="s">
        <v>485</v>
      </c>
      <c r="Q186" t="s">
        <v>219</v>
      </c>
      <c r="R186" t="s">
        <v>220</v>
      </c>
      <c r="S186" t="s">
        <v>221</v>
      </c>
      <c r="T186" t="s">
        <v>221</v>
      </c>
    </row>
    <row r="187" spans="1:20">
      <c r="A187" s="241">
        <v>44001</v>
      </c>
      <c r="B187" t="s">
        <v>1573</v>
      </c>
      <c r="C187" t="s">
        <v>615</v>
      </c>
      <c r="D187" t="s">
        <v>442</v>
      </c>
      <c r="E187" t="s">
        <v>632</v>
      </c>
      <c r="F187" t="s">
        <v>1315</v>
      </c>
      <c r="G187" t="s">
        <v>404</v>
      </c>
      <c r="H187" t="s">
        <v>1574</v>
      </c>
      <c r="I187" t="s">
        <v>690</v>
      </c>
      <c r="J187" t="s">
        <v>691</v>
      </c>
      <c r="K187" t="s">
        <v>349</v>
      </c>
      <c r="L187">
        <v>0.86</v>
      </c>
      <c r="M187" t="s">
        <v>1575</v>
      </c>
      <c r="N187" t="s">
        <v>1576</v>
      </c>
      <c r="O187" t="s">
        <v>1577</v>
      </c>
      <c r="P187" t="s">
        <v>485</v>
      </c>
      <c r="Q187" t="s">
        <v>219</v>
      </c>
      <c r="R187" t="s">
        <v>220</v>
      </c>
      <c r="S187" t="s">
        <v>221</v>
      </c>
      <c r="T187" t="s">
        <v>221</v>
      </c>
    </row>
    <row r="188" spans="1:20">
      <c r="A188" s="241">
        <v>44001</v>
      </c>
      <c r="B188" t="s">
        <v>1578</v>
      </c>
      <c r="C188" t="s">
        <v>442</v>
      </c>
      <c r="D188" t="s">
        <v>679</v>
      </c>
      <c r="E188" t="s">
        <v>424</v>
      </c>
      <c r="F188" t="s">
        <v>403</v>
      </c>
      <c r="G188" t="s">
        <v>1568</v>
      </c>
      <c r="H188" t="s">
        <v>295</v>
      </c>
      <c r="I188" t="s">
        <v>1579</v>
      </c>
      <c r="J188" t="s">
        <v>691</v>
      </c>
      <c r="K188" t="s">
        <v>651</v>
      </c>
      <c r="L188">
        <v>0.86</v>
      </c>
      <c r="M188" t="s">
        <v>1580</v>
      </c>
      <c r="N188" t="s">
        <v>1581</v>
      </c>
      <c r="O188" t="s">
        <v>1582</v>
      </c>
      <c r="P188" t="s">
        <v>485</v>
      </c>
      <c r="Q188" t="s">
        <v>219</v>
      </c>
      <c r="R188" t="s">
        <v>220</v>
      </c>
      <c r="S188" t="s">
        <v>221</v>
      </c>
      <c r="T188" t="s">
        <v>221</v>
      </c>
    </row>
    <row r="189" spans="1:20">
      <c r="A189" s="241">
        <v>44001</v>
      </c>
      <c r="B189" t="s">
        <v>1583</v>
      </c>
      <c r="C189" t="s">
        <v>237</v>
      </c>
      <c r="D189" t="s">
        <v>1079</v>
      </c>
      <c r="E189" t="s">
        <v>225</v>
      </c>
      <c r="F189" t="s">
        <v>1584</v>
      </c>
      <c r="G189" t="s">
        <v>1585</v>
      </c>
      <c r="H189" t="s">
        <v>435</v>
      </c>
      <c r="I189" t="s">
        <v>1140</v>
      </c>
      <c r="J189" t="s">
        <v>919</v>
      </c>
      <c r="K189" t="s">
        <v>700</v>
      </c>
      <c r="L189">
        <v>0.86</v>
      </c>
      <c r="M189" t="s">
        <v>1586</v>
      </c>
      <c r="N189" t="s">
        <v>1587</v>
      </c>
      <c r="O189" t="s">
        <v>1588</v>
      </c>
      <c r="P189" t="s">
        <v>485</v>
      </c>
      <c r="Q189" t="s">
        <v>219</v>
      </c>
      <c r="R189" t="s">
        <v>220</v>
      </c>
      <c r="S189" t="s">
        <v>221</v>
      </c>
      <c r="T189" t="s">
        <v>221</v>
      </c>
    </row>
    <row r="190" spans="1:20">
      <c r="A190" s="241">
        <v>44001</v>
      </c>
      <c r="B190" t="s">
        <v>1589</v>
      </c>
      <c r="C190" t="s">
        <v>274</v>
      </c>
      <c r="D190" t="s">
        <v>261</v>
      </c>
      <c r="E190" t="s">
        <v>632</v>
      </c>
      <c r="F190" t="s">
        <v>917</v>
      </c>
      <c r="G190" t="s">
        <v>1590</v>
      </c>
      <c r="H190" t="s">
        <v>1591</v>
      </c>
      <c r="I190" t="s">
        <v>690</v>
      </c>
      <c r="J190" t="s">
        <v>691</v>
      </c>
      <c r="K190" t="s">
        <v>349</v>
      </c>
      <c r="L190">
        <v>0.86</v>
      </c>
      <c r="M190" t="s">
        <v>1592</v>
      </c>
      <c r="N190" t="s">
        <v>1593</v>
      </c>
      <c r="O190" t="s">
        <v>1594</v>
      </c>
      <c r="P190" t="s">
        <v>485</v>
      </c>
      <c r="Q190" t="s">
        <v>219</v>
      </c>
      <c r="R190" t="s">
        <v>220</v>
      </c>
      <c r="S190" t="s">
        <v>221</v>
      </c>
      <c r="T190" t="s">
        <v>221</v>
      </c>
    </row>
    <row r="191" spans="1:20">
      <c r="A191" s="241">
        <v>44001</v>
      </c>
      <c r="B191" t="s">
        <v>1595</v>
      </c>
      <c r="C191" t="s">
        <v>237</v>
      </c>
      <c r="D191" t="s">
        <v>645</v>
      </c>
      <c r="E191" t="s">
        <v>304</v>
      </c>
      <c r="F191" t="s">
        <v>413</v>
      </c>
      <c r="G191" t="s">
        <v>1568</v>
      </c>
      <c r="H191" t="s">
        <v>415</v>
      </c>
      <c r="I191" t="s">
        <v>1140</v>
      </c>
      <c r="J191" t="s">
        <v>919</v>
      </c>
      <c r="K191" t="s">
        <v>700</v>
      </c>
      <c r="L191">
        <v>0.86</v>
      </c>
      <c r="M191" t="s">
        <v>1596</v>
      </c>
      <c r="N191" t="s">
        <v>1597</v>
      </c>
      <c r="O191" t="s">
        <v>1598</v>
      </c>
      <c r="P191" t="s">
        <v>485</v>
      </c>
      <c r="Q191" t="s">
        <v>219</v>
      </c>
      <c r="R191" t="s">
        <v>220</v>
      </c>
      <c r="S191" t="s">
        <v>221</v>
      </c>
      <c r="T191" t="s">
        <v>221</v>
      </c>
    </row>
    <row r="192" spans="1:20">
      <c r="A192" s="241">
        <v>44001</v>
      </c>
      <c r="B192" t="s">
        <v>1599</v>
      </c>
      <c r="C192" t="s">
        <v>237</v>
      </c>
      <c r="D192" t="s">
        <v>442</v>
      </c>
      <c r="E192" t="s">
        <v>304</v>
      </c>
      <c r="F192" t="s">
        <v>1177</v>
      </c>
      <c r="G192" t="s">
        <v>910</v>
      </c>
      <c r="H192" t="s">
        <v>426</v>
      </c>
      <c r="I192" t="s">
        <v>406</v>
      </c>
      <c r="J192" t="s">
        <v>707</v>
      </c>
      <c r="K192" t="s">
        <v>369</v>
      </c>
      <c r="L192">
        <v>0.86</v>
      </c>
      <c r="M192" t="s">
        <v>1600</v>
      </c>
      <c r="N192" t="s">
        <v>1601</v>
      </c>
      <c r="O192" t="s">
        <v>1602</v>
      </c>
      <c r="P192" t="s">
        <v>485</v>
      </c>
      <c r="Q192" t="s">
        <v>219</v>
      </c>
      <c r="R192" t="s">
        <v>220</v>
      </c>
      <c r="S192" t="s">
        <v>221</v>
      </c>
      <c r="T192" t="s">
        <v>221</v>
      </c>
    </row>
    <row r="193" spans="1:20">
      <c r="A193" s="241">
        <v>44001</v>
      </c>
      <c r="B193" t="s">
        <v>1603</v>
      </c>
      <c r="C193" t="s">
        <v>510</v>
      </c>
      <c r="D193" t="s">
        <v>614</v>
      </c>
      <c r="E193" t="s">
        <v>632</v>
      </c>
      <c r="F193" t="s">
        <v>1604</v>
      </c>
      <c r="G193" t="s">
        <v>1605</v>
      </c>
      <c r="H193" t="s">
        <v>639</v>
      </c>
      <c r="I193" t="s">
        <v>416</v>
      </c>
      <c r="J193" t="s">
        <v>417</v>
      </c>
      <c r="K193" t="s">
        <v>418</v>
      </c>
      <c r="L193">
        <v>0.86</v>
      </c>
      <c r="M193" t="s">
        <v>1606</v>
      </c>
      <c r="N193" t="s">
        <v>1607</v>
      </c>
      <c r="O193" t="s">
        <v>1608</v>
      </c>
      <c r="P193" t="s">
        <v>485</v>
      </c>
      <c r="Q193" t="s">
        <v>219</v>
      </c>
      <c r="R193" t="s">
        <v>220</v>
      </c>
      <c r="S193" t="s">
        <v>221</v>
      </c>
      <c r="T193" t="s">
        <v>221</v>
      </c>
    </row>
    <row r="194" spans="1:20">
      <c r="A194" s="241">
        <v>44001</v>
      </c>
      <c r="B194" t="s">
        <v>1609</v>
      </c>
      <c r="C194" t="s">
        <v>294</v>
      </c>
      <c r="D194" t="s">
        <v>206</v>
      </c>
      <c r="E194" t="s">
        <v>225</v>
      </c>
      <c r="F194" t="s">
        <v>1156</v>
      </c>
      <c r="G194" t="s">
        <v>1610</v>
      </c>
      <c r="H194" t="s">
        <v>1493</v>
      </c>
      <c r="I194" t="s">
        <v>416</v>
      </c>
      <c r="J194" t="s">
        <v>940</v>
      </c>
      <c r="K194" t="s">
        <v>428</v>
      </c>
      <c r="L194">
        <v>0.86</v>
      </c>
      <c r="M194" t="s">
        <v>1611</v>
      </c>
      <c r="N194" t="s">
        <v>1612</v>
      </c>
      <c r="O194" t="s">
        <v>1613</v>
      </c>
      <c r="P194" t="s">
        <v>485</v>
      </c>
      <c r="Q194" t="s">
        <v>219</v>
      </c>
      <c r="R194" t="s">
        <v>220</v>
      </c>
      <c r="S194" t="s">
        <v>221</v>
      </c>
      <c r="T194" t="s">
        <v>221</v>
      </c>
    </row>
    <row r="195" spans="1:20">
      <c r="A195" s="241">
        <v>44001</v>
      </c>
      <c r="B195" t="s">
        <v>1614</v>
      </c>
      <c r="C195" t="s">
        <v>274</v>
      </c>
      <c r="D195" t="s">
        <v>615</v>
      </c>
      <c r="E195" t="s">
        <v>250</v>
      </c>
      <c r="F195" t="s">
        <v>1164</v>
      </c>
      <c r="G195" t="s">
        <v>404</v>
      </c>
      <c r="H195" t="s">
        <v>720</v>
      </c>
      <c r="I195" t="s">
        <v>436</v>
      </c>
      <c r="J195" t="s">
        <v>417</v>
      </c>
      <c r="K195" t="s">
        <v>700</v>
      </c>
      <c r="L195">
        <v>0.86</v>
      </c>
      <c r="M195" t="s">
        <v>1615</v>
      </c>
      <c r="N195" t="s">
        <v>1616</v>
      </c>
      <c r="O195" t="s">
        <v>1617</v>
      </c>
      <c r="P195" t="s">
        <v>485</v>
      </c>
      <c r="Q195" t="s">
        <v>219</v>
      </c>
      <c r="R195" t="s">
        <v>220</v>
      </c>
      <c r="S195" t="s">
        <v>221</v>
      </c>
      <c r="T195" t="s">
        <v>221</v>
      </c>
    </row>
    <row r="196" spans="1:20">
      <c r="A196" s="241">
        <v>44001</v>
      </c>
      <c r="B196" t="s">
        <v>1618</v>
      </c>
      <c r="C196" t="s">
        <v>274</v>
      </c>
      <c r="D196" t="s">
        <v>645</v>
      </c>
      <c r="E196" t="s">
        <v>696</v>
      </c>
      <c r="F196" t="s">
        <v>1619</v>
      </c>
      <c r="G196" t="s">
        <v>728</v>
      </c>
      <c r="H196" t="s">
        <v>1620</v>
      </c>
      <c r="I196" t="s">
        <v>947</v>
      </c>
      <c r="J196" t="s">
        <v>730</v>
      </c>
      <c r="K196" t="s">
        <v>418</v>
      </c>
      <c r="L196">
        <v>0.86</v>
      </c>
      <c r="M196" t="s">
        <v>1621</v>
      </c>
      <c r="N196" t="s">
        <v>1622</v>
      </c>
      <c r="O196" t="s">
        <v>1623</v>
      </c>
      <c r="P196" t="s">
        <v>485</v>
      </c>
      <c r="Q196" t="s">
        <v>219</v>
      </c>
      <c r="R196" t="s">
        <v>220</v>
      </c>
      <c r="S196" t="s">
        <v>221</v>
      </c>
      <c r="T196" t="s">
        <v>221</v>
      </c>
    </row>
    <row r="197" spans="1:20">
      <c r="A197" s="241">
        <v>44001</v>
      </c>
      <c r="B197" t="s">
        <v>1624</v>
      </c>
      <c r="C197" t="s">
        <v>294</v>
      </c>
      <c r="D197" t="s">
        <v>712</v>
      </c>
      <c r="E197" t="s">
        <v>250</v>
      </c>
      <c r="F197" t="s">
        <v>1625</v>
      </c>
      <c r="G197" t="s">
        <v>414</v>
      </c>
      <c r="H197" t="s">
        <v>435</v>
      </c>
      <c r="I197" t="s">
        <v>1158</v>
      </c>
      <c r="J197" t="s">
        <v>954</v>
      </c>
      <c r="K197" t="s">
        <v>408</v>
      </c>
      <c r="L197">
        <v>0.86</v>
      </c>
      <c r="M197" t="s">
        <v>1626</v>
      </c>
      <c r="N197" t="s">
        <v>1627</v>
      </c>
      <c r="O197" t="s">
        <v>1628</v>
      </c>
      <c r="P197" t="s">
        <v>485</v>
      </c>
      <c r="Q197" t="s">
        <v>219</v>
      </c>
      <c r="R197" t="s">
        <v>220</v>
      </c>
      <c r="S197" t="s">
        <v>221</v>
      </c>
      <c r="T197" t="s">
        <v>221</v>
      </c>
    </row>
    <row r="198" spans="1:20">
      <c r="A198" s="241">
        <v>44001</v>
      </c>
      <c r="B198" t="s">
        <v>1629</v>
      </c>
      <c r="C198" t="s">
        <v>294</v>
      </c>
      <c r="D198" t="s">
        <v>274</v>
      </c>
      <c r="E198" t="s">
        <v>606</v>
      </c>
      <c r="F198" t="s">
        <v>1630</v>
      </c>
      <c r="G198" t="s">
        <v>1146</v>
      </c>
      <c r="H198" t="s">
        <v>454</v>
      </c>
      <c r="I198" t="s">
        <v>1631</v>
      </c>
      <c r="J198" t="s">
        <v>1171</v>
      </c>
      <c r="K198" t="s">
        <v>408</v>
      </c>
      <c r="L198">
        <v>0.86</v>
      </c>
      <c r="M198" t="s">
        <v>1632</v>
      </c>
      <c r="N198" t="s">
        <v>1633</v>
      </c>
      <c r="O198" t="s">
        <v>1634</v>
      </c>
      <c r="P198" t="s">
        <v>485</v>
      </c>
      <c r="Q198" t="s">
        <v>219</v>
      </c>
      <c r="R198" t="s">
        <v>220</v>
      </c>
      <c r="S198" t="s">
        <v>221</v>
      </c>
      <c r="T198" t="s">
        <v>221</v>
      </c>
    </row>
    <row r="199" spans="1:20">
      <c r="A199" s="241">
        <v>44001</v>
      </c>
      <c r="B199" t="s">
        <v>1635</v>
      </c>
      <c r="C199" t="s">
        <v>442</v>
      </c>
      <c r="D199" t="s">
        <v>261</v>
      </c>
      <c r="E199" t="s">
        <v>1121</v>
      </c>
      <c r="F199" t="s">
        <v>1619</v>
      </c>
      <c r="G199" t="s">
        <v>728</v>
      </c>
      <c r="H199" t="s">
        <v>1541</v>
      </c>
      <c r="I199" t="s">
        <v>455</v>
      </c>
      <c r="J199" t="s">
        <v>456</v>
      </c>
      <c r="K199" t="s">
        <v>457</v>
      </c>
      <c r="L199">
        <v>0.86</v>
      </c>
      <c r="M199" t="s">
        <v>1636</v>
      </c>
      <c r="N199" t="s">
        <v>1637</v>
      </c>
      <c r="O199" t="s">
        <v>1638</v>
      </c>
      <c r="P199" t="s">
        <v>485</v>
      </c>
      <c r="Q199" t="s">
        <v>219</v>
      </c>
      <c r="R199" t="s">
        <v>220</v>
      </c>
      <c r="S199" t="s">
        <v>221</v>
      </c>
      <c r="T199" t="s">
        <v>221</v>
      </c>
    </row>
    <row r="200" spans="1:20">
      <c r="A200" s="241">
        <v>44001</v>
      </c>
      <c r="B200" t="s">
        <v>1639</v>
      </c>
      <c r="C200" t="s">
        <v>747</v>
      </c>
      <c r="D200" t="s">
        <v>735</v>
      </c>
      <c r="E200" t="s">
        <v>206</v>
      </c>
      <c r="F200" t="s">
        <v>1640</v>
      </c>
      <c r="G200" t="s">
        <v>465</v>
      </c>
      <c r="H200" t="s">
        <v>500</v>
      </c>
      <c r="I200" t="s">
        <v>750</v>
      </c>
      <c r="J200" t="s">
        <v>1641</v>
      </c>
      <c r="K200" t="s">
        <v>1642</v>
      </c>
      <c r="L200">
        <v>0.89</v>
      </c>
      <c r="M200" t="s">
        <v>1643</v>
      </c>
      <c r="N200" t="s">
        <v>1644</v>
      </c>
      <c r="O200" t="s">
        <v>1645</v>
      </c>
      <c r="P200" t="s">
        <v>485</v>
      </c>
      <c r="Q200" t="s">
        <v>219</v>
      </c>
      <c r="R200" t="s">
        <v>220</v>
      </c>
      <c r="S200" t="s">
        <v>221</v>
      </c>
      <c r="T200" t="s">
        <v>221</v>
      </c>
    </row>
    <row r="201" spans="1:20">
      <c r="A201" s="241">
        <v>44001</v>
      </c>
      <c r="B201" t="s">
        <v>1646</v>
      </c>
      <c r="C201" t="s">
        <v>959</v>
      </c>
      <c r="D201" t="s">
        <v>1195</v>
      </c>
      <c r="E201" t="s">
        <v>475</v>
      </c>
      <c r="F201" t="s">
        <v>1647</v>
      </c>
      <c r="G201" t="s">
        <v>1648</v>
      </c>
      <c r="H201" t="s">
        <v>1649</v>
      </c>
      <c r="I201" t="s">
        <v>479</v>
      </c>
      <c r="J201" t="s">
        <v>480</v>
      </c>
      <c r="K201" t="s">
        <v>1650</v>
      </c>
      <c r="L201">
        <v>0.89</v>
      </c>
      <c r="M201" t="s">
        <v>1651</v>
      </c>
      <c r="N201" t="s">
        <v>1652</v>
      </c>
      <c r="O201" t="s">
        <v>1653</v>
      </c>
      <c r="P201" t="s">
        <v>485</v>
      </c>
      <c r="Q201" t="s">
        <v>219</v>
      </c>
      <c r="R201" t="s">
        <v>220</v>
      </c>
      <c r="S201" t="s">
        <v>221</v>
      </c>
      <c r="T201" t="s">
        <v>221</v>
      </c>
    </row>
    <row r="202" spans="1:20">
      <c r="A202" s="241">
        <v>44001</v>
      </c>
      <c r="B202" t="s">
        <v>1654</v>
      </c>
      <c r="C202" t="s">
        <v>463</v>
      </c>
      <c r="D202" t="s">
        <v>747</v>
      </c>
      <c r="E202" t="s">
        <v>236</v>
      </c>
      <c r="F202" t="s">
        <v>1655</v>
      </c>
      <c r="G202" t="s">
        <v>1656</v>
      </c>
      <c r="H202" t="s">
        <v>1657</v>
      </c>
      <c r="I202" t="s">
        <v>1658</v>
      </c>
      <c r="J202" t="s">
        <v>1659</v>
      </c>
      <c r="K202" t="s">
        <v>1660</v>
      </c>
      <c r="L202">
        <v>0.89</v>
      </c>
      <c r="M202" t="s">
        <v>1661</v>
      </c>
      <c r="N202" t="s">
        <v>1662</v>
      </c>
      <c r="O202" t="s">
        <v>1663</v>
      </c>
      <c r="P202" t="s">
        <v>485</v>
      </c>
      <c r="Q202" t="s">
        <v>219</v>
      </c>
      <c r="R202" t="s">
        <v>220</v>
      </c>
      <c r="S202" t="s">
        <v>221</v>
      </c>
      <c r="T202" t="s">
        <v>221</v>
      </c>
    </row>
    <row r="203" spans="1:20">
      <c r="A203" s="241">
        <v>44001</v>
      </c>
      <c r="B203" t="s">
        <v>1664</v>
      </c>
      <c r="C203" t="s">
        <v>1665</v>
      </c>
      <c r="D203" t="s">
        <v>1666</v>
      </c>
      <c r="E203" t="s">
        <v>224</v>
      </c>
      <c r="F203" t="s">
        <v>1667</v>
      </c>
      <c r="G203" t="s">
        <v>1668</v>
      </c>
      <c r="H203" t="s">
        <v>1669</v>
      </c>
      <c r="I203" t="s">
        <v>1670</v>
      </c>
      <c r="J203" t="s">
        <v>1671</v>
      </c>
      <c r="K203" t="s">
        <v>1672</v>
      </c>
      <c r="L203">
        <v>0.89</v>
      </c>
      <c r="M203" t="s">
        <v>1673</v>
      </c>
      <c r="N203" t="s">
        <v>1674</v>
      </c>
      <c r="O203" t="s">
        <v>1675</v>
      </c>
      <c r="P203" t="s">
        <v>485</v>
      </c>
      <c r="Q203" t="s">
        <v>219</v>
      </c>
      <c r="R203" t="s">
        <v>220</v>
      </c>
      <c r="S203" t="s">
        <v>221</v>
      </c>
      <c r="T203" t="s">
        <v>221</v>
      </c>
    </row>
    <row r="204" spans="1:20">
      <c r="A204" s="241">
        <v>44001</v>
      </c>
      <c r="B204" t="s">
        <v>1676</v>
      </c>
      <c r="C204" t="s">
        <v>614</v>
      </c>
      <c r="D204" t="s">
        <v>274</v>
      </c>
      <c r="E204" t="s">
        <v>812</v>
      </c>
      <c r="F204" t="s">
        <v>1677</v>
      </c>
      <c r="G204" t="s">
        <v>1678</v>
      </c>
      <c r="H204" t="s">
        <v>1679</v>
      </c>
      <c r="I204" t="s">
        <v>1680</v>
      </c>
      <c r="J204" t="s">
        <v>1681</v>
      </c>
      <c r="K204" t="s">
        <v>1012</v>
      </c>
      <c r="L204">
        <v>0.87</v>
      </c>
      <c r="M204" t="s">
        <v>1682</v>
      </c>
      <c r="N204" t="s">
        <v>1683</v>
      </c>
      <c r="O204" t="s">
        <v>1684</v>
      </c>
      <c r="P204" t="s">
        <v>485</v>
      </c>
      <c r="Q204" t="s">
        <v>219</v>
      </c>
      <c r="R204" t="s">
        <v>220</v>
      </c>
      <c r="S204" t="s">
        <v>221</v>
      </c>
      <c r="T204" t="s">
        <v>221</v>
      </c>
    </row>
    <row r="205" spans="1:20">
      <c r="A205" s="241">
        <v>44001</v>
      </c>
      <c r="B205" t="s">
        <v>1685</v>
      </c>
      <c r="C205" t="s">
        <v>645</v>
      </c>
      <c r="D205" t="s">
        <v>274</v>
      </c>
      <c r="E205" t="s">
        <v>424</v>
      </c>
      <c r="F205" t="s">
        <v>1057</v>
      </c>
      <c r="G205" t="s">
        <v>1389</v>
      </c>
      <c r="H205" t="s">
        <v>521</v>
      </c>
      <c r="I205" t="s">
        <v>1686</v>
      </c>
      <c r="J205" t="s">
        <v>1687</v>
      </c>
      <c r="K205" t="s">
        <v>1012</v>
      </c>
      <c r="L205">
        <v>0.87</v>
      </c>
      <c r="M205" t="s">
        <v>1688</v>
      </c>
      <c r="N205" t="s">
        <v>1689</v>
      </c>
      <c r="O205" t="s">
        <v>1690</v>
      </c>
      <c r="P205" t="s">
        <v>485</v>
      </c>
      <c r="Q205" t="s">
        <v>219</v>
      </c>
      <c r="R205" t="s">
        <v>220</v>
      </c>
      <c r="S205" t="s">
        <v>221</v>
      </c>
      <c r="T205" t="s">
        <v>221</v>
      </c>
    </row>
    <row r="206" spans="1:20">
      <c r="A206" s="241">
        <v>44001</v>
      </c>
      <c r="B206" t="s">
        <v>1691</v>
      </c>
      <c r="C206" t="s">
        <v>615</v>
      </c>
      <c r="D206" t="s">
        <v>625</v>
      </c>
      <c r="E206" t="s">
        <v>424</v>
      </c>
      <c r="F206" t="s">
        <v>1692</v>
      </c>
      <c r="G206" t="s">
        <v>1389</v>
      </c>
      <c r="H206" t="s">
        <v>1390</v>
      </c>
      <c r="I206" t="s">
        <v>1010</v>
      </c>
      <c r="J206" t="s">
        <v>514</v>
      </c>
      <c r="K206" t="s">
        <v>1399</v>
      </c>
      <c r="L206">
        <v>0.86</v>
      </c>
      <c r="M206" t="s">
        <v>1693</v>
      </c>
      <c r="N206" t="s">
        <v>1694</v>
      </c>
      <c r="O206" t="s">
        <v>1695</v>
      </c>
      <c r="P206" t="s">
        <v>485</v>
      </c>
      <c r="Q206" t="s">
        <v>219</v>
      </c>
      <c r="R206" t="s">
        <v>220</v>
      </c>
      <c r="S206" t="s">
        <v>221</v>
      </c>
      <c r="T206" t="s">
        <v>221</v>
      </c>
    </row>
    <row r="207" spans="1:20">
      <c r="A207" s="241">
        <v>44001</v>
      </c>
      <c r="B207" t="s">
        <v>1696</v>
      </c>
      <c r="C207" t="s">
        <v>442</v>
      </c>
      <c r="D207" t="s">
        <v>274</v>
      </c>
      <c r="E207" t="s">
        <v>696</v>
      </c>
      <c r="F207" t="s">
        <v>1017</v>
      </c>
      <c r="G207" t="s">
        <v>777</v>
      </c>
      <c r="H207" t="s">
        <v>1697</v>
      </c>
      <c r="I207" t="s">
        <v>1698</v>
      </c>
      <c r="J207" t="s">
        <v>1699</v>
      </c>
      <c r="K207" t="s">
        <v>1406</v>
      </c>
      <c r="L207">
        <v>0.87</v>
      </c>
      <c r="M207" t="s">
        <v>1700</v>
      </c>
      <c r="N207" t="s">
        <v>1701</v>
      </c>
      <c r="O207" t="s">
        <v>1702</v>
      </c>
      <c r="P207" t="s">
        <v>485</v>
      </c>
      <c r="Q207" t="s">
        <v>219</v>
      </c>
      <c r="R207" t="s">
        <v>220</v>
      </c>
      <c r="S207" t="s">
        <v>221</v>
      </c>
      <c r="T207" t="s">
        <v>221</v>
      </c>
    </row>
    <row r="208" spans="1:20">
      <c r="A208" s="241">
        <v>44001</v>
      </c>
      <c r="B208" t="s">
        <v>1703</v>
      </c>
      <c r="C208" t="s">
        <v>423</v>
      </c>
      <c r="D208" t="s">
        <v>442</v>
      </c>
      <c r="E208" t="s">
        <v>812</v>
      </c>
      <c r="F208" t="s">
        <v>1704</v>
      </c>
      <c r="G208" t="s">
        <v>1214</v>
      </c>
      <c r="H208" t="s">
        <v>1404</v>
      </c>
      <c r="I208" t="s">
        <v>522</v>
      </c>
      <c r="J208" t="s">
        <v>1405</v>
      </c>
      <c r="K208" t="s">
        <v>1399</v>
      </c>
      <c r="L208">
        <v>0.86</v>
      </c>
      <c r="M208" t="s">
        <v>1705</v>
      </c>
      <c r="N208" t="s">
        <v>1706</v>
      </c>
      <c r="O208" t="s">
        <v>1707</v>
      </c>
      <c r="P208" t="s">
        <v>485</v>
      </c>
      <c r="Q208" t="s">
        <v>219</v>
      </c>
      <c r="R208" t="s">
        <v>220</v>
      </c>
      <c r="S208" t="s">
        <v>221</v>
      </c>
      <c r="T208" t="s">
        <v>221</v>
      </c>
    </row>
    <row r="209" spans="1:20">
      <c r="A209" s="241">
        <v>44001</v>
      </c>
      <c r="B209" t="s">
        <v>1708</v>
      </c>
      <c r="C209" t="s">
        <v>294</v>
      </c>
      <c r="D209" t="s">
        <v>237</v>
      </c>
      <c r="E209" t="s">
        <v>680</v>
      </c>
      <c r="F209" t="s">
        <v>813</v>
      </c>
      <c r="G209" t="s">
        <v>1389</v>
      </c>
      <c r="H209" t="s">
        <v>1709</v>
      </c>
      <c r="I209" t="s">
        <v>793</v>
      </c>
      <c r="J209" t="s">
        <v>1710</v>
      </c>
      <c r="K209" t="s">
        <v>1012</v>
      </c>
      <c r="L209">
        <v>0.86</v>
      </c>
      <c r="M209" t="s">
        <v>1711</v>
      </c>
      <c r="N209" t="s">
        <v>1712</v>
      </c>
      <c r="O209" t="s">
        <v>1713</v>
      </c>
      <c r="P209" t="s">
        <v>485</v>
      </c>
      <c r="Q209" t="s">
        <v>219</v>
      </c>
      <c r="R209" t="s">
        <v>220</v>
      </c>
      <c r="S209" t="s">
        <v>221</v>
      </c>
      <c r="T209" t="s">
        <v>221</v>
      </c>
    </row>
    <row r="210" spans="1:20">
      <c r="A210" s="241">
        <v>44001</v>
      </c>
      <c r="B210" t="s">
        <v>1714</v>
      </c>
      <c r="C210" t="s">
        <v>614</v>
      </c>
      <c r="D210" t="s">
        <v>261</v>
      </c>
      <c r="E210" t="s">
        <v>696</v>
      </c>
      <c r="F210" t="s">
        <v>862</v>
      </c>
      <c r="G210" t="s">
        <v>1715</v>
      </c>
      <c r="H210" t="s">
        <v>1716</v>
      </c>
      <c r="I210" t="s">
        <v>1226</v>
      </c>
      <c r="J210" t="s">
        <v>1026</v>
      </c>
      <c r="K210" t="s">
        <v>231</v>
      </c>
      <c r="L210">
        <v>0.87</v>
      </c>
      <c r="M210" t="s">
        <v>1717</v>
      </c>
      <c r="N210" t="s">
        <v>1718</v>
      </c>
      <c r="O210" t="s">
        <v>1719</v>
      </c>
      <c r="P210" t="s">
        <v>485</v>
      </c>
      <c r="Q210" t="s">
        <v>219</v>
      </c>
      <c r="R210" t="s">
        <v>220</v>
      </c>
      <c r="S210" t="s">
        <v>221</v>
      </c>
      <c r="T210" t="s">
        <v>221</v>
      </c>
    </row>
    <row r="211" spans="1:20">
      <c r="A211" s="241">
        <v>44001</v>
      </c>
      <c r="B211" t="s">
        <v>1720</v>
      </c>
      <c r="C211" t="s">
        <v>614</v>
      </c>
      <c r="D211" t="s">
        <v>645</v>
      </c>
      <c r="E211" t="s">
        <v>304</v>
      </c>
      <c r="F211" t="s">
        <v>539</v>
      </c>
      <c r="G211" t="s">
        <v>792</v>
      </c>
      <c r="H211" t="s">
        <v>531</v>
      </c>
      <c r="I211" t="s">
        <v>1232</v>
      </c>
      <c r="J211" t="s">
        <v>1026</v>
      </c>
      <c r="K211" t="s">
        <v>524</v>
      </c>
      <c r="L211">
        <v>0.86</v>
      </c>
      <c r="M211" t="s">
        <v>1721</v>
      </c>
      <c r="N211" t="s">
        <v>1722</v>
      </c>
      <c r="O211" t="s">
        <v>1723</v>
      </c>
      <c r="P211" t="s">
        <v>485</v>
      </c>
      <c r="Q211" t="s">
        <v>219</v>
      </c>
      <c r="R211" t="s">
        <v>220</v>
      </c>
      <c r="S211" t="s">
        <v>221</v>
      </c>
      <c r="T211" t="s">
        <v>221</v>
      </c>
    </row>
    <row r="212" spans="1:20">
      <c r="A212" s="241">
        <v>44001</v>
      </c>
      <c r="B212" t="s">
        <v>1724</v>
      </c>
      <c r="C212" t="s">
        <v>274</v>
      </c>
      <c r="D212" t="s">
        <v>615</v>
      </c>
      <c r="E212" t="s">
        <v>597</v>
      </c>
      <c r="F212" t="s">
        <v>539</v>
      </c>
      <c r="G212" t="s">
        <v>1725</v>
      </c>
      <c r="H212" t="s">
        <v>1726</v>
      </c>
      <c r="I212" t="s">
        <v>1727</v>
      </c>
      <c r="J212" t="s">
        <v>543</v>
      </c>
      <c r="K212" t="s">
        <v>515</v>
      </c>
      <c r="L212">
        <v>0.86</v>
      </c>
      <c r="M212" t="s">
        <v>1728</v>
      </c>
      <c r="N212" t="s">
        <v>1729</v>
      </c>
      <c r="O212" t="s">
        <v>1730</v>
      </c>
      <c r="P212" t="s">
        <v>485</v>
      </c>
      <c r="Q212" t="s">
        <v>219</v>
      </c>
      <c r="R212" t="s">
        <v>220</v>
      </c>
      <c r="S212" t="s">
        <v>221</v>
      </c>
      <c r="T212" t="s">
        <v>221</v>
      </c>
    </row>
    <row r="213" spans="1:20">
      <c r="A213" s="241">
        <v>44001</v>
      </c>
      <c r="B213" t="s">
        <v>1731</v>
      </c>
      <c r="C213" t="s">
        <v>625</v>
      </c>
      <c r="D213" t="s">
        <v>294</v>
      </c>
      <c r="E213" t="s">
        <v>696</v>
      </c>
      <c r="F213" t="s">
        <v>881</v>
      </c>
      <c r="G213" t="s">
        <v>1239</v>
      </c>
      <c r="H213" t="s">
        <v>211</v>
      </c>
      <c r="I213" t="s">
        <v>1031</v>
      </c>
      <c r="J213" t="s">
        <v>213</v>
      </c>
      <c r="K213" t="s">
        <v>214</v>
      </c>
      <c r="L213">
        <v>0.86</v>
      </c>
      <c r="M213" t="s">
        <v>1732</v>
      </c>
      <c r="N213" t="s">
        <v>1733</v>
      </c>
      <c r="O213" t="s">
        <v>1734</v>
      </c>
      <c r="P213" t="s">
        <v>485</v>
      </c>
      <c r="Q213" t="s">
        <v>219</v>
      </c>
      <c r="R213" t="s">
        <v>220</v>
      </c>
      <c r="S213" t="s">
        <v>221</v>
      </c>
      <c r="T213" t="s">
        <v>221</v>
      </c>
    </row>
    <row r="214" spans="1:20">
      <c r="A214" s="241">
        <v>44001</v>
      </c>
      <c r="B214" t="s">
        <v>1735</v>
      </c>
      <c r="C214" t="s">
        <v>423</v>
      </c>
      <c r="D214" t="s">
        <v>645</v>
      </c>
      <c r="E214" t="s">
        <v>812</v>
      </c>
      <c r="F214" t="s">
        <v>868</v>
      </c>
      <c r="G214" t="s">
        <v>548</v>
      </c>
      <c r="H214" t="s">
        <v>823</v>
      </c>
      <c r="I214" t="s">
        <v>1031</v>
      </c>
      <c r="J214" t="s">
        <v>213</v>
      </c>
      <c r="K214" t="s">
        <v>1032</v>
      </c>
      <c r="L214">
        <v>0.86</v>
      </c>
      <c r="M214" t="s">
        <v>1736</v>
      </c>
      <c r="N214" t="s">
        <v>1737</v>
      </c>
      <c r="O214" t="s">
        <v>1738</v>
      </c>
      <c r="P214" t="s">
        <v>485</v>
      </c>
      <c r="Q214" t="s">
        <v>219</v>
      </c>
      <c r="R214" t="s">
        <v>220</v>
      </c>
      <c r="S214" t="s">
        <v>221</v>
      </c>
      <c r="T214" t="s">
        <v>221</v>
      </c>
    </row>
    <row r="215" spans="1:20">
      <c r="A215" s="241">
        <v>44001</v>
      </c>
      <c r="B215" t="s">
        <v>1739</v>
      </c>
      <c r="C215" t="s">
        <v>294</v>
      </c>
      <c r="D215" t="s">
        <v>294</v>
      </c>
      <c r="E215" t="s">
        <v>225</v>
      </c>
      <c r="F215" t="s">
        <v>600</v>
      </c>
      <c r="G215" t="s">
        <v>1740</v>
      </c>
      <c r="H215" t="s">
        <v>1051</v>
      </c>
      <c r="I215" t="s">
        <v>1031</v>
      </c>
      <c r="J215" t="s">
        <v>817</v>
      </c>
      <c r="K215" t="s">
        <v>571</v>
      </c>
      <c r="L215">
        <v>0.86</v>
      </c>
      <c r="M215" t="s">
        <v>1741</v>
      </c>
      <c r="N215" t="s">
        <v>1742</v>
      </c>
      <c r="O215" t="s">
        <v>1743</v>
      </c>
      <c r="P215" t="s">
        <v>485</v>
      </c>
      <c r="Q215" t="s">
        <v>219</v>
      </c>
      <c r="R215" t="s">
        <v>220</v>
      </c>
      <c r="S215" t="s">
        <v>221</v>
      </c>
      <c r="T215" t="s">
        <v>221</v>
      </c>
    </row>
    <row r="216" spans="1:20">
      <c r="A216" s="241">
        <v>44001</v>
      </c>
      <c r="B216" t="s">
        <v>1744</v>
      </c>
      <c r="C216" t="s">
        <v>261</v>
      </c>
      <c r="D216" t="s">
        <v>615</v>
      </c>
      <c r="E216" t="s">
        <v>304</v>
      </c>
      <c r="F216" t="s">
        <v>566</v>
      </c>
      <c r="G216" t="s">
        <v>1745</v>
      </c>
      <c r="H216" t="s">
        <v>1746</v>
      </c>
      <c r="I216" t="s">
        <v>1747</v>
      </c>
      <c r="J216" t="s">
        <v>1039</v>
      </c>
      <c r="K216" t="s">
        <v>231</v>
      </c>
      <c r="L216">
        <v>0.86</v>
      </c>
      <c r="M216" t="s">
        <v>1748</v>
      </c>
      <c r="N216" t="s">
        <v>1749</v>
      </c>
      <c r="O216" t="s">
        <v>1750</v>
      </c>
      <c r="P216" t="s">
        <v>485</v>
      </c>
      <c r="Q216" t="s">
        <v>219</v>
      </c>
      <c r="R216" t="s">
        <v>220</v>
      </c>
      <c r="S216" t="s">
        <v>221</v>
      </c>
      <c r="T216" t="s">
        <v>221</v>
      </c>
    </row>
    <row r="217" spans="1:20">
      <c r="A217" s="241">
        <v>44001</v>
      </c>
      <c r="B217" t="s">
        <v>1751</v>
      </c>
      <c r="C217" t="s">
        <v>294</v>
      </c>
      <c r="D217" t="s">
        <v>645</v>
      </c>
      <c r="E217" t="s">
        <v>696</v>
      </c>
      <c r="F217" t="s">
        <v>584</v>
      </c>
      <c r="G217" t="s">
        <v>558</v>
      </c>
      <c r="H217" t="s">
        <v>805</v>
      </c>
      <c r="I217" t="s">
        <v>824</v>
      </c>
      <c r="J217" t="s">
        <v>230</v>
      </c>
      <c r="K217" t="s">
        <v>1032</v>
      </c>
      <c r="L217">
        <v>0.86</v>
      </c>
      <c r="M217" t="s">
        <v>1752</v>
      </c>
      <c r="N217" t="s">
        <v>1753</v>
      </c>
      <c r="O217" t="s">
        <v>1754</v>
      </c>
      <c r="P217" t="s">
        <v>485</v>
      </c>
      <c r="Q217" t="s">
        <v>219</v>
      </c>
      <c r="R217" t="s">
        <v>220</v>
      </c>
      <c r="S217" t="s">
        <v>221</v>
      </c>
      <c r="T217" t="s">
        <v>221</v>
      </c>
    </row>
    <row r="218" spans="1:20">
      <c r="A218" s="241">
        <v>44001</v>
      </c>
      <c r="B218" t="s">
        <v>1755</v>
      </c>
      <c r="C218" t="s">
        <v>442</v>
      </c>
      <c r="D218" t="s">
        <v>671</v>
      </c>
      <c r="E218" t="s">
        <v>238</v>
      </c>
      <c r="F218" t="s">
        <v>1756</v>
      </c>
      <c r="G218" t="s">
        <v>1433</v>
      </c>
      <c r="H218" t="s">
        <v>1257</v>
      </c>
      <c r="I218" t="s">
        <v>1250</v>
      </c>
      <c r="J218" t="s">
        <v>243</v>
      </c>
      <c r="K218" t="s">
        <v>231</v>
      </c>
      <c r="L218">
        <v>0.86</v>
      </c>
      <c r="M218" t="s">
        <v>1757</v>
      </c>
      <c r="N218" t="s">
        <v>1758</v>
      </c>
      <c r="O218" t="s">
        <v>1759</v>
      </c>
      <c r="P218" t="s">
        <v>485</v>
      </c>
      <c r="Q218" t="s">
        <v>219</v>
      </c>
      <c r="R218" t="s">
        <v>220</v>
      </c>
      <c r="S218" t="s">
        <v>221</v>
      </c>
      <c r="T218" t="s">
        <v>221</v>
      </c>
    </row>
    <row r="219" spans="1:20">
      <c r="A219" s="241">
        <v>44001</v>
      </c>
      <c r="B219" t="s">
        <v>1760</v>
      </c>
      <c r="C219" t="s">
        <v>261</v>
      </c>
      <c r="D219" t="s">
        <v>645</v>
      </c>
      <c r="E219" t="s">
        <v>696</v>
      </c>
      <c r="F219" t="s">
        <v>356</v>
      </c>
      <c r="G219" t="s">
        <v>240</v>
      </c>
      <c r="H219" t="s">
        <v>1388</v>
      </c>
      <c r="I219" t="s">
        <v>254</v>
      </c>
      <c r="J219" t="s">
        <v>825</v>
      </c>
      <c r="K219" t="s">
        <v>1032</v>
      </c>
      <c r="L219">
        <v>0.86</v>
      </c>
      <c r="M219" t="s">
        <v>1761</v>
      </c>
      <c r="N219" t="s">
        <v>1762</v>
      </c>
      <c r="O219" t="s">
        <v>1763</v>
      </c>
      <c r="P219" t="s">
        <v>485</v>
      </c>
      <c r="Q219" t="s">
        <v>219</v>
      </c>
      <c r="R219" t="s">
        <v>220</v>
      </c>
      <c r="S219" t="s">
        <v>221</v>
      </c>
      <c r="T219" t="s">
        <v>221</v>
      </c>
    </row>
    <row r="220" spans="1:20">
      <c r="A220" s="241">
        <v>44001</v>
      </c>
      <c r="B220" t="s">
        <v>1764</v>
      </c>
      <c r="C220" t="s">
        <v>423</v>
      </c>
      <c r="D220" t="s">
        <v>625</v>
      </c>
      <c r="E220" t="s">
        <v>1121</v>
      </c>
      <c r="F220" t="s">
        <v>1756</v>
      </c>
      <c r="G220" t="s">
        <v>798</v>
      </c>
      <c r="H220" t="s">
        <v>1257</v>
      </c>
      <c r="I220" t="s">
        <v>1250</v>
      </c>
      <c r="J220" t="s">
        <v>243</v>
      </c>
      <c r="K220" t="s">
        <v>231</v>
      </c>
      <c r="L220">
        <v>0.86</v>
      </c>
      <c r="M220" t="s">
        <v>1765</v>
      </c>
      <c r="N220" t="s">
        <v>1766</v>
      </c>
      <c r="O220" t="s">
        <v>1767</v>
      </c>
      <c r="P220" t="s">
        <v>485</v>
      </c>
      <c r="Q220" t="s">
        <v>219</v>
      </c>
      <c r="R220" t="s">
        <v>220</v>
      </c>
      <c r="S220" t="s">
        <v>221</v>
      </c>
      <c r="T220" t="s">
        <v>221</v>
      </c>
    </row>
    <row r="221" spans="1:20">
      <c r="A221" s="241">
        <v>44001</v>
      </c>
      <c r="B221" t="s">
        <v>1768</v>
      </c>
      <c r="C221" t="s">
        <v>237</v>
      </c>
      <c r="D221" t="s">
        <v>625</v>
      </c>
      <c r="E221" t="s">
        <v>632</v>
      </c>
      <c r="F221" t="s">
        <v>1769</v>
      </c>
      <c r="G221" t="s">
        <v>227</v>
      </c>
      <c r="H221" t="s">
        <v>1704</v>
      </c>
      <c r="I221" t="s">
        <v>569</v>
      </c>
      <c r="J221" t="s">
        <v>1770</v>
      </c>
      <c r="K221" t="s">
        <v>1032</v>
      </c>
      <c r="L221">
        <v>0.86</v>
      </c>
      <c r="M221" t="s">
        <v>1771</v>
      </c>
      <c r="N221" t="s">
        <v>1772</v>
      </c>
      <c r="O221" t="s">
        <v>1773</v>
      </c>
      <c r="P221" t="s">
        <v>485</v>
      </c>
      <c r="Q221" t="s">
        <v>219</v>
      </c>
      <c r="R221" t="s">
        <v>220</v>
      </c>
      <c r="S221" t="s">
        <v>221</v>
      </c>
      <c r="T221" t="s">
        <v>221</v>
      </c>
    </row>
    <row r="222" spans="1:20">
      <c r="A222" s="241">
        <v>44001</v>
      </c>
      <c r="B222" t="s">
        <v>1774</v>
      </c>
      <c r="C222" t="s">
        <v>442</v>
      </c>
      <c r="D222" t="s">
        <v>645</v>
      </c>
      <c r="E222" t="s">
        <v>812</v>
      </c>
      <c r="F222" t="s">
        <v>598</v>
      </c>
      <c r="G222" t="s">
        <v>1775</v>
      </c>
      <c r="H222" t="s">
        <v>287</v>
      </c>
      <c r="I222" t="s">
        <v>1776</v>
      </c>
      <c r="J222" t="s">
        <v>578</v>
      </c>
      <c r="K222" t="s">
        <v>231</v>
      </c>
      <c r="L222">
        <v>0.86</v>
      </c>
      <c r="M222" t="s">
        <v>1777</v>
      </c>
      <c r="N222" t="s">
        <v>1778</v>
      </c>
      <c r="O222" t="s">
        <v>1779</v>
      </c>
      <c r="P222" t="s">
        <v>485</v>
      </c>
      <c r="Q222" t="s">
        <v>219</v>
      </c>
      <c r="R222" t="s">
        <v>220</v>
      </c>
      <c r="S222" t="s">
        <v>221</v>
      </c>
      <c r="T222" t="s">
        <v>221</v>
      </c>
    </row>
    <row r="223" spans="1:20">
      <c r="A223" s="241">
        <v>44001</v>
      </c>
      <c r="B223" t="s">
        <v>1780</v>
      </c>
      <c r="C223" t="s">
        <v>442</v>
      </c>
      <c r="D223" t="s">
        <v>645</v>
      </c>
      <c r="E223" t="s">
        <v>225</v>
      </c>
      <c r="F223" t="s">
        <v>835</v>
      </c>
      <c r="G223" t="s">
        <v>1781</v>
      </c>
      <c r="H223" t="s">
        <v>837</v>
      </c>
      <c r="I223" t="s">
        <v>266</v>
      </c>
      <c r="J223" t="s">
        <v>267</v>
      </c>
      <c r="K223" t="s">
        <v>256</v>
      </c>
      <c r="L223">
        <v>0.86</v>
      </c>
      <c r="M223" t="s">
        <v>1782</v>
      </c>
      <c r="N223" t="s">
        <v>1783</v>
      </c>
      <c r="O223" t="s">
        <v>1784</v>
      </c>
      <c r="P223" t="s">
        <v>485</v>
      </c>
      <c r="Q223" t="s">
        <v>219</v>
      </c>
      <c r="R223" t="s">
        <v>220</v>
      </c>
      <c r="S223" t="s">
        <v>221</v>
      </c>
      <c r="T223" t="s">
        <v>221</v>
      </c>
    </row>
    <row r="224" spans="1:20">
      <c r="A224" s="241">
        <v>44001</v>
      </c>
      <c r="B224" t="s">
        <v>1785</v>
      </c>
      <c r="C224" t="s">
        <v>237</v>
      </c>
      <c r="D224" t="s">
        <v>712</v>
      </c>
      <c r="E224" t="s">
        <v>597</v>
      </c>
      <c r="F224" t="s">
        <v>275</v>
      </c>
      <c r="G224" t="s">
        <v>1447</v>
      </c>
      <c r="H224" t="s">
        <v>307</v>
      </c>
      <c r="I224" t="s">
        <v>266</v>
      </c>
      <c r="J224" t="s">
        <v>1786</v>
      </c>
      <c r="K224" t="s">
        <v>299</v>
      </c>
      <c r="L224">
        <v>0.86</v>
      </c>
      <c r="M224" t="s">
        <v>1787</v>
      </c>
      <c r="N224" t="s">
        <v>1788</v>
      </c>
      <c r="O224" t="s">
        <v>1789</v>
      </c>
      <c r="P224" t="s">
        <v>485</v>
      </c>
      <c r="Q224" t="s">
        <v>219</v>
      </c>
      <c r="R224" t="s">
        <v>220</v>
      </c>
      <c r="S224" t="s">
        <v>221</v>
      </c>
      <c r="T224" t="s">
        <v>221</v>
      </c>
    </row>
    <row r="225" spans="1:20">
      <c r="A225" s="241">
        <v>44001</v>
      </c>
      <c r="B225" t="s">
        <v>1790</v>
      </c>
      <c r="C225" t="s">
        <v>294</v>
      </c>
      <c r="D225" t="s">
        <v>442</v>
      </c>
      <c r="E225" t="s">
        <v>1049</v>
      </c>
      <c r="F225" t="s">
        <v>626</v>
      </c>
      <c r="G225" t="s">
        <v>1263</v>
      </c>
      <c r="H225" t="s">
        <v>1478</v>
      </c>
      <c r="I225" t="s">
        <v>288</v>
      </c>
      <c r="J225" t="s">
        <v>289</v>
      </c>
      <c r="K225" t="s">
        <v>571</v>
      </c>
      <c r="L225">
        <v>0.86</v>
      </c>
      <c r="M225" t="s">
        <v>1791</v>
      </c>
      <c r="N225" t="s">
        <v>1792</v>
      </c>
      <c r="O225" t="s">
        <v>1793</v>
      </c>
      <c r="P225" t="s">
        <v>485</v>
      </c>
      <c r="Q225" t="s">
        <v>219</v>
      </c>
      <c r="R225" t="s">
        <v>220</v>
      </c>
      <c r="S225" t="s">
        <v>221</v>
      </c>
      <c r="T225" t="s">
        <v>221</v>
      </c>
    </row>
    <row r="226" spans="1:20">
      <c r="A226" s="241">
        <v>44001</v>
      </c>
      <c r="B226" t="s">
        <v>1794</v>
      </c>
      <c r="C226" t="s">
        <v>614</v>
      </c>
      <c r="D226" t="s">
        <v>442</v>
      </c>
      <c r="E226" t="s">
        <v>304</v>
      </c>
      <c r="F226" t="s">
        <v>1147</v>
      </c>
      <c r="G226" t="s">
        <v>286</v>
      </c>
      <c r="H226" t="s">
        <v>837</v>
      </c>
      <c r="I226" t="s">
        <v>849</v>
      </c>
      <c r="J226" t="s">
        <v>592</v>
      </c>
      <c r="K226" t="s">
        <v>244</v>
      </c>
      <c r="L226">
        <v>0.86</v>
      </c>
      <c r="M226" t="s">
        <v>1795</v>
      </c>
      <c r="N226" t="s">
        <v>1796</v>
      </c>
      <c r="O226" t="s">
        <v>1797</v>
      </c>
      <c r="P226" t="s">
        <v>485</v>
      </c>
      <c r="Q226" t="s">
        <v>219</v>
      </c>
      <c r="R226" t="s">
        <v>220</v>
      </c>
      <c r="S226" t="s">
        <v>221</v>
      </c>
      <c r="T226" t="s">
        <v>221</v>
      </c>
    </row>
    <row r="227" spans="1:20">
      <c r="A227" s="241">
        <v>44001</v>
      </c>
      <c r="B227" t="s">
        <v>1798</v>
      </c>
      <c r="C227" t="s">
        <v>645</v>
      </c>
      <c r="D227" t="s">
        <v>712</v>
      </c>
      <c r="E227" t="s">
        <v>250</v>
      </c>
      <c r="F227" t="s">
        <v>1552</v>
      </c>
      <c r="G227" t="s">
        <v>286</v>
      </c>
      <c r="H227" t="s">
        <v>529</v>
      </c>
      <c r="I227" t="s">
        <v>288</v>
      </c>
      <c r="J227" t="s">
        <v>1070</v>
      </c>
      <c r="K227" t="s">
        <v>231</v>
      </c>
      <c r="L227">
        <v>0.86</v>
      </c>
      <c r="M227" t="s">
        <v>1799</v>
      </c>
      <c r="N227" t="s">
        <v>1800</v>
      </c>
      <c r="O227" t="s">
        <v>1801</v>
      </c>
      <c r="P227" t="s">
        <v>485</v>
      </c>
      <c r="Q227" t="s">
        <v>219</v>
      </c>
      <c r="R227" t="s">
        <v>220</v>
      </c>
      <c r="S227" t="s">
        <v>221</v>
      </c>
      <c r="T227" t="s">
        <v>221</v>
      </c>
    </row>
    <row r="228" spans="1:20">
      <c r="A228" s="241">
        <v>44001</v>
      </c>
      <c r="B228" t="s">
        <v>1802</v>
      </c>
      <c r="C228" t="s">
        <v>207</v>
      </c>
      <c r="D228" t="s">
        <v>1079</v>
      </c>
      <c r="E228" t="s">
        <v>304</v>
      </c>
      <c r="F228" t="s">
        <v>1291</v>
      </c>
      <c r="G228" t="s">
        <v>1263</v>
      </c>
      <c r="H228" t="s">
        <v>529</v>
      </c>
      <c r="I228" t="s">
        <v>288</v>
      </c>
      <c r="J228" t="s">
        <v>289</v>
      </c>
      <c r="K228" t="s">
        <v>571</v>
      </c>
      <c r="L228">
        <v>0.86</v>
      </c>
      <c r="M228" t="s">
        <v>1803</v>
      </c>
      <c r="N228" t="s">
        <v>1804</v>
      </c>
      <c r="O228" t="s">
        <v>1805</v>
      </c>
      <c r="P228" t="s">
        <v>485</v>
      </c>
      <c r="Q228" t="s">
        <v>219</v>
      </c>
      <c r="R228" t="s">
        <v>220</v>
      </c>
      <c r="S228" t="s">
        <v>221</v>
      </c>
      <c r="T228" t="s">
        <v>221</v>
      </c>
    </row>
    <row r="229" spans="1:20">
      <c r="A229" s="241">
        <v>44001</v>
      </c>
      <c r="B229" t="s">
        <v>1806</v>
      </c>
      <c r="C229" t="s">
        <v>294</v>
      </c>
      <c r="D229" t="s">
        <v>294</v>
      </c>
      <c r="E229" t="s">
        <v>225</v>
      </c>
      <c r="F229" t="s">
        <v>848</v>
      </c>
      <c r="G229" t="s">
        <v>1269</v>
      </c>
      <c r="H229" t="s">
        <v>265</v>
      </c>
      <c r="I229" t="s">
        <v>1468</v>
      </c>
      <c r="J229" t="s">
        <v>289</v>
      </c>
      <c r="K229" t="s">
        <v>299</v>
      </c>
      <c r="L229">
        <v>0.86</v>
      </c>
      <c r="M229" t="s">
        <v>1807</v>
      </c>
      <c r="N229" t="s">
        <v>1808</v>
      </c>
      <c r="O229" t="s">
        <v>1809</v>
      </c>
      <c r="P229" t="s">
        <v>485</v>
      </c>
      <c r="Q229" t="s">
        <v>219</v>
      </c>
      <c r="R229" t="s">
        <v>220</v>
      </c>
      <c r="S229" t="s">
        <v>221</v>
      </c>
      <c r="T229" t="s">
        <v>221</v>
      </c>
    </row>
    <row r="230" spans="1:20">
      <c r="A230" s="241">
        <v>44001</v>
      </c>
      <c r="B230" t="s">
        <v>1810</v>
      </c>
      <c r="C230" t="s">
        <v>207</v>
      </c>
      <c r="D230" t="s">
        <v>645</v>
      </c>
      <c r="E230" t="s">
        <v>597</v>
      </c>
      <c r="F230" t="s">
        <v>1591</v>
      </c>
      <c r="G230" t="s">
        <v>843</v>
      </c>
      <c r="H230" t="s">
        <v>600</v>
      </c>
      <c r="I230" t="s">
        <v>1811</v>
      </c>
      <c r="J230" t="s">
        <v>1812</v>
      </c>
      <c r="K230" t="s">
        <v>299</v>
      </c>
      <c r="L230">
        <v>0.86</v>
      </c>
      <c r="M230" t="s">
        <v>1813</v>
      </c>
      <c r="N230" t="s">
        <v>1814</v>
      </c>
      <c r="O230" t="s">
        <v>1815</v>
      </c>
      <c r="P230" t="s">
        <v>485</v>
      </c>
      <c r="Q230" t="s">
        <v>219</v>
      </c>
      <c r="R230" t="s">
        <v>220</v>
      </c>
      <c r="S230" t="s">
        <v>221</v>
      </c>
      <c r="T230" t="s">
        <v>221</v>
      </c>
    </row>
    <row r="231" spans="1:20">
      <c r="A231" s="241">
        <v>44001</v>
      </c>
      <c r="B231" t="s">
        <v>1816</v>
      </c>
      <c r="C231" t="s">
        <v>712</v>
      </c>
      <c r="D231" t="s">
        <v>614</v>
      </c>
      <c r="E231" t="s">
        <v>597</v>
      </c>
      <c r="F231" t="s">
        <v>1817</v>
      </c>
      <c r="G231" t="s">
        <v>1462</v>
      </c>
      <c r="H231" t="s">
        <v>1818</v>
      </c>
      <c r="I231" t="s">
        <v>1082</v>
      </c>
      <c r="J231" t="s">
        <v>1812</v>
      </c>
      <c r="K231" t="s">
        <v>299</v>
      </c>
      <c r="L231">
        <v>0.86</v>
      </c>
      <c r="M231" t="s">
        <v>1819</v>
      </c>
      <c r="N231" t="s">
        <v>1820</v>
      </c>
      <c r="O231" t="s">
        <v>1821</v>
      </c>
      <c r="P231" t="s">
        <v>485</v>
      </c>
      <c r="Q231" t="s">
        <v>219</v>
      </c>
      <c r="R231" t="s">
        <v>220</v>
      </c>
      <c r="S231" t="s">
        <v>221</v>
      </c>
      <c r="T231" t="s">
        <v>221</v>
      </c>
    </row>
    <row r="232" spans="1:20">
      <c r="A232" s="241">
        <v>44001</v>
      </c>
      <c r="B232" t="s">
        <v>1822</v>
      </c>
      <c r="C232" t="s">
        <v>614</v>
      </c>
      <c r="D232" t="s">
        <v>645</v>
      </c>
      <c r="E232" t="s">
        <v>696</v>
      </c>
      <c r="F232" t="s">
        <v>1817</v>
      </c>
      <c r="G232" t="s">
        <v>296</v>
      </c>
      <c r="H232" t="s">
        <v>1255</v>
      </c>
      <c r="I232" t="s">
        <v>308</v>
      </c>
      <c r="J232" t="s">
        <v>857</v>
      </c>
      <c r="K232" t="s">
        <v>579</v>
      </c>
      <c r="L232">
        <v>0.86</v>
      </c>
      <c r="M232" t="s">
        <v>1823</v>
      </c>
      <c r="N232" t="s">
        <v>1824</v>
      </c>
      <c r="O232" t="s">
        <v>1825</v>
      </c>
      <c r="P232" t="s">
        <v>485</v>
      </c>
      <c r="Q232" t="s">
        <v>219</v>
      </c>
      <c r="R232" t="s">
        <v>220</v>
      </c>
      <c r="S232" t="s">
        <v>221</v>
      </c>
      <c r="T232" t="s">
        <v>221</v>
      </c>
    </row>
    <row r="233" spans="1:20">
      <c r="A233" s="241">
        <v>44001</v>
      </c>
      <c r="B233" t="s">
        <v>1826</v>
      </c>
      <c r="C233" t="s">
        <v>625</v>
      </c>
      <c r="D233" t="s">
        <v>442</v>
      </c>
      <c r="E233" t="s">
        <v>238</v>
      </c>
      <c r="F233" t="s">
        <v>713</v>
      </c>
      <c r="G233" t="s">
        <v>1081</v>
      </c>
      <c r="H233" t="s">
        <v>1255</v>
      </c>
      <c r="I233" t="s">
        <v>1501</v>
      </c>
      <c r="J233" t="s">
        <v>1827</v>
      </c>
      <c r="K233" t="s">
        <v>280</v>
      </c>
      <c r="L233">
        <v>0.86</v>
      </c>
      <c r="M233" t="s">
        <v>1828</v>
      </c>
      <c r="N233" t="s">
        <v>1829</v>
      </c>
      <c r="O233" t="s">
        <v>1830</v>
      </c>
      <c r="P233" t="s">
        <v>485</v>
      </c>
      <c r="Q233" t="s">
        <v>219</v>
      </c>
      <c r="R233" t="s">
        <v>220</v>
      </c>
      <c r="S233" t="s">
        <v>221</v>
      </c>
      <c r="T233" t="s">
        <v>221</v>
      </c>
    </row>
    <row r="234" spans="1:20">
      <c r="A234" s="241">
        <v>44001</v>
      </c>
      <c r="B234" t="s">
        <v>1831</v>
      </c>
      <c r="C234" t="s">
        <v>645</v>
      </c>
      <c r="D234" t="s">
        <v>645</v>
      </c>
      <c r="E234" t="s">
        <v>696</v>
      </c>
      <c r="F234" t="s">
        <v>713</v>
      </c>
      <c r="G234" t="s">
        <v>1832</v>
      </c>
      <c r="H234" t="s">
        <v>1050</v>
      </c>
      <c r="I234" t="s">
        <v>325</v>
      </c>
      <c r="J234" t="s">
        <v>1495</v>
      </c>
      <c r="K234" t="s">
        <v>299</v>
      </c>
      <c r="L234">
        <v>0.86</v>
      </c>
      <c r="M234" t="s">
        <v>1833</v>
      </c>
      <c r="N234" t="s">
        <v>1834</v>
      </c>
      <c r="O234" t="s">
        <v>1835</v>
      </c>
      <c r="P234" t="s">
        <v>485</v>
      </c>
      <c r="Q234" t="s">
        <v>219</v>
      </c>
      <c r="R234" t="s">
        <v>220</v>
      </c>
      <c r="S234" t="s">
        <v>221</v>
      </c>
      <c r="T234" t="s">
        <v>221</v>
      </c>
    </row>
    <row r="235" spans="1:20">
      <c r="A235" s="241">
        <v>44001</v>
      </c>
      <c r="B235" t="s">
        <v>1836</v>
      </c>
      <c r="C235" t="s">
        <v>679</v>
      </c>
      <c r="D235" t="s">
        <v>274</v>
      </c>
      <c r="E235" t="s">
        <v>424</v>
      </c>
      <c r="F235" t="s">
        <v>435</v>
      </c>
      <c r="G235" t="s">
        <v>1081</v>
      </c>
      <c r="H235" t="s">
        <v>335</v>
      </c>
      <c r="I235" t="s">
        <v>869</v>
      </c>
      <c r="J235" t="s">
        <v>1092</v>
      </c>
      <c r="K235" t="s">
        <v>280</v>
      </c>
      <c r="L235">
        <v>0.86</v>
      </c>
      <c r="M235" t="s">
        <v>1837</v>
      </c>
      <c r="N235" t="s">
        <v>1838</v>
      </c>
      <c r="O235" t="s">
        <v>1839</v>
      </c>
      <c r="P235" t="s">
        <v>485</v>
      </c>
      <c r="Q235" t="s">
        <v>219</v>
      </c>
      <c r="R235" t="s">
        <v>220</v>
      </c>
      <c r="S235" t="s">
        <v>221</v>
      </c>
      <c r="T235" t="s">
        <v>221</v>
      </c>
    </row>
    <row r="236" spans="1:20">
      <c r="A236" s="241">
        <v>44001</v>
      </c>
      <c r="B236" t="s">
        <v>1840</v>
      </c>
      <c r="C236" t="s">
        <v>294</v>
      </c>
      <c r="D236" t="s">
        <v>274</v>
      </c>
      <c r="E236" t="s">
        <v>680</v>
      </c>
      <c r="F236" t="s">
        <v>426</v>
      </c>
      <c r="G236" t="s">
        <v>1841</v>
      </c>
      <c r="H236" t="s">
        <v>813</v>
      </c>
      <c r="I236" t="s">
        <v>1842</v>
      </c>
      <c r="J236" t="s">
        <v>634</v>
      </c>
      <c r="K236" t="s">
        <v>338</v>
      </c>
      <c r="L236">
        <v>0.86</v>
      </c>
      <c r="M236" t="s">
        <v>1843</v>
      </c>
      <c r="N236" t="s">
        <v>1844</v>
      </c>
      <c r="O236" t="s">
        <v>1845</v>
      </c>
      <c r="P236" t="s">
        <v>485</v>
      </c>
      <c r="Q236" t="s">
        <v>219</v>
      </c>
      <c r="R236" t="s">
        <v>220</v>
      </c>
      <c r="S236" t="s">
        <v>221</v>
      </c>
      <c r="T236" t="s">
        <v>221</v>
      </c>
    </row>
    <row r="237" spans="1:20">
      <c r="A237" s="241">
        <v>44001</v>
      </c>
      <c r="B237" t="s">
        <v>1846</v>
      </c>
      <c r="C237" t="s">
        <v>671</v>
      </c>
      <c r="D237" t="s">
        <v>614</v>
      </c>
      <c r="E237" t="s">
        <v>696</v>
      </c>
      <c r="F237" t="s">
        <v>364</v>
      </c>
      <c r="G237" t="s">
        <v>1081</v>
      </c>
      <c r="H237" t="s">
        <v>566</v>
      </c>
      <c r="I237" t="s">
        <v>325</v>
      </c>
      <c r="J237" t="s">
        <v>634</v>
      </c>
      <c r="K237" t="s">
        <v>268</v>
      </c>
      <c r="L237">
        <v>0.86</v>
      </c>
      <c r="M237" t="s">
        <v>1847</v>
      </c>
      <c r="N237" t="s">
        <v>1848</v>
      </c>
      <c r="O237" t="s">
        <v>1849</v>
      </c>
      <c r="P237" t="s">
        <v>485</v>
      </c>
      <c r="Q237" t="s">
        <v>219</v>
      </c>
      <c r="R237" t="s">
        <v>220</v>
      </c>
      <c r="S237" t="s">
        <v>221</v>
      </c>
      <c r="T237" t="s">
        <v>221</v>
      </c>
    </row>
    <row r="238" spans="1:20">
      <c r="A238" s="241">
        <v>44001</v>
      </c>
      <c r="B238" t="s">
        <v>1850</v>
      </c>
      <c r="C238" t="s">
        <v>274</v>
      </c>
      <c r="D238" t="s">
        <v>442</v>
      </c>
      <c r="E238" t="s">
        <v>680</v>
      </c>
      <c r="F238" t="s">
        <v>647</v>
      </c>
      <c r="G238" t="s">
        <v>1292</v>
      </c>
      <c r="H238" t="s">
        <v>881</v>
      </c>
      <c r="I238" t="s">
        <v>336</v>
      </c>
      <c r="J238" t="s">
        <v>337</v>
      </c>
      <c r="K238" t="s">
        <v>651</v>
      </c>
      <c r="L238">
        <v>0.86</v>
      </c>
      <c r="M238" t="s">
        <v>1851</v>
      </c>
      <c r="N238" t="s">
        <v>1852</v>
      </c>
      <c r="O238" t="s">
        <v>1853</v>
      </c>
      <c r="P238" t="s">
        <v>485</v>
      </c>
      <c r="Q238" t="s">
        <v>219</v>
      </c>
      <c r="R238" t="s">
        <v>220</v>
      </c>
      <c r="S238" t="s">
        <v>221</v>
      </c>
      <c r="T238" t="s">
        <v>221</v>
      </c>
    </row>
    <row r="239" spans="1:20">
      <c r="A239" s="241">
        <v>44001</v>
      </c>
      <c r="B239" t="s">
        <v>1854</v>
      </c>
      <c r="C239" t="s">
        <v>207</v>
      </c>
      <c r="D239" t="s">
        <v>671</v>
      </c>
      <c r="E239" t="s">
        <v>597</v>
      </c>
      <c r="F239" t="s">
        <v>333</v>
      </c>
      <c r="G239" t="s">
        <v>355</v>
      </c>
      <c r="H239" t="s">
        <v>251</v>
      </c>
      <c r="I239" t="s">
        <v>347</v>
      </c>
      <c r="J239" t="s">
        <v>640</v>
      </c>
      <c r="K239" t="s">
        <v>338</v>
      </c>
      <c r="L239">
        <v>0.86</v>
      </c>
      <c r="M239" t="s">
        <v>1855</v>
      </c>
      <c r="N239" t="s">
        <v>1856</v>
      </c>
      <c r="O239" t="s">
        <v>1857</v>
      </c>
      <c r="P239" t="s">
        <v>485</v>
      </c>
      <c r="Q239" t="s">
        <v>219</v>
      </c>
      <c r="R239" t="s">
        <v>220</v>
      </c>
      <c r="S239" t="s">
        <v>221</v>
      </c>
      <c r="T239" t="s">
        <v>221</v>
      </c>
    </row>
    <row r="240" spans="1:20">
      <c r="A240" s="241">
        <v>44001</v>
      </c>
      <c r="B240" t="s">
        <v>1858</v>
      </c>
      <c r="C240" t="s">
        <v>712</v>
      </c>
      <c r="D240" t="s">
        <v>423</v>
      </c>
      <c r="E240" t="s">
        <v>632</v>
      </c>
      <c r="F240" t="s">
        <v>454</v>
      </c>
      <c r="G240" t="s">
        <v>1110</v>
      </c>
      <c r="H240" t="s">
        <v>1467</v>
      </c>
      <c r="I240" t="s">
        <v>1859</v>
      </c>
      <c r="J240" t="s">
        <v>1116</v>
      </c>
      <c r="K240" t="s">
        <v>666</v>
      </c>
      <c r="L240">
        <v>0.86</v>
      </c>
      <c r="M240" t="s">
        <v>1860</v>
      </c>
      <c r="N240" t="s">
        <v>1861</v>
      </c>
      <c r="O240" t="s">
        <v>1862</v>
      </c>
      <c r="P240" t="s">
        <v>485</v>
      </c>
      <c r="Q240" t="s">
        <v>219</v>
      </c>
      <c r="R240" t="s">
        <v>220</v>
      </c>
      <c r="S240" t="s">
        <v>221</v>
      </c>
      <c r="T240" t="s">
        <v>221</v>
      </c>
    </row>
    <row r="241" spans="1:20">
      <c r="A241" s="241">
        <v>44001</v>
      </c>
      <c r="B241" t="s">
        <v>1863</v>
      </c>
      <c r="C241" t="s">
        <v>615</v>
      </c>
      <c r="D241" t="s">
        <v>615</v>
      </c>
      <c r="E241" t="s">
        <v>812</v>
      </c>
      <c r="F241" t="s">
        <v>633</v>
      </c>
      <c r="G241" t="s">
        <v>663</v>
      </c>
      <c r="H241" t="s">
        <v>263</v>
      </c>
      <c r="I241" t="s">
        <v>882</v>
      </c>
      <c r="J241" t="s">
        <v>337</v>
      </c>
      <c r="K241" t="s">
        <v>280</v>
      </c>
      <c r="L241">
        <v>0.86</v>
      </c>
      <c r="M241" t="s">
        <v>1864</v>
      </c>
      <c r="N241" t="s">
        <v>1865</v>
      </c>
      <c r="O241" t="s">
        <v>1866</v>
      </c>
      <c r="P241" t="s">
        <v>485</v>
      </c>
      <c r="Q241" t="s">
        <v>219</v>
      </c>
      <c r="R241" t="s">
        <v>220</v>
      </c>
      <c r="S241" t="s">
        <v>221</v>
      </c>
      <c r="T241" t="s">
        <v>221</v>
      </c>
    </row>
    <row r="242" spans="1:20">
      <c r="A242" s="241">
        <v>44001</v>
      </c>
      <c r="B242" t="s">
        <v>1867</v>
      </c>
      <c r="C242" t="s">
        <v>207</v>
      </c>
      <c r="D242" t="s">
        <v>645</v>
      </c>
      <c r="E242" t="s">
        <v>304</v>
      </c>
      <c r="F242" t="s">
        <v>364</v>
      </c>
      <c r="G242" t="s">
        <v>1512</v>
      </c>
      <c r="H242" t="s">
        <v>263</v>
      </c>
      <c r="I242" t="s">
        <v>1518</v>
      </c>
      <c r="J242" t="s">
        <v>1868</v>
      </c>
      <c r="K242" t="s">
        <v>349</v>
      </c>
      <c r="L242">
        <v>0.86</v>
      </c>
      <c r="M242" t="s">
        <v>1869</v>
      </c>
      <c r="N242" t="s">
        <v>1870</v>
      </c>
      <c r="O242" t="s">
        <v>1871</v>
      </c>
      <c r="P242" t="s">
        <v>485</v>
      </c>
      <c r="Q242" t="s">
        <v>219</v>
      </c>
      <c r="R242" t="s">
        <v>220</v>
      </c>
      <c r="S242" t="s">
        <v>221</v>
      </c>
      <c r="T242" t="s">
        <v>221</v>
      </c>
    </row>
    <row r="243" spans="1:20">
      <c r="A243" s="241">
        <v>44001</v>
      </c>
      <c r="B243" t="s">
        <v>1872</v>
      </c>
      <c r="C243" t="s">
        <v>261</v>
      </c>
      <c r="D243" t="s">
        <v>274</v>
      </c>
      <c r="E243" t="s">
        <v>304</v>
      </c>
      <c r="F243" t="s">
        <v>647</v>
      </c>
      <c r="G243" t="s">
        <v>375</v>
      </c>
      <c r="H243" t="s">
        <v>1056</v>
      </c>
      <c r="I243" t="s">
        <v>1859</v>
      </c>
      <c r="J243" t="s">
        <v>1116</v>
      </c>
      <c r="K243" t="s">
        <v>666</v>
      </c>
      <c r="L243">
        <v>0.86</v>
      </c>
      <c r="M243" t="s">
        <v>1873</v>
      </c>
      <c r="N243" t="s">
        <v>1874</v>
      </c>
      <c r="O243" t="s">
        <v>1875</v>
      </c>
      <c r="P243" t="s">
        <v>485</v>
      </c>
      <c r="Q243" t="s">
        <v>219</v>
      </c>
      <c r="R243" t="s">
        <v>220</v>
      </c>
      <c r="S243" t="s">
        <v>221</v>
      </c>
      <c r="T243" t="s">
        <v>221</v>
      </c>
    </row>
    <row r="244" spans="1:20">
      <c r="A244" s="241">
        <v>44001</v>
      </c>
      <c r="B244" t="s">
        <v>1876</v>
      </c>
      <c r="C244" t="s">
        <v>1877</v>
      </c>
      <c r="D244" t="s">
        <v>510</v>
      </c>
      <c r="E244" t="s">
        <v>402</v>
      </c>
      <c r="F244" t="s">
        <v>454</v>
      </c>
      <c r="G244" t="s">
        <v>1512</v>
      </c>
      <c r="H244" t="s">
        <v>598</v>
      </c>
      <c r="I244" t="s">
        <v>664</v>
      </c>
      <c r="J244" t="s">
        <v>377</v>
      </c>
      <c r="K244" t="s">
        <v>369</v>
      </c>
      <c r="L244">
        <v>0.86</v>
      </c>
      <c r="M244" t="s">
        <v>1878</v>
      </c>
      <c r="N244" t="s">
        <v>1879</v>
      </c>
      <c r="O244" t="s">
        <v>1880</v>
      </c>
      <c r="P244" t="s">
        <v>485</v>
      </c>
      <c r="Q244" t="s">
        <v>219</v>
      </c>
      <c r="R244" t="s">
        <v>220</v>
      </c>
      <c r="S244" t="s">
        <v>221</v>
      </c>
      <c r="T244" t="s">
        <v>221</v>
      </c>
    </row>
    <row r="245" spans="1:20">
      <c r="A245" s="241">
        <v>44001</v>
      </c>
      <c r="B245" t="s">
        <v>1881</v>
      </c>
      <c r="C245" t="s">
        <v>625</v>
      </c>
      <c r="D245" t="s">
        <v>261</v>
      </c>
      <c r="E245" t="s">
        <v>424</v>
      </c>
      <c r="F245" t="s">
        <v>1882</v>
      </c>
      <c r="G245" t="s">
        <v>1512</v>
      </c>
      <c r="H245" t="s">
        <v>285</v>
      </c>
      <c r="I245" t="s">
        <v>376</v>
      </c>
      <c r="J245" t="s">
        <v>368</v>
      </c>
      <c r="K245" t="s">
        <v>327</v>
      </c>
      <c r="L245">
        <v>0.86</v>
      </c>
      <c r="M245" t="s">
        <v>1883</v>
      </c>
      <c r="N245" t="s">
        <v>1884</v>
      </c>
      <c r="O245" t="s">
        <v>1885</v>
      </c>
      <c r="P245" t="s">
        <v>485</v>
      </c>
      <c r="Q245" t="s">
        <v>219</v>
      </c>
      <c r="R245" t="s">
        <v>220</v>
      </c>
      <c r="S245" t="s">
        <v>221</v>
      </c>
      <c r="T245" t="s">
        <v>221</v>
      </c>
    </row>
    <row r="246" spans="1:20">
      <c r="A246" s="241">
        <v>44001</v>
      </c>
      <c r="B246" t="s">
        <v>1886</v>
      </c>
      <c r="C246" t="s">
        <v>423</v>
      </c>
      <c r="D246" t="s">
        <v>671</v>
      </c>
      <c r="E246" t="s">
        <v>556</v>
      </c>
      <c r="F246" t="s">
        <v>1536</v>
      </c>
      <c r="G246" t="s">
        <v>1590</v>
      </c>
      <c r="H246" t="s">
        <v>1056</v>
      </c>
      <c r="I246" t="s">
        <v>664</v>
      </c>
      <c r="J246" t="s">
        <v>665</v>
      </c>
      <c r="K246" t="s">
        <v>666</v>
      </c>
      <c r="L246">
        <v>0.86</v>
      </c>
      <c r="M246" t="s">
        <v>1887</v>
      </c>
      <c r="N246" t="s">
        <v>1888</v>
      </c>
      <c r="O246" t="s">
        <v>1889</v>
      </c>
      <c r="P246" t="s">
        <v>485</v>
      </c>
      <c r="Q246" t="s">
        <v>219</v>
      </c>
      <c r="R246" t="s">
        <v>220</v>
      </c>
      <c r="S246" t="s">
        <v>221</v>
      </c>
      <c r="T246" t="s">
        <v>221</v>
      </c>
    </row>
    <row r="247" spans="1:20">
      <c r="A247" s="241">
        <v>44001</v>
      </c>
      <c r="B247" t="s">
        <v>1890</v>
      </c>
      <c r="C247" t="s">
        <v>237</v>
      </c>
      <c r="D247" t="s">
        <v>671</v>
      </c>
      <c r="E247" t="s">
        <v>382</v>
      </c>
      <c r="F247" t="s">
        <v>662</v>
      </c>
      <c r="G247" t="s">
        <v>1590</v>
      </c>
      <c r="H247" t="s">
        <v>1546</v>
      </c>
      <c r="I247" t="s">
        <v>386</v>
      </c>
      <c r="J247" t="s">
        <v>684</v>
      </c>
      <c r="K247" t="s">
        <v>700</v>
      </c>
      <c r="L247">
        <v>0.86</v>
      </c>
      <c r="M247" t="s">
        <v>1891</v>
      </c>
      <c r="N247" t="s">
        <v>1892</v>
      </c>
      <c r="O247" t="s">
        <v>1893</v>
      </c>
      <c r="P247" t="s">
        <v>485</v>
      </c>
      <c r="Q247" t="s">
        <v>219</v>
      </c>
      <c r="R247" t="s">
        <v>220</v>
      </c>
      <c r="S247" t="s">
        <v>221</v>
      </c>
      <c r="T247" t="s">
        <v>221</v>
      </c>
    </row>
    <row r="248" spans="1:20">
      <c r="A248" s="241">
        <v>44001</v>
      </c>
      <c r="B248" t="s">
        <v>1894</v>
      </c>
      <c r="C248" t="s">
        <v>261</v>
      </c>
      <c r="D248" t="s">
        <v>237</v>
      </c>
      <c r="E248" t="s">
        <v>424</v>
      </c>
      <c r="F248" t="s">
        <v>413</v>
      </c>
      <c r="G248" t="s">
        <v>898</v>
      </c>
      <c r="H248" t="s">
        <v>395</v>
      </c>
      <c r="I248" t="s">
        <v>396</v>
      </c>
      <c r="J248" t="s">
        <v>397</v>
      </c>
      <c r="K248" t="s">
        <v>700</v>
      </c>
      <c r="L248">
        <v>0.86</v>
      </c>
      <c r="M248" t="s">
        <v>1895</v>
      </c>
      <c r="N248" t="s">
        <v>1896</v>
      </c>
      <c r="O248" t="s">
        <v>1897</v>
      </c>
      <c r="P248" t="s">
        <v>485</v>
      </c>
      <c r="Q248" t="s">
        <v>219</v>
      </c>
      <c r="R248" t="s">
        <v>220</v>
      </c>
      <c r="S248" t="s">
        <v>221</v>
      </c>
      <c r="T248" t="s">
        <v>221</v>
      </c>
    </row>
    <row r="249" spans="1:20">
      <c r="A249" s="241">
        <v>44001</v>
      </c>
      <c r="B249" t="s">
        <v>1898</v>
      </c>
      <c r="C249" t="s">
        <v>615</v>
      </c>
      <c r="D249" t="s">
        <v>614</v>
      </c>
      <c r="E249" t="s">
        <v>382</v>
      </c>
      <c r="F249" t="s">
        <v>413</v>
      </c>
      <c r="G249" t="s">
        <v>697</v>
      </c>
      <c r="H249" t="s">
        <v>385</v>
      </c>
      <c r="I249" t="s">
        <v>396</v>
      </c>
      <c r="J249" t="s">
        <v>397</v>
      </c>
      <c r="K249" t="s">
        <v>700</v>
      </c>
      <c r="L249">
        <v>0.86</v>
      </c>
      <c r="M249" t="s">
        <v>1899</v>
      </c>
      <c r="N249" t="s">
        <v>1900</v>
      </c>
      <c r="O249" t="s">
        <v>1901</v>
      </c>
      <c r="P249" t="s">
        <v>485</v>
      </c>
      <c r="Q249" t="s">
        <v>219</v>
      </c>
      <c r="R249" t="s">
        <v>220</v>
      </c>
      <c r="S249" t="s">
        <v>221</v>
      </c>
      <c r="T249" t="s">
        <v>221</v>
      </c>
    </row>
    <row r="250" spans="1:20">
      <c r="A250" s="241">
        <v>44001</v>
      </c>
      <c r="B250" t="s">
        <v>1902</v>
      </c>
      <c r="C250" t="s">
        <v>249</v>
      </c>
      <c r="D250" t="s">
        <v>712</v>
      </c>
      <c r="E250" t="s">
        <v>332</v>
      </c>
      <c r="F250" t="s">
        <v>393</v>
      </c>
      <c r="G250" t="s">
        <v>681</v>
      </c>
      <c r="H250" t="s">
        <v>295</v>
      </c>
      <c r="I250" t="s">
        <v>396</v>
      </c>
      <c r="J250" t="s">
        <v>691</v>
      </c>
      <c r="K250" t="s">
        <v>359</v>
      </c>
      <c r="L250">
        <v>0.86</v>
      </c>
      <c r="M250" t="s">
        <v>1903</v>
      </c>
      <c r="N250" t="s">
        <v>1904</v>
      </c>
      <c r="O250" t="s">
        <v>1905</v>
      </c>
      <c r="P250" t="s">
        <v>485</v>
      </c>
      <c r="Q250" t="s">
        <v>219</v>
      </c>
      <c r="R250" t="s">
        <v>220</v>
      </c>
      <c r="S250" t="s">
        <v>221</v>
      </c>
      <c r="T250" t="s">
        <v>221</v>
      </c>
    </row>
    <row r="251" spans="1:20">
      <c r="A251" s="241">
        <v>44001</v>
      </c>
      <c r="B251" t="s">
        <v>1906</v>
      </c>
      <c r="C251" t="s">
        <v>294</v>
      </c>
      <c r="D251" t="s">
        <v>614</v>
      </c>
      <c r="E251" t="s">
        <v>696</v>
      </c>
      <c r="F251" t="s">
        <v>924</v>
      </c>
      <c r="G251" t="s">
        <v>404</v>
      </c>
      <c r="H251" t="s">
        <v>1109</v>
      </c>
      <c r="I251" t="s">
        <v>932</v>
      </c>
      <c r="J251" t="s">
        <v>707</v>
      </c>
      <c r="K251" t="s">
        <v>349</v>
      </c>
      <c r="L251">
        <v>0.86</v>
      </c>
      <c r="M251" t="s">
        <v>1907</v>
      </c>
      <c r="N251" t="s">
        <v>1908</v>
      </c>
      <c r="O251" t="s">
        <v>1909</v>
      </c>
      <c r="P251" t="s">
        <v>485</v>
      </c>
      <c r="Q251" t="s">
        <v>219</v>
      </c>
      <c r="R251" t="s">
        <v>220</v>
      </c>
      <c r="S251" t="s">
        <v>221</v>
      </c>
      <c r="T251" t="s">
        <v>221</v>
      </c>
    </row>
    <row r="252" spans="1:20">
      <c r="A252" s="241">
        <v>44001</v>
      </c>
      <c r="B252" t="s">
        <v>1910</v>
      </c>
      <c r="C252" t="s">
        <v>614</v>
      </c>
      <c r="D252" t="s">
        <v>261</v>
      </c>
      <c r="E252" t="s">
        <v>597</v>
      </c>
      <c r="F252" t="s">
        <v>937</v>
      </c>
      <c r="G252" t="s">
        <v>925</v>
      </c>
      <c r="H252" t="s">
        <v>1552</v>
      </c>
      <c r="I252" t="s">
        <v>406</v>
      </c>
      <c r="J252" t="s">
        <v>707</v>
      </c>
      <c r="K252" t="s">
        <v>369</v>
      </c>
      <c r="L252">
        <v>0.86</v>
      </c>
      <c r="M252" t="s">
        <v>1911</v>
      </c>
      <c r="N252" t="s">
        <v>1912</v>
      </c>
      <c r="O252" t="s">
        <v>1913</v>
      </c>
      <c r="P252" t="s">
        <v>485</v>
      </c>
      <c r="Q252" t="s">
        <v>219</v>
      </c>
      <c r="R252" t="s">
        <v>220</v>
      </c>
      <c r="S252" t="s">
        <v>221</v>
      </c>
      <c r="T252" t="s">
        <v>221</v>
      </c>
    </row>
    <row r="253" spans="1:20">
      <c r="A253" s="241">
        <v>44001</v>
      </c>
      <c r="B253" t="s">
        <v>1914</v>
      </c>
      <c r="C253" t="s">
        <v>294</v>
      </c>
      <c r="D253" t="s">
        <v>294</v>
      </c>
      <c r="E253" t="s">
        <v>225</v>
      </c>
      <c r="F253" t="s">
        <v>952</v>
      </c>
      <c r="G253" t="s">
        <v>414</v>
      </c>
      <c r="H253" t="s">
        <v>1109</v>
      </c>
      <c r="I253" t="s">
        <v>436</v>
      </c>
      <c r="J253" t="s">
        <v>940</v>
      </c>
      <c r="K253" t="s">
        <v>418</v>
      </c>
      <c r="L253">
        <v>0.86</v>
      </c>
      <c r="M253" t="s">
        <v>1915</v>
      </c>
      <c r="N253" t="s">
        <v>1916</v>
      </c>
      <c r="O253" t="s">
        <v>1917</v>
      </c>
      <c r="P253" t="s">
        <v>485</v>
      </c>
      <c r="Q253" t="s">
        <v>219</v>
      </c>
      <c r="R253" t="s">
        <v>220</v>
      </c>
      <c r="S253" t="s">
        <v>221</v>
      </c>
      <c r="T253" t="s">
        <v>221</v>
      </c>
    </row>
    <row r="254" spans="1:20">
      <c r="A254" s="241">
        <v>44001</v>
      </c>
      <c r="B254" t="s">
        <v>1918</v>
      </c>
      <c r="C254" t="s">
        <v>223</v>
      </c>
      <c r="D254" t="s">
        <v>625</v>
      </c>
      <c r="E254" t="s">
        <v>632</v>
      </c>
      <c r="F254" t="s">
        <v>689</v>
      </c>
      <c r="G254" t="s">
        <v>1605</v>
      </c>
      <c r="H254" t="s">
        <v>639</v>
      </c>
      <c r="I254" t="s">
        <v>427</v>
      </c>
      <c r="J254" t="s">
        <v>1309</v>
      </c>
      <c r="K254" t="s">
        <v>369</v>
      </c>
      <c r="L254">
        <v>0.86</v>
      </c>
      <c r="M254" t="s">
        <v>1919</v>
      </c>
      <c r="N254" t="s">
        <v>1920</v>
      </c>
      <c r="O254" t="s">
        <v>1921</v>
      </c>
      <c r="P254" t="s">
        <v>485</v>
      </c>
      <c r="Q254" t="s">
        <v>219</v>
      </c>
      <c r="R254" t="s">
        <v>220</v>
      </c>
      <c r="S254" t="s">
        <v>221</v>
      </c>
      <c r="T254" t="s">
        <v>221</v>
      </c>
    </row>
    <row r="255" spans="1:20">
      <c r="A255" s="241">
        <v>44001</v>
      </c>
      <c r="B255" t="s">
        <v>1922</v>
      </c>
      <c r="C255" t="s">
        <v>274</v>
      </c>
      <c r="D255" t="s">
        <v>712</v>
      </c>
      <c r="E255" t="s">
        <v>250</v>
      </c>
      <c r="F255" t="s">
        <v>1156</v>
      </c>
      <c r="G255" t="s">
        <v>681</v>
      </c>
      <c r="H255" t="s">
        <v>426</v>
      </c>
      <c r="I255" t="s">
        <v>1923</v>
      </c>
      <c r="J255" t="s">
        <v>707</v>
      </c>
      <c r="K255" t="s">
        <v>666</v>
      </c>
      <c r="L255">
        <v>0.86</v>
      </c>
      <c r="M255" t="s">
        <v>1924</v>
      </c>
      <c r="N255" t="s">
        <v>1925</v>
      </c>
      <c r="O255" t="s">
        <v>1926</v>
      </c>
      <c r="P255" t="s">
        <v>485</v>
      </c>
      <c r="Q255" t="s">
        <v>219</v>
      </c>
      <c r="R255" t="s">
        <v>220</v>
      </c>
      <c r="S255" t="s">
        <v>221</v>
      </c>
      <c r="T255" t="s">
        <v>221</v>
      </c>
    </row>
    <row r="256" spans="1:20">
      <c r="A256" s="241">
        <v>44001</v>
      </c>
      <c r="B256" t="s">
        <v>1927</v>
      </c>
      <c r="C256" t="s">
        <v>207</v>
      </c>
      <c r="D256" t="s">
        <v>679</v>
      </c>
      <c r="E256" t="s">
        <v>332</v>
      </c>
      <c r="F256" t="s">
        <v>1164</v>
      </c>
      <c r="G256" t="s">
        <v>705</v>
      </c>
      <c r="H256" t="s">
        <v>323</v>
      </c>
      <c r="I256" t="s">
        <v>436</v>
      </c>
      <c r="J256" t="s">
        <v>940</v>
      </c>
      <c r="K256" t="s">
        <v>418</v>
      </c>
      <c r="L256">
        <v>0.86</v>
      </c>
      <c r="M256" t="s">
        <v>1928</v>
      </c>
      <c r="N256" t="s">
        <v>1929</v>
      </c>
      <c r="O256" t="s">
        <v>1930</v>
      </c>
      <c r="P256" t="s">
        <v>485</v>
      </c>
      <c r="Q256" t="s">
        <v>219</v>
      </c>
      <c r="R256" t="s">
        <v>220</v>
      </c>
      <c r="S256" t="s">
        <v>221</v>
      </c>
      <c r="T256" t="s">
        <v>221</v>
      </c>
    </row>
    <row r="257" spans="1:20">
      <c r="A257" s="241">
        <v>44001</v>
      </c>
      <c r="B257" t="s">
        <v>1931</v>
      </c>
      <c r="C257" t="s">
        <v>423</v>
      </c>
      <c r="D257" t="s">
        <v>671</v>
      </c>
      <c r="E257" t="s">
        <v>238</v>
      </c>
      <c r="F257" t="s">
        <v>403</v>
      </c>
      <c r="G257" t="s">
        <v>925</v>
      </c>
      <c r="H257" t="s">
        <v>435</v>
      </c>
      <c r="I257" t="s">
        <v>1923</v>
      </c>
      <c r="J257" t="s">
        <v>1304</v>
      </c>
      <c r="K257" t="s">
        <v>369</v>
      </c>
      <c r="L257">
        <v>0.86</v>
      </c>
      <c r="M257" t="s">
        <v>1932</v>
      </c>
      <c r="N257" t="s">
        <v>1933</v>
      </c>
      <c r="O257" t="s">
        <v>1934</v>
      </c>
      <c r="P257" t="s">
        <v>485</v>
      </c>
      <c r="Q257" t="s">
        <v>219</v>
      </c>
      <c r="R257" t="s">
        <v>220</v>
      </c>
      <c r="S257" t="s">
        <v>221</v>
      </c>
      <c r="T257" t="s">
        <v>221</v>
      </c>
    </row>
    <row r="258" spans="1:20">
      <c r="A258" s="241">
        <v>44001</v>
      </c>
      <c r="B258" t="s">
        <v>1935</v>
      </c>
      <c r="C258" t="s">
        <v>510</v>
      </c>
      <c r="D258" t="s">
        <v>442</v>
      </c>
      <c r="E258" t="s">
        <v>1121</v>
      </c>
      <c r="F258" t="s">
        <v>1164</v>
      </c>
      <c r="G258" t="s">
        <v>1936</v>
      </c>
      <c r="H258" t="s">
        <v>1109</v>
      </c>
      <c r="I258" t="s">
        <v>416</v>
      </c>
      <c r="J258" t="s">
        <v>417</v>
      </c>
      <c r="K258" t="s">
        <v>418</v>
      </c>
      <c r="L258">
        <v>0.86</v>
      </c>
      <c r="M258" t="s">
        <v>1937</v>
      </c>
      <c r="N258" t="s">
        <v>1938</v>
      </c>
      <c r="O258" t="s">
        <v>1939</v>
      </c>
      <c r="P258" t="s">
        <v>485</v>
      </c>
      <c r="Q258" t="s">
        <v>219</v>
      </c>
      <c r="R258" t="s">
        <v>220</v>
      </c>
      <c r="S258" t="s">
        <v>221</v>
      </c>
      <c r="T258" t="s">
        <v>221</v>
      </c>
    </row>
    <row r="259" spans="1:20">
      <c r="A259" s="241">
        <v>44001</v>
      </c>
      <c r="B259" t="s">
        <v>1940</v>
      </c>
      <c r="C259" t="s">
        <v>249</v>
      </c>
      <c r="D259" t="s">
        <v>625</v>
      </c>
      <c r="E259" t="s">
        <v>250</v>
      </c>
      <c r="F259" t="s">
        <v>444</v>
      </c>
      <c r="G259" t="s">
        <v>931</v>
      </c>
      <c r="H259" t="s">
        <v>323</v>
      </c>
      <c r="I259" t="s">
        <v>939</v>
      </c>
      <c r="J259" t="s">
        <v>1159</v>
      </c>
      <c r="K259" t="s">
        <v>722</v>
      </c>
      <c r="L259">
        <v>0.86</v>
      </c>
      <c r="M259" t="s">
        <v>1941</v>
      </c>
      <c r="N259" t="s">
        <v>1942</v>
      </c>
      <c r="O259" t="s">
        <v>1943</v>
      </c>
      <c r="P259" t="s">
        <v>485</v>
      </c>
      <c r="Q259" t="s">
        <v>219</v>
      </c>
      <c r="R259" t="s">
        <v>220</v>
      </c>
      <c r="S259" t="s">
        <v>221</v>
      </c>
      <c r="T259" t="s">
        <v>221</v>
      </c>
    </row>
    <row r="260" spans="1:20">
      <c r="A260" s="241">
        <v>44001</v>
      </c>
      <c r="B260" t="s">
        <v>1944</v>
      </c>
      <c r="C260" t="s">
        <v>207</v>
      </c>
      <c r="D260" t="s">
        <v>274</v>
      </c>
      <c r="E260" t="s">
        <v>304</v>
      </c>
      <c r="F260" t="s">
        <v>1945</v>
      </c>
      <c r="G260" t="s">
        <v>1946</v>
      </c>
      <c r="H260" t="s">
        <v>1109</v>
      </c>
      <c r="I260" t="s">
        <v>1165</v>
      </c>
      <c r="J260" t="s">
        <v>1159</v>
      </c>
      <c r="K260" t="s">
        <v>408</v>
      </c>
      <c r="L260">
        <v>0.86</v>
      </c>
      <c r="M260" t="s">
        <v>1947</v>
      </c>
      <c r="N260" t="s">
        <v>1948</v>
      </c>
      <c r="O260" t="s">
        <v>1949</v>
      </c>
      <c r="P260" t="s">
        <v>485</v>
      </c>
      <c r="Q260" t="s">
        <v>219</v>
      </c>
      <c r="R260" t="s">
        <v>220</v>
      </c>
      <c r="S260" t="s">
        <v>221</v>
      </c>
      <c r="T260" t="s">
        <v>221</v>
      </c>
    </row>
    <row r="261" spans="1:20">
      <c r="A261" s="241">
        <v>44001</v>
      </c>
      <c r="B261" t="s">
        <v>1950</v>
      </c>
      <c r="C261" t="s">
        <v>625</v>
      </c>
      <c r="D261" t="s">
        <v>423</v>
      </c>
      <c r="E261" t="s">
        <v>812</v>
      </c>
      <c r="F261" t="s">
        <v>1951</v>
      </c>
      <c r="G261" t="s">
        <v>1936</v>
      </c>
      <c r="H261" t="s">
        <v>897</v>
      </c>
      <c r="I261" t="s">
        <v>947</v>
      </c>
      <c r="J261" t="s">
        <v>730</v>
      </c>
      <c r="K261" t="s">
        <v>418</v>
      </c>
      <c r="L261">
        <v>0.86</v>
      </c>
      <c r="M261" t="s">
        <v>1952</v>
      </c>
      <c r="N261" t="s">
        <v>1953</v>
      </c>
      <c r="O261" t="s">
        <v>1954</v>
      </c>
      <c r="P261" t="s">
        <v>485</v>
      </c>
      <c r="Q261" t="s">
        <v>219</v>
      </c>
      <c r="R261" t="s">
        <v>220</v>
      </c>
      <c r="S261" t="s">
        <v>221</v>
      </c>
      <c r="T261" t="s">
        <v>221</v>
      </c>
    </row>
    <row r="262" spans="1:20">
      <c r="A262" s="241">
        <v>44001</v>
      </c>
      <c r="B262" t="s">
        <v>1955</v>
      </c>
      <c r="C262" t="s">
        <v>249</v>
      </c>
      <c r="D262" t="s">
        <v>294</v>
      </c>
      <c r="E262" t="s">
        <v>250</v>
      </c>
      <c r="F262" t="s">
        <v>1945</v>
      </c>
      <c r="G262" t="s">
        <v>414</v>
      </c>
      <c r="H262" t="s">
        <v>1620</v>
      </c>
      <c r="I262" t="s">
        <v>446</v>
      </c>
      <c r="J262" t="s">
        <v>730</v>
      </c>
      <c r="K262" t="s">
        <v>457</v>
      </c>
      <c r="L262">
        <v>0.86</v>
      </c>
      <c r="M262" t="s">
        <v>1956</v>
      </c>
      <c r="N262" t="s">
        <v>1957</v>
      </c>
      <c r="O262" t="s">
        <v>1958</v>
      </c>
      <c r="P262" t="s">
        <v>485</v>
      </c>
      <c r="Q262" t="s">
        <v>219</v>
      </c>
      <c r="R262" t="s">
        <v>220</v>
      </c>
      <c r="S262" t="s">
        <v>221</v>
      </c>
      <c r="T262" t="s">
        <v>221</v>
      </c>
    </row>
    <row r="263" spans="1:20">
      <c r="A263" s="241">
        <v>44001</v>
      </c>
      <c r="B263" t="s">
        <v>1959</v>
      </c>
      <c r="C263" t="s">
        <v>475</v>
      </c>
      <c r="D263" t="s">
        <v>1376</v>
      </c>
      <c r="E263" t="s">
        <v>614</v>
      </c>
      <c r="F263" t="s">
        <v>1619</v>
      </c>
      <c r="G263" t="s">
        <v>1960</v>
      </c>
      <c r="H263" t="s">
        <v>1187</v>
      </c>
      <c r="I263" t="s">
        <v>1961</v>
      </c>
      <c r="J263" t="s">
        <v>1962</v>
      </c>
      <c r="K263" t="s">
        <v>1963</v>
      </c>
      <c r="L263">
        <v>0.88</v>
      </c>
      <c r="M263" t="s">
        <v>1964</v>
      </c>
      <c r="N263" t="s">
        <v>1965</v>
      </c>
      <c r="O263" t="s">
        <v>1966</v>
      </c>
      <c r="P263" t="s">
        <v>485</v>
      </c>
      <c r="Q263" t="s">
        <v>219</v>
      </c>
      <c r="R263" t="s">
        <v>220</v>
      </c>
      <c r="S263" t="s">
        <v>221</v>
      </c>
      <c r="T263" t="s">
        <v>221</v>
      </c>
    </row>
    <row r="264" spans="1:20">
      <c r="A264" s="241">
        <v>44001</v>
      </c>
      <c r="B264" t="s">
        <v>1967</v>
      </c>
      <c r="C264" t="s">
        <v>747</v>
      </c>
      <c r="D264" t="s">
        <v>735</v>
      </c>
      <c r="E264" t="s">
        <v>262</v>
      </c>
      <c r="F264" t="s">
        <v>1968</v>
      </c>
      <c r="G264" t="s">
        <v>477</v>
      </c>
      <c r="H264" t="s">
        <v>1969</v>
      </c>
      <c r="I264" t="s">
        <v>1970</v>
      </c>
      <c r="J264" t="s">
        <v>1971</v>
      </c>
      <c r="K264" t="s">
        <v>1972</v>
      </c>
      <c r="L264">
        <v>0.89</v>
      </c>
      <c r="M264" t="s">
        <v>1973</v>
      </c>
      <c r="N264" t="s">
        <v>1974</v>
      </c>
      <c r="O264" t="s">
        <v>1975</v>
      </c>
      <c r="P264" t="s">
        <v>485</v>
      </c>
      <c r="Q264" t="s">
        <v>219</v>
      </c>
      <c r="R264" t="s">
        <v>220</v>
      </c>
      <c r="S264" t="s">
        <v>221</v>
      </c>
      <c r="T264" t="s">
        <v>221</v>
      </c>
    </row>
    <row r="265" spans="1:20">
      <c r="A265" s="241">
        <v>44001</v>
      </c>
      <c r="B265" t="s">
        <v>1976</v>
      </c>
      <c r="C265" t="s">
        <v>959</v>
      </c>
      <c r="D265" t="s">
        <v>735</v>
      </c>
      <c r="E265" t="s">
        <v>1367</v>
      </c>
      <c r="F265" t="s">
        <v>757</v>
      </c>
      <c r="G265" t="s">
        <v>1977</v>
      </c>
      <c r="H265" t="s">
        <v>1978</v>
      </c>
      <c r="I265" t="s">
        <v>1979</v>
      </c>
      <c r="J265" t="s">
        <v>1980</v>
      </c>
      <c r="K265" t="s">
        <v>1981</v>
      </c>
      <c r="L265">
        <v>0.89</v>
      </c>
      <c r="M265" t="s">
        <v>1982</v>
      </c>
      <c r="N265" t="s">
        <v>1983</v>
      </c>
      <c r="O265" t="s">
        <v>1984</v>
      </c>
      <c r="P265" t="s">
        <v>485</v>
      </c>
      <c r="Q265" t="s">
        <v>219</v>
      </c>
      <c r="R265" t="s">
        <v>220</v>
      </c>
      <c r="S265" t="s">
        <v>221</v>
      </c>
      <c r="T265" t="s">
        <v>221</v>
      </c>
    </row>
    <row r="266" spans="1:20">
      <c r="A266" s="241">
        <v>44001</v>
      </c>
      <c r="B266" t="s">
        <v>1985</v>
      </c>
      <c r="C266" t="s">
        <v>462</v>
      </c>
      <c r="D266" t="s">
        <v>1357</v>
      </c>
      <c r="E266" t="s">
        <v>1986</v>
      </c>
      <c r="F266" t="s">
        <v>1368</v>
      </c>
      <c r="G266" t="s">
        <v>1656</v>
      </c>
      <c r="H266" t="s">
        <v>766</v>
      </c>
      <c r="I266" t="s">
        <v>1987</v>
      </c>
      <c r="J266" t="s">
        <v>1988</v>
      </c>
      <c r="K266" t="s">
        <v>1989</v>
      </c>
      <c r="L266">
        <v>0.89</v>
      </c>
      <c r="M266" t="s">
        <v>1990</v>
      </c>
      <c r="N266" t="s">
        <v>1991</v>
      </c>
      <c r="O266" t="s">
        <v>1992</v>
      </c>
      <c r="P266" t="s">
        <v>485</v>
      </c>
      <c r="Q266" t="s">
        <v>219</v>
      </c>
      <c r="R266" t="s">
        <v>220</v>
      </c>
      <c r="S266" t="s">
        <v>221</v>
      </c>
      <c r="T266" t="s">
        <v>221</v>
      </c>
    </row>
    <row r="267" spans="1:20">
      <c r="A267" s="241">
        <v>44001</v>
      </c>
      <c r="B267" t="s">
        <v>1993</v>
      </c>
      <c r="C267" t="s">
        <v>249</v>
      </c>
      <c r="D267" t="s">
        <v>423</v>
      </c>
      <c r="E267" t="s">
        <v>343</v>
      </c>
      <c r="F267" t="s">
        <v>1994</v>
      </c>
      <c r="G267" t="s">
        <v>1995</v>
      </c>
      <c r="H267" t="s">
        <v>1996</v>
      </c>
      <c r="I267" t="s">
        <v>1997</v>
      </c>
      <c r="J267" t="s">
        <v>1998</v>
      </c>
      <c r="K267" t="s">
        <v>1999</v>
      </c>
      <c r="L267">
        <v>0.87</v>
      </c>
      <c r="M267" t="s">
        <v>2000</v>
      </c>
      <c r="N267" t="s">
        <v>2001</v>
      </c>
      <c r="O267" t="s">
        <v>2002</v>
      </c>
      <c r="P267" t="s">
        <v>485</v>
      </c>
      <c r="Q267" t="s">
        <v>219</v>
      </c>
      <c r="R267" t="s">
        <v>220</v>
      </c>
      <c r="S267" t="s">
        <v>221</v>
      </c>
      <c r="T267" t="s">
        <v>221</v>
      </c>
    </row>
    <row r="268" spans="1:20">
      <c r="A268" s="241">
        <v>44001</v>
      </c>
      <c r="B268" t="s">
        <v>2003</v>
      </c>
      <c r="C268" t="s">
        <v>274</v>
      </c>
      <c r="D268" t="s">
        <v>510</v>
      </c>
      <c r="E268" t="s">
        <v>304</v>
      </c>
      <c r="F268" t="s">
        <v>241</v>
      </c>
      <c r="G268" t="s">
        <v>2004</v>
      </c>
      <c r="H268" t="s">
        <v>2005</v>
      </c>
      <c r="I268" t="s">
        <v>779</v>
      </c>
      <c r="J268" t="s">
        <v>1216</v>
      </c>
      <c r="K268" t="s">
        <v>1012</v>
      </c>
      <c r="L268">
        <v>0.87</v>
      </c>
      <c r="M268" t="s">
        <v>2006</v>
      </c>
      <c r="N268" t="s">
        <v>2007</v>
      </c>
      <c r="O268" t="s">
        <v>2008</v>
      </c>
      <c r="P268" t="s">
        <v>485</v>
      </c>
      <c r="Q268" t="s">
        <v>219</v>
      </c>
      <c r="R268" t="s">
        <v>220</v>
      </c>
      <c r="S268" t="s">
        <v>221</v>
      </c>
      <c r="T268" t="s">
        <v>221</v>
      </c>
    </row>
    <row r="269" spans="1:20">
      <c r="A269" s="241">
        <v>44001</v>
      </c>
      <c r="B269" t="s">
        <v>2009</v>
      </c>
      <c r="C269" t="s">
        <v>442</v>
      </c>
      <c r="D269" t="s">
        <v>207</v>
      </c>
      <c r="E269" t="s">
        <v>250</v>
      </c>
      <c r="F269" t="s">
        <v>2010</v>
      </c>
      <c r="G269" t="s">
        <v>2004</v>
      </c>
      <c r="H269" t="s">
        <v>1215</v>
      </c>
      <c r="I269" t="s">
        <v>2011</v>
      </c>
      <c r="J269" t="s">
        <v>1392</v>
      </c>
      <c r="K269" t="s">
        <v>1012</v>
      </c>
      <c r="L269">
        <v>0.87</v>
      </c>
      <c r="M269" t="s">
        <v>2012</v>
      </c>
      <c r="N269" t="s">
        <v>2013</v>
      </c>
      <c r="O269" t="s">
        <v>2014</v>
      </c>
      <c r="P269" t="s">
        <v>485</v>
      </c>
      <c r="Q269" t="s">
        <v>219</v>
      </c>
      <c r="R269" t="s">
        <v>220</v>
      </c>
      <c r="S269" t="s">
        <v>221</v>
      </c>
      <c r="T269" t="s">
        <v>221</v>
      </c>
    </row>
    <row r="270" spans="1:20">
      <c r="A270" s="241">
        <v>44001</v>
      </c>
      <c r="B270" t="s">
        <v>2015</v>
      </c>
      <c r="C270" t="s">
        <v>274</v>
      </c>
      <c r="D270" t="s">
        <v>224</v>
      </c>
      <c r="E270" t="s">
        <v>304</v>
      </c>
      <c r="F270" t="s">
        <v>253</v>
      </c>
      <c r="G270" t="s">
        <v>2016</v>
      </c>
      <c r="H270" t="s">
        <v>2017</v>
      </c>
      <c r="I270" t="s">
        <v>2011</v>
      </c>
      <c r="J270" t="s">
        <v>2018</v>
      </c>
      <c r="K270" t="s">
        <v>1003</v>
      </c>
      <c r="L270">
        <v>0.87</v>
      </c>
      <c r="M270" t="s">
        <v>2019</v>
      </c>
      <c r="N270" t="s">
        <v>2020</v>
      </c>
      <c r="O270" t="s">
        <v>2021</v>
      </c>
      <c r="P270" t="s">
        <v>485</v>
      </c>
      <c r="Q270" t="s">
        <v>219</v>
      </c>
      <c r="R270" t="s">
        <v>220</v>
      </c>
      <c r="S270" t="s">
        <v>221</v>
      </c>
      <c r="T270" t="s">
        <v>221</v>
      </c>
    </row>
    <row r="271" spans="1:20">
      <c r="A271" s="241">
        <v>44001</v>
      </c>
      <c r="B271" t="s">
        <v>2022</v>
      </c>
      <c r="C271" t="s">
        <v>510</v>
      </c>
      <c r="D271" t="s">
        <v>261</v>
      </c>
      <c r="E271" t="s">
        <v>238</v>
      </c>
      <c r="F271" t="s">
        <v>1231</v>
      </c>
      <c r="G271" t="s">
        <v>2023</v>
      </c>
      <c r="H271" t="s">
        <v>1018</v>
      </c>
      <c r="I271" t="s">
        <v>2024</v>
      </c>
      <c r="J271" t="s">
        <v>1020</v>
      </c>
      <c r="K271" t="s">
        <v>1234</v>
      </c>
      <c r="L271">
        <v>0.86</v>
      </c>
      <c r="M271" t="s">
        <v>2025</v>
      </c>
      <c r="N271" t="s">
        <v>2026</v>
      </c>
      <c r="O271" t="s">
        <v>2027</v>
      </c>
      <c r="P271" t="s">
        <v>485</v>
      </c>
      <c r="Q271" t="s">
        <v>219</v>
      </c>
      <c r="R271" t="s">
        <v>220</v>
      </c>
      <c r="S271" t="s">
        <v>221</v>
      </c>
      <c r="T271" t="s">
        <v>221</v>
      </c>
    </row>
    <row r="272" spans="1:20">
      <c r="A272" s="241">
        <v>44001</v>
      </c>
      <c r="B272" t="s">
        <v>2028</v>
      </c>
      <c r="C272" t="s">
        <v>207</v>
      </c>
      <c r="D272" t="s">
        <v>237</v>
      </c>
      <c r="E272" t="s">
        <v>696</v>
      </c>
      <c r="F272" t="s">
        <v>600</v>
      </c>
      <c r="G272" t="s">
        <v>511</v>
      </c>
      <c r="H272" t="s">
        <v>1679</v>
      </c>
      <c r="I272" t="s">
        <v>2029</v>
      </c>
      <c r="J272" t="s">
        <v>1405</v>
      </c>
      <c r="K272" t="s">
        <v>524</v>
      </c>
      <c r="L272">
        <v>0.87</v>
      </c>
      <c r="M272" t="s">
        <v>2030</v>
      </c>
      <c r="N272" t="s">
        <v>2031</v>
      </c>
      <c r="O272" t="s">
        <v>2032</v>
      </c>
      <c r="P272" t="s">
        <v>485</v>
      </c>
      <c r="Q272" t="s">
        <v>219</v>
      </c>
      <c r="R272" t="s">
        <v>220</v>
      </c>
      <c r="S272" t="s">
        <v>221</v>
      </c>
      <c r="T272" t="s">
        <v>221</v>
      </c>
    </row>
    <row r="273" spans="1:20">
      <c r="A273" s="241">
        <v>44001</v>
      </c>
      <c r="B273" t="s">
        <v>2033</v>
      </c>
      <c r="C273" t="s">
        <v>207</v>
      </c>
      <c r="D273" t="s">
        <v>274</v>
      </c>
      <c r="E273" t="s">
        <v>332</v>
      </c>
      <c r="F273" t="s">
        <v>209</v>
      </c>
      <c r="G273" t="s">
        <v>2034</v>
      </c>
      <c r="H273" t="s">
        <v>512</v>
      </c>
      <c r="I273" t="s">
        <v>2029</v>
      </c>
      <c r="J273" t="s">
        <v>1011</v>
      </c>
      <c r="K273" t="s">
        <v>1399</v>
      </c>
      <c r="L273">
        <v>0.86</v>
      </c>
      <c r="M273" t="s">
        <v>2035</v>
      </c>
      <c r="N273" t="s">
        <v>2036</v>
      </c>
      <c r="O273" t="s">
        <v>2037</v>
      </c>
      <c r="P273" t="s">
        <v>485</v>
      </c>
      <c r="Q273" t="s">
        <v>219</v>
      </c>
      <c r="R273" t="s">
        <v>220</v>
      </c>
      <c r="S273" t="s">
        <v>221</v>
      </c>
      <c r="T273" t="s">
        <v>221</v>
      </c>
    </row>
    <row r="274" spans="1:20">
      <c r="A274" s="241">
        <v>44001</v>
      </c>
      <c r="B274" t="s">
        <v>2038</v>
      </c>
      <c r="C274" t="s">
        <v>423</v>
      </c>
      <c r="D274" t="s">
        <v>207</v>
      </c>
      <c r="E274" t="s">
        <v>332</v>
      </c>
      <c r="F274" t="s">
        <v>1692</v>
      </c>
      <c r="G274" t="s">
        <v>777</v>
      </c>
      <c r="H274" t="s">
        <v>1679</v>
      </c>
      <c r="I274" t="s">
        <v>522</v>
      </c>
      <c r="J274" t="s">
        <v>523</v>
      </c>
      <c r="K274" t="s">
        <v>524</v>
      </c>
      <c r="L274">
        <v>0.87</v>
      </c>
      <c r="M274" t="s">
        <v>2039</v>
      </c>
      <c r="N274" t="s">
        <v>2040</v>
      </c>
      <c r="O274" t="s">
        <v>2041</v>
      </c>
      <c r="P274" t="s">
        <v>485</v>
      </c>
      <c r="Q274" t="s">
        <v>219</v>
      </c>
      <c r="R274" t="s">
        <v>220</v>
      </c>
      <c r="S274" t="s">
        <v>221</v>
      </c>
      <c r="T274" t="s">
        <v>221</v>
      </c>
    </row>
    <row r="275" spans="1:20">
      <c r="A275" s="241">
        <v>44001</v>
      </c>
      <c r="B275" t="s">
        <v>2042</v>
      </c>
      <c r="C275" t="s">
        <v>249</v>
      </c>
      <c r="D275" t="s">
        <v>274</v>
      </c>
      <c r="E275" t="s">
        <v>332</v>
      </c>
      <c r="F275" t="s">
        <v>1274</v>
      </c>
      <c r="G275" t="s">
        <v>2043</v>
      </c>
      <c r="H275" t="s">
        <v>1716</v>
      </c>
      <c r="I275" t="s">
        <v>532</v>
      </c>
      <c r="J275" t="s">
        <v>2044</v>
      </c>
      <c r="K275" t="s">
        <v>214</v>
      </c>
      <c r="L275">
        <v>0.87</v>
      </c>
      <c r="M275" t="s">
        <v>2045</v>
      </c>
      <c r="N275" t="s">
        <v>2046</v>
      </c>
      <c r="O275" t="s">
        <v>2047</v>
      </c>
      <c r="P275" t="s">
        <v>485</v>
      </c>
      <c r="Q275" t="s">
        <v>219</v>
      </c>
      <c r="R275" t="s">
        <v>220</v>
      </c>
      <c r="S275" t="s">
        <v>221</v>
      </c>
      <c r="T275" t="s">
        <v>221</v>
      </c>
    </row>
    <row r="276" spans="1:20">
      <c r="A276" s="241">
        <v>44001</v>
      </c>
      <c r="B276" t="s">
        <v>2048</v>
      </c>
      <c r="C276" t="s">
        <v>294</v>
      </c>
      <c r="D276" t="s">
        <v>207</v>
      </c>
      <c r="E276" t="s">
        <v>250</v>
      </c>
      <c r="F276" t="s">
        <v>1478</v>
      </c>
      <c r="G276" t="s">
        <v>1411</v>
      </c>
      <c r="H276" t="s">
        <v>1225</v>
      </c>
      <c r="I276" t="s">
        <v>542</v>
      </c>
      <c r="J276" t="s">
        <v>2044</v>
      </c>
      <c r="K276" t="s">
        <v>534</v>
      </c>
      <c r="L276">
        <v>0.86</v>
      </c>
      <c r="M276" t="s">
        <v>2049</v>
      </c>
      <c r="N276" t="s">
        <v>2050</v>
      </c>
      <c r="O276" t="s">
        <v>2051</v>
      </c>
      <c r="P276" t="s">
        <v>485</v>
      </c>
      <c r="Q276" t="s">
        <v>219</v>
      </c>
      <c r="R276" t="s">
        <v>220</v>
      </c>
      <c r="S276" t="s">
        <v>221</v>
      </c>
      <c r="T276" t="s">
        <v>221</v>
      </c>
    </row>
    <row r="277" spans="1:20">
      <c r="A277" s="241">
        <v>44001</v>
      </c>
      <c r="B277" t="s">
        <v>2052</v>
      </c>
      <c r="C277" t="s">
        <v>207</v>
      </c>
      <c r="D277" t="s">
        <v>645</v>
      </c>
      <c r="E277" t="s">
        <v>402</v>
      </c>
      <c r="F277" t="s">
        <v>1692</v>
      </c>
      <c r="G277" t="s">
        <v>2053</v>
      </c>
      <c r="H277" t="s">
        <v>541</v>
      </c>
      <c r="I277" t="s">
        <v>542</v>
      </c>
      <c r="J277" t="s">
        <v>1026</v>
      </c>
      <c r="K277" t="s">
        <v>1234</v>
      </c>
      <c r="L277">
        <v>0.86</v>
      </c>
      <c r="M277" t="s">
        <v>2054</v>
      </c>
      <c r="N277" t="s">
        <v>2055</v>
      </c>
      <c r="O277" t="s">
        <v>2056</v>
      </c>
      <c r="P277" t="s">
        <v>485</v>
      </c>
      <c r="Q277" t="s">
        <v>219</v>
      </c>
      <c r="R277" t="s">
        <v>220</v>
      </c>
      <c r="S277" t="s">
        <v>221</v>
      </c>
      <c r="T277" t="s">
        <v>221</v>
      </c>
    </row>
    <row r="278" spans="1:20">
      <c r="A278" s="241">
        <v>44001</v>
      </c>
      <c r="B278" t="s">
        <v>2057</v>
      </c>
      <c r="C278" t="s">
        <v>207</v>
      </c>
      <c r="D278" t="s">
        <v>274</v>
      </c>
      <c r="E278" t="s">
        <v>812</v>
      </c>
      <c r="F278" t="s">
        <v>1231</v>
      </c>
      <c r="G278" t="s">
        <v>1411</v>
      </c>
      <c r="H278" t="s">
        <v>1716</v>
      </c>
      <c r="I278" t="s">
        <v>542</v>
      </c>
      <c r="J278" t="s">
        <v>2044</v>
      </c>
      <c r="K278" t="s">
        <v>534</v>
      </c>
      <c r="L278">
        <v>0.86</v>
      </c>
      <c r="M278" t="s">
        <v>2058</v>
      </c>
      <c r="N278" t="s">
        <v>2059</v>
      </c>
      <c r="O278" t="s">
        <v>2060</v>
      </c>
      <c r="P278" t="s">
        <v>485</v>
      </c>
      <c r="Q278" t="s">
        <v>219</v>
      </c>
      <c r="R278" t="s">
        <v>220</v>
      </c>
      <c r="S278" t="s">
        <v>221</v>
      </c>
      <c r="T278" t="s">
        <v>221</v>
      </c>
    </row>
    <row r="279" spans="1:20">
      <c r="A279" s="241">
        <v>44001</v>
      </c>
      <c r="B279" t="s">
        <v>2061</v>
      </c>
      <c r="C279" t="s">
        <v>274</v>
      </c>
      <c r="D279" t="s">
        <v>274</v>
      </c>
      <c r="E279" t="s">
        <v>556</v>
      </c>
      <c r="F279" t="s">
        <v>862</v>
      </c>
      <c r="G279" t="s">
        <v>1411</v>
      </c>
      <c r="H279" t="s">
        <v>1213</v>
      </c>
      <c r="I279" t="s">
        <v>550</v>
      </c>
      <c r="J279" t="s">
        <v>1428</v>
      </c>
      <c r="K279" t="s">
        <v>534</v>
      </c>
      <c r="L279">
        <v>0.86</v>
      </c>
      <c r="M279" t="s">
        <v>2062</v>
      </c>
      <c r="N279" t="s">
        <v>2063</v>
      </c>
      <c r="O279" t="s">
        <v>2064</v>
      </c>
      <c r="P279" t="s">
        <v>485</v>
      </c>
      <c r="Q279" t="s">
        <v>219</v>
      </c>
      <c r="R279" t="s">
        <v>220</v>
      </c>
      <c r="S279" t="s">
        <v>221</v>
      </c>
      <c r="T279" t="s">
        <v>221</v>
      </c>
    </row>
    <row r="280" spans="1:20">
      <c r="A280" s="241">
        <v>44001</v>
      </c>
      <c r="B280" t="s">
        <v>2065</v>
      </c>
      <c r="C280" t="s">
        <v>206</v>
      </c>
      <c r="D280" t="s">
        <v>442</v>
      </c>
      <c r="E280" t="s">
        <v>238</v>
      </c>
      <c r="F280" t="s">
        <v>557</v>
      </c>
      <c r="G280" t="s">
        <v>1420</v>
      </c>
      <c r="H280" t="s">
        <v>1051</v>
      </c>
      <c r="I280" t="s">
        <v>1031</v>
      </c>
      <c r="J280" t="s">
        <v>213</v>
      </c>
      <c r="K280" t="s">
        <v>1032</v>
      </c>
      <c r="L280">
        <v>0.86</v>
      </c>
      <c r="M280" t="s">
        <v>2066</v>
      </c>
      <c r="N280" t="s">
        <v>2067</v>
      </c>
      <c r="O280" t="s">
        <v>2068</v>
      </c>
      <c r="P280" t="s">
        <v>485</v>
      </c>
      <c r="Q280" t="s">
        <v>219</v>
      </c>
      <c r="R280" t="s">
        <v>220</v>
      </c>
      <c r="S280" t="s">
        <v>221</v>
      </c>
      <c r="T280" t="s">
        <v>221</v>
      </c>
    </row>
    <row r="281" spans="1:20">
      <c r="A281" s="241">
        <v>44001</v>
      </c>
      <c r="B281" t="s">
        <v>2069</v>
      </c>
      <c r="C281" t="s">
        <v>423</v>
      </c>
      <c r="D281" t="s">
        <v>237</v>
      </c>
      <c r="E281" t="s">
        <v>238</v>
      </c>
      <c r="F281" t="s">
        <v>1274</v>
      </c>
      <c r="G281" t="s">
        <v>1411</v>
      </c>
      <c r="H281" t="s">
        <v>1213</v>
      </c>
      <c r="I281" t="s">
        <v>550</v>
      </c>
      <c r="J281" t="s">
        <v>1428</v>
      </c>
      <c r="K281" t="s">
        <v>534</v>
      </c>
      <c r="L281">
        <v>0.86</v>
      </c>
      <c r="M281" t="s">
        <v>2070</v>
      </c>
      <c r="N281" t="s">
        <v>2071</v>
      </c>
      <c r="O281" t="s">
        <v>2072</v>
      </c>
      <c r="P281" t="s">
        <v>485</v>
      </c>
      <c r="Q281" t="s">
        <v>219</v>
      </c>
      <c r="R281" t="s">
        <v>220</v>
      </c>
      <c r="S281" t="s">
        <v>221</v>
      </c>
      <c r="T281" t="s">
        <v>221</v>
      </c>
    </row>
    <row r="282" spans="1:20">
      <c r="A282" s="241">
        <v>44001</v>
      </c>
      <c r="B282" t="s">
        <v>2073</v>
      </c>
      <c r="C282" t="s">
        <v>274</v>
      </c>
      <c r="D282" t="s">
        <v>206</v>
      </c>
      <c r="E282" t="s">
        <v>238</v>
      </c>
      <c r="F282" t="s">
        <v>2074</v>
      </c>
      <c r="G282" t="s">
        <v>2075</v>
      </c>
      <c r="H282" t="s">
        <v>1038</v>
      </c>
      <c r="I282" t="s">
        <v>816</v>
      </c>
      <c r="J282" t="s">
        <v>1039</v>
      </c>
      <c r="K282" t="s">
        <v>214</v>
      </c>
      <c r="L282">
        <v>0.86</v>
      </c>
      <c r="M282" t="s">
        <v>2076</v>
      </c>
      <c r="N282" t="s">
        <v>2077</v>
      </c>
      <c r="O282" t="s">
        <v>2078</v>
      </c>
      <c r="P282" t="s">
        <v>485</v>
      </c>
      <c r="Q282" t="s">
        <v>219</v>
      </c>
      <c r="R282" t="s">
        <v>220</v>
      </c>
      <c r="S282" t="s">
        <v>221</v>
      </c>
      <c r="T282" t="s">
        <v>221</v>
      </c>
    </row>
    <row r="283" spans="1:20">
      <c r="A283" s="241">
        <v>44001</v>
      </c>
      <c r="B283" t="s">
        <v>2079</v>
      </c>
      <c r="C283" t="s">
        <v>273</v>
      </c>
      <c r="D283" t="s">
        <v>615</v>
      </c>
      <c r="E283" t="s">
        <v>402</v>
      </c>
      <c r="F283" t="s">
        <v>1069</v>
      </c>
      <c r="G283" t="s">
        <v>2080</v>
      </c>
      <c r="H283" t="s">
        <v>815</v>
      </c>
      <c r="I283" t="s">
        <v>1427</v>
      </c>
      <c r="J283" t="s">
        <v>551</v>
      </c>
      <c r="K283" t="s">
        <v>1032</v>
      </c>
      <c r="L283">
        <v>0.86</v>
      </c>
      <c r="M283" t="s">
        <v>2081</v>
      </c>
      <c r="N283" t="s">
        <v>2082</v>
      </c>
      <c r="O283" t="s">
        <v>2083</v>
      </c>
      <c r="P283" t="s">
        <v>485</v>
      </c>
      <c r="Q283" t="s">
        <v>219</v>
      </c>
      <c r="R283" t="s">
        <v>220</v>
      </c>
      <c r="S283" t="s">
        <v>221</v>
      </c>
      <c r="T283" t="s">
        <v>221</v>
      </c>
    </row>
    <row r="284" spans="1:20">
      <c r="A284" s="241">
        <v>44001</v>
      </c>
      <c r="B284" t="s">
        <v>2084</v>
      </c>
      <c r="C284" t="s">
        <v>249</v>
      </c>
      <c r="D284" t="s">
        <v>423</v>
      </c>
      <c r="E284" t="s">
        <v>238</v>
      </c>
      <c r="F284" t="s">
        <v>813</v>
      </c>
      <c r="G284" t="s">
        <v>2085</v>
      </c>
      <c r="H284" t="s">
        <v>531</v>
      </c>
      <c r="I284" t="s">
        <v>1031</v>
      </c>
      <c r="J284" t="s">
        <v>213</v>
      </c>
      <c r="K284" t="s">
        <v>214</v>
      </c>
      <c r="L284">
        <v>0.86</v>
      </c>
      <c r="M284" t="s">
        <v>2086</v>
      </c>
      <c r="N284" t="s">
        <v>2087</v>
      </c>
      <c r="O284" t="s">
        <v>2088</v>
      </c>
      <c r="P284" t="s">
        <v>485</v>
      </c>
      <c r="Q284" t="s">
        <v>219</v>
      </c>
      <c r="R284" t="s">
        <v>220</v>
      </c>
      <c r="S284" t="s">
        <v>221</v>
      </c>
      <c r="T284" t="s">
        <v>221</v>
      </c>
    </row>
    <row r="285" spans="1:20">
      <c r="A285" s="241">
        <v>44001</v>
      </c>
      <c r="B285" t="s">
        <v>2089</v>
      </c>
      <c r="C285" t="s">
        <v>237</v>
      </c>
      <c r="D285" t="s">
        <v>423</v>
      </c>
      <c r="E285" t="s">
        <v>238</v>
      </c>
      <c r="F285" t="s">
        <v>316</v>
      </c>
      <c r="G285" t="s">
        <v>1239</v>
      </c>
      <c r="H285" t="s">
        <v>776</v>
      </c>
      <c r="I285" t="s">
        <v>1747</v>
      </c>
      <c r="J285" t="s">
        <v>213</v>
      </c>
      <c r="K285" t="s">
        <v>534</v>
      </c>
      <c r="L285">
        <v>0.86</v>
      </c>
      <c r="M285" t="s">
        <v>2090</v>
      </c>
      <c r="N285" t="s">
        <v>2091</v>
      </c>
      <c r="O285" t="s">
        <v>2092</v>
      </c>
      <c r="P285" t="s">
        <v>485</v>
      </c>
      <c r="Q285" t="s">
        <v>219</v>
      </c>
      <c r="R285" t="s">
        <v>220</v>
      </c>
      <c r="S285" t="s">
        <v>221</v>
      </c>
      <c r="T285" t="s">
        <v>221</v>
      </c>
    </row>
    <row r="286" spans="1:20">
      <c r="A286" s="241">
        <v>44001</v>
      </c>
      <c r="B286" t="s">
        <v>2093</v>
      </c>
      <c r="C286" t="s">
        <v>237</v>
      </c>
      <c r="D286" t="s">
        <v>615</v>
      </c>
      <c r="E286" t="s">
        <v>402</v>
      </c>
      <c r="F286" t="s">
        <v>822</v>
      </c>
      <c r="G286" t="s">
        <v>814</v>
      </c>
      <c r="H286" t="s">
        <v>1746</v>
      </c>
      <c r="I286" t="s">
        <v>242</v>
      </c>
      <c r="J286" t="s">
        <v>561</v>
      </c>
      <c r="K286" t="s">
        <v>1032</v>
      </c>
      <c r="L286">
        <v>0.86</v>
      </c>
      <c r="M286" t="s">
        <v>2094</v>
      </c>
      <c r="N286" t="s">
        <v>2095</v>
      </c>
      <c r="O286" t="s">
        <v>2096</v>
      </c>
      <c r="P286" t="s">
        <v>485</v>
      </c>
      <c r="Q286" t="s">
        <v>219</v>
      </c>
      <c r="R286" t="s">
        <v>220</v>
      </c>
      <c r="S286" t="s">
        <v>221</v>
      </c>
      <c r="T286" t="s">
        <v>221</v>
      </c>
    </row>
    <row r="287" spans="1:20">
      <c r="A287" s="241">
        <v>44001</v>
      </c>
      <c r="B287" t="s">
        <v>2097</v>
      </c>
      <c r="C287" t="s">
        <v>423</v>
      </c>
      <c r="D287" t="s">
        <v>249</v>
      </c>
      <c r="E287" t="s">
        <v>424</v>
      </c>
      <c r="F287" t="s">
        <v>566</v>
      </c>
      <c r="G287" t="s">
        <v>1044</v>
      </c>
      <c r="H287" t="s">
        <v>1726</v>
      </c>
      <c r="I287" t="s">
        <v>229</v>
      </c>
      <c r="J287" t="s">
        <v>230</v>
      </c>
      <c r="K287" t="s">
        <v>231</v>
      </c>
      <c r="L287">
        <v>0.86</v>
      </c>
      <c r="M287" t="s">
        <v>2098</v>
      </c>
      <c r="N287" t="s">
        <v>2099</v>
      </c>
      <c r="O287" t="s">
        <v>2100</v>
      </c>
      <c r="P287" t="s">
        <v>485</v>
      </c>
      <c r="Q287" t="s">
        <v>219</v>
      </c>
      <c r="R287" t="s">
        <v>220</v>
      </c>
      <c r="S287" t="s">
        <v>221</v>
      </c>
      <c r="T287" t="s">
        <v>221</v>
      </c>
    </row>
    <row r="288" spans="1:20">
      <c r="A288" s="241">
        <v>44001</v>
      </c>
      <c r="B288" t="s">
        <v>2101</v>
      </c>
      <c r="C288" t="s">
        <v>249</v>
      </c>
      <c r="D288" t="s">
        <v>207</v>
      </c>
      <c r="E288" t="s">
        <v>556</v>
      </c>
      <c r="F288" t="s">
        <v>881</v>
      </c>
      <c r="G288" t="s">
        <v>227</v>
      </c>
      <c r="H288" t="s">
        <v>559</v>
      </c>
      <c r="I288" t="s">
        <v>229</v>
      </c>
      <c r="J288" t="s">
        <v>230</v>
      </c>
      <c r="K288" t="s">
        <v>231</v>
      </c>
      <c r="L288">
        <v>0.86</v>
      </c>
      <c r="M288" t="s">
        <v>2102</v>
      </c>
      <c r="N288" t="s">
        <v>2103</v>
      </c>
      <c r="O288" t="s">
        <v>2104</v>
      </c>
      <c r="P288" t="s">
        <v>485</v>
      </c>
      <c r="Q288" t="s">
        <v>219</v>
      </c>
      <c r="R288" t="s">
        <v>220</v>
      </c>
      <c r="S288" t="s">
        <v>221</v>
      </c>
      <c r="T288" t="s">
        <v>221</v>
      </c>
    </row>
    <row r="289" spans="1:20">
      <c r="A289" s="241">
        <v>44001</v>
      </c>
      <c r="B289" t="s">
        <v>2105</v>
      </c>
      <c r="C289" t="s">
        <v>237</v>
      </c>
      <c r="D289" t="s">
        <v>249</v>
      </c>
      <c r="E289" t="s">
        <v>332</v>
      </c>
      <c r="F289" t="s">
        <v>2074</v>
      </c>
      <c r="G289" t="s">
        <v>1740</v>
      </c>
      <c r="H289" t="s">
        <v>823</v>
      </c>
      <c r="I289" t="s">
        <v>560</v>
      </c>
      <c r="J289" t="s">
        <v>1245</v>
      </c>
      <c r="K289" t="s">
        <v>571</v>
      </c>
      <c r="L289">
        <v>0.86</v>
      </c>
      <c r="M289" t="s">
        <v>2106</v>
      </c>
      <c r="N289" t="s">
        <v>2107</v>
      </c>
      <c r="O289" t="s">
        <v>2108</v>
      </c>
      <c r="P289" t="s">
        <v>485</v>
      </c>
      <c r="Q289" t="s">
        <v>219</v>
      </c>
      <c r="R289" t="s">
        <v>220</v>
      </c>
      <c r="S289" t="s">
        <v>221</v>
      </c>
      <c r="T289" t="s">
        <v>221</v>
      </c>
    </row>
    <row r="290" spans="1:20">
      <c r="A290" s="241">
        <v>44001</v>
      </c>
      <c r="B290" t="s">
        <v>2109</v>
      </c>
      <c r="C290" t="s">
        <v>237</v>
      </c>
      <c r="D290" t="s">
        <v>237</v>
      </c>
      <c r="E290" t="s">
        <v>332</v>
      </c>
      <c r="F290" t="s">
        <v>822</v>
      </c>
      <c r="G290" t="s">
        <v>814</v>
      </c>
      <c r="H290" t="s">
        <v>241</v>
      </c>
      <c r="I290" t="s">
        <v>1250</v>
      </c>
      <c r="J290" t="s">
        <v>243</v>
      </c>
      <c r="K290" t="s">
        <v>231</v>
      </c>
      <c r="L290">
        <v>0.86</v>
      </c>
      <c r="M290" t="s">
        <v>2110</v>
      </c>
      <c r="N290" t="s">
        <v>2111</v>
      </c>
      <c r="O290" t="s">
        <v>2112</v>
      </c>
      <c r="P290" t="s">
        <v>485</v>
      </c>
      <c r="Q290" t="s">
        <v>219</v>
      </c>
      <c r="R290" t="s">
        <v>220</v>
      </c>
      <c r="S290" t="s">
        <v>221</v>
      </c>
      <c r="T290" t="s">
        <v>221</v>
      </c>
    </row>
    <row r="291" spans="1:20">
      <c r="A291" s="241">
        <v>44001</v>
      </c>
      <c r="B291" t="s">
        <v>2113</v>
      </c>
      <c r="C291" t="s">
        <v>249</v>
      </c>
      <c r="D291" t="s">
        <v>510</v>
      </c>
      <c r="E291" t="s">
        <v>304</v>
      </c>
      <c r="F291" t="s">
        <v>584</v>
      </c>
      <c r="G291" t="s">
        <v>814</v>
      </c>
      <c r="H291" t="s">
        <v>805</v>
      </c>
      <c r="I291" t="s">
        <v>254</v>
      </c>
      <c r="J291" t="s">
        <v>570</v>
      </c>
      <c r="K291" t="s">
        <v>244</v>
      </c>
      <c r="L291">
        <v>0.86</v>
      </c>
      <c r="M291" t="s">
        <v>2114</v>
      </c>
      <c r="N291" t="s">
        <v>2115</v>
      </c>
      <c r="O291" t="s">
        <v>2116</v>
      </c>
      <c r="P291" t="s">
        <v>485</v>
      </c>
      <c r="Q291" t="s">
        <v>219</v>
      </c>
      <c r="R291" t="s">
        <v>220</v>
      </c>
      <c r="S291" t="s">
        <v>221</v>
      </c>
      <c r="T291" t="s">
        <v>221</v>
      </c>
    </row>
    <row r="292" spans="1:20">
      <c r="A292" s="241">
        <v>44001</v>
      </c>
      <c r="B292" t="s">
        <v>2117</v>
      </c>
      <c r="C292" t="s">
        <v>423</v>
      </c>
      <c r="D292" t="s">
        <v>207</v>
      </c>
      <c r="E292" t="s">
        <v>696</v>
      </c>
      <c r="F292" t="s">
        <v>275</v>
      </c>
      <c r="G292" t="s">
        <v>252</v>
      </c>
      <c r="H292" t="s">
        <v>1257</v>
      </c>
      <c r="I292" t="s">
        <v>254</v>
      </c>
      <c r="J292" t="s">
        <v>570</v>
      </c>
      <c r="K292" t="s">
        <v>579</v>
      </c>
      <c r="L292">
        <v>0.86</v>
      </c>
      <c r="M292" t="s">
        <v>2118</v>
      </c>
      <c r="N292" t="s">
        <v>2119</v>
      </c>
      <c r="O292" t="s">
        <v>2120</v>
      </c>
      <c r="P292" t="s">
        <v>485</v>
      </c>
      <c r="Q292" t="s">
        <v>219</v>
      </c>
      <c r="R292" t="s">
        <v>220</v>
      </c>
      <c r="S292" t="s">
        <v>221</v>
      </c>
      <c r="T292" t="s">
        <v>221</v>
      </c>
    </row>
    <row r="293" spans="1:20">
      <c r="A293" s="241">
        <v>44001</v>
      </c>
      <c r="B293" t="s">
        <v>2121</v>
      </c>
      <c r="C293" t="s">
        <v>207</v>
      </c>
      <c r="D293" t="s">
        <v>207</v>
      </c>
      <c r="E293" t="s">
        <v>332</v>
      </c>
      <c r="F293" t="s">
        <v>1050</v>
      </c>
      <c r="G293" t="s">
        <v>240</v>
      </c>
      <c r="H293" t="s">
        <v>805</v>
      </c>
      <c r="I293" t="s">
        <v>254</v>
      </c>
      <c r="J293" t="s">
        <v>1770</v>
      </c>
      <c r="K293" t="s">
        <v>231</v>
      </c>
      <c r="L293">
        <v>0.86</v>
      </c>
      <c r="M293" t="s">
        <v>2122</v>
      </c>
      <c r="N293" t="s">
        <v>2123</v>
      </c>
      <c r="O293" t="s">
        <v>2124</v>
      </c>
      <c r="P293" t="s">
        <v>485</v>
      </c>
      <c r="Q293" t="s">
        <v>219</v>
      </c>
      <c r="R293" t="s">
        <v>220</v>
      </c>
      <c r="S293" t="s">
        <v>221</v>
      </c>
      <c r="T293" t="s">
        <v>221</v>
      </c>
    </row>
    <row r="294" spans="1:20">
      <c r="A294" s="241">
        <v>44001</v>
      </c>
      <c r="B294" t="s">
        <v>2125</v>
      </c>
      <c r="C294" t="s">
        <v>261</v>
      </c>
      <c r="D294" t="s">
        <v>423</v>
      </c>
      <c r="E294" t="s">
        <v>556</v>
      </c>
      <c r="F294" t="s">
        <v>385</v>
      </c>
      <c r="G294" t="s">
        <v>1781</v>
      </c>
      <c r="H294" t="s">
        <v>1257</v>
      </c>
      <c r="I294" t="s">
        <v>278</v>
      </c>
      <c r="J294" t="s">
        <v>267</v>
      </c>
      <c r="K294" t="s">
        <v>579</v>
      </c>
      <c r="L294">
        <v>0.86</v>
      </c>
      <c r="M294" t="s">
        <v>2126</v>
      </c>
      <c r="N294" t="s">
        <v>2127</v>
      </c>
      <c r="O294" t="s">
        <v>2128</v>
      </c>
      <c r="P294" t="s">
        <v>485</v>
      </c>
      <c r="Q294" t="s">
        <v>219</v>
      </c>
      <c r="R294" t="s">
        <v>220</v>
      </c>
      <c r="S294" t="s">
        <v>221</v>
      </c>
      <c r="T294" t="s">
        <v>221</v>
      </c>
    </row>
    <row r="295" spans="1:20">
      <c r="A295" s="241">
        <v>44001</v>
      </c>
      <c r="B295" t="s">
        <v>2129</v>
      </c>
      <c r="C295" t="s">
        <v>261</v>
      </c>
      <c r="D295" t="s">
        <v>224</v>
      </c>
      <c r="E295" t="s">
        <v>238</v>
      </c>
      <c r="F295" t="s">
        <v>576</v>
      </c>
      <c r="G295" t="s">
        <v>306</v>
      </c>
      <c r="H295" t="s">
        <v>265</v>
      </c>
      <c r="I295" t="s">
        <v>1468</v>
      </c>
      <c r="J295" t="s">
        <v>1070</v>
      </c>
      <c r="K295" t="s">
        <v>244</v>
      </c>
      <c r="L295">
        <v>0.86</v>
      </c>
      <c r="M295" t="s">
        <v>2130</v>
      </c>
      <c r="N295" t="s">
        <v>2131</v>
      </c>
      <c r="O295" t="s">
        <v>2132</v>
      </c>
      <c r="P295" t="s">
        <v>485</v>
      </c>
      <c r="Q295" t="s">
        <v>219</v>
      </c>
      <c r="R295" t="s">
        <v>220</v>
      </c>
      <c r="S295" t="s">
        <v>221</v>
      </c>
      <c r="T295" t="s">
        <v>221</v>
      </c>
    </row>
    <row r="296" spans="1:20">
      <c r="A296" s="241">
        <v>44001</v>
      </c>
      <c r="B296" t="s">
        <v>2133</v>
      </c>
      <c r="C296" t="s">
        <v>237</v>
      </c>
      <c r="D296" t="s">
        <v>237</v>
      </c>
      <c r="E296" t="s">
        <v>332</v>
      </c>
      <c r="F296" t="s">
        <v>598</v>
      </c>
      <c r="G296" t="s">
        <v>599</v>
      </c>
      <c r="H296" t="s">
        <v>837</v>
      </c>
      <c r="I296" t="s">
        <v>1468</v>
      </c>
      <c r="J296" t="s">
        <v>289</v>
      </c>
      <c r="K296" t="s">
        <v>299</v>
      </c>
      <c r="L296">
        <v>0.86</v>
      </c>
      <c r="M296" t="s">
        <v>2134</v>
      </c>
      <c r="N296" t="s">
        <v>2135</v>
      </c>
      <c r="O296" t="s">
        <v>2136</v>
      </c>
      <c r="P296" t="s">
        <v>485</v>
      </c>
      <c r="Q296" t="s">
        <v>219</v>
      </c>
      <c r="R296" t="s">
        <v>220</v>
      </c>
      <c r="S296" t="s">
        <v>221</v>
      </c>
      <c r="T296" t="s">
        <v>221</v>
      </c>
    </row>
    <row r="297" spans="1:20">
      <c r="A297" s="241">
        <v>44001</v>
      </c>
      <c r="B297" t="s">
        <v>2137</v>
      </c>
      <c r="C297" t="s">
        <v>249</v>
      </c>
      <c r="D297" t="s">
        <v>510</v>
      </c>
      <c r="E297" t="s">
        <v>696</v>
      </c>
      <c r="F297" t="s">
        <v>855</v>
      </c>
      <c r="G297" t="s">
        <v>315</v>
      </c>
      <c r="H297" t="s">
        <v>529</v>
      </c>
      <c r="I297" t="s">
        <v>863</v>
      </c>
      <c r="J297" t="s">
        <v>1812</v>
      </c>
      <c r="K297" t="s">
        <v>280</v>
      </c>
      <c r="L297">
        <v>0.86</v>
      </c>
      <c r="M297" t="s">
        <v>2138</v>
      </c>
      <c r="N297" t="s">
        <v>2139</v>
      </c>
      <c r="O297" t="s">
        <v>2140</v>
      </c>
      <c r="P297" t="s">
        <v>485</v>
      </c>
      <c r="Q297" t="s">
        <v>219</v>
      </c>
      <c r="R297" t="s">
        <v>220</v>
      </c>
      <c r="S297" t="s">
        <v>221</v>
      </c>
      <c r="T297" t="s">
        <v>221</v>
      </c>
    </row>
    <row r="298" spans="1:20">
      <c r="A298" s="241">
        <v>44001</v>
      </c>
      <c r="B298" t="s">
        <v>2141</v>
      </c>
      <c r="C298" t="s">
        <v>261</v>
      </c>
      <c r="D298" t="s">
        <v>510</v>
      </c>
      <c r="E298" t="s">
        <v>225</v>
      </c>
      <c r="F298" t="s">
        <v>848</v>
      </c>
      <c r="G298" t="s">
        <v>2142</v>
      </c>
      <c r="H298" t="s">
        <v>618</v>
      </c>
      <c r="I298" t="s">
        <v>863</v>
      </c>
      <c r="J298" t="s">
        <v>1812</v>
      </c>
      <c r="K298" t="s">
        <v>280</v>
      </c>
      <c r="L298">
        <v>0.86</v>
      </c>
      <c r="M298" t="s">
        <v>2143</v>
      </c>
      <c r="N298" t="s">
        <v>2144</v>
      </c>
      <c r="O298" t="s">
        <v>2145</v>
      </c>
      <c r="P298" t="s">
        <v>485</v>
      </c>
      <c r="Q298" t="s">
        <v>219</v>
      </c>
      <c r="R298" t="s">
        <v>220</v>
      </c>
      <c r="S298" t="s">
        <v>221</v>
      </c>
      <c r="T298" t="s">
        <v>221</v>
      </c>
    </row>
    <row r="299" spans="1:20">
      <c r="A299" s="241">
        <v>44001</v>
      </c>
      <c r="B299" t="s">
        <v>2146</v>
      </c>
      <c r="C299" t="s">
        <v>224</v>
      </c>
      <c r="D299" t="s">
        <v>294</v>
      </c>
      <c r="E299" t="s">
        <v>332</v>
      </c>
      <c r="F299" t="s">
        <v>1147</v>
      </c>
      <c r="G299" t="s">
        <v>2142</v>
      </c>
      <c r="H299" t="s">
        <v>862</v>
      </c>
      <c r="I299" t="s">
        <v>1811</v>
      </c>
      <c r="J299" t="s">
        <v>620</v>
      </c>
      <c r="K299" t="s">
        <v>338</v>
      </c>
      <c r="L299">
        <v>0.86</v>
      </c>
      <c r="M299" t="s">
        <v>2147</v>
      </c>
      <c r="N299" t="s">
        <v>2148</v>
      </c>
      <c r="O299" t="s">
        <v>2149</v>
      </c>
      <c r="P299" t="s">
        <v>485</v>
      </c>
      <c r="Q299" t="s">
        <v>219</v>
      </c>
      <c r="R299" t="s">
        <v>220</v>
      </c>
      <c r="S299" t="s">
        <v>221</v>
      </c>
      <c r="T299" t="s">
        <v>221</v>
      </c>
    </row>
    <row r="300" spans="1:20">
      <c r="A300" s="241">
        <v>44001</v>
      </c>
      <c r="B300" t="s">
        <v>2150</v>
      </c>
      <c r="C300" t="s">
        <v>615</v>
      </c>
      <c r="D300" t="s">
        <v>423</v>
      </c>
      <c r="E300" t="s">
        <v>250</v>
      </c>
      <c r="F300" t="s">
        <v>2151</v>
      </c>
      <c r="G300" t="s">
        <v>591</v>
      </c>
      <c r="H300" t="s">
        <v>346</v>
      </c>
      <c r="I300" t="s">
        <v>869</v>
      </c>
      <c r="J300" t="s">
        <v>1092</v>
      </c>
      <c r="K300" t="s">
        <v>280</v>
      </c>
      <c r="L300">
        <v>0.86</v>
      </c>
      <c r="M300" t="s">
        <v>2152</v>
      </c>
      <c r="N300" t="s">
        <v>2153</v>
      </c>
      <c r="O300" t="s">
        <v>2154</v>
      </c>
      <c r="P300" t="s">
        <v>485</v>
      </c>
      <c r="Q300" t="s">
        <v>219</v>
      </c>
      <c r="R300" t="s">
        <v>220</v>
      </c>
      <c r="S300" t="s">
        <v>221</v>
      </c>
      <c r="T300" t="s">
        <v>221</v>
      </c>
    </row>
    <row r="301" spans="1:20">
      <c r="A301" s="241">
        <v>44001</v>
      </c>
      <c r="B301" t="s">
        <v>2155</v>
      </c>
      <c r="C301" t="s">
        <v>261</v>
      </c>
      <c r="D301" t="s">
        <v>294</v>
      </c>
      <c r="E301" t="s">
        <v>332</v>
      </c>
      <c r="F301" t="s">
        <v>314</v>
      </c>
      <c r="G301" t="s">
        <v>1477</v>
      </c>
      <c r="H301" t="s">
        <v>876</v>
      </c>
      <c r="I301" t="s">
        <v>1501</v>
      </c>
      <c r="J301" t="s">
        <v>1495</v>
      </c>
      <c r="K301" t="s">
        <v>338</v>
      </c>
      <c r="L301">
        <v>0.86</v>
      </c>
      <c r="M301" t="s">
        <v>2156</v>
      </c>
      <c r="N301" t="s">
        <v>2157</v>
      </c>
      <c r="O301" t="s">
        <v>2158</v>
      </c>
      <c r="P301" t="s">
        <v>485</v>
      </c>
      <c r="Q301" t="s">
        <v>219</v>
      </c>
      <c r="R301" t="s">
        <v>220</v>
      </c>
      <c r="S301" t="s">
        <v>221</v>
      </c>
      <c r="T301" t="s">
        <v>221</v>
      </c>
    </row>
    <row r="302" spans="1:20">
      <c r="A302" s="241">
        <v>44001</v>
      </c>
      <c r="B302" t="s">
        <v>2159</v>
      </c>
      <c r="C302" t="s">
        <v>249</v>
      </c>
      <c r="D302" t="s">
        <v>274</v>
      </c>
      <c r="E302" t="s">
        <v>332</v>
      </c>
      <c r="F302" t="s">
        <v>426</v>
      </c>
      <c r="G302" t="s">
        <v>2160</v>
      </c>
      <c r="H302" t="s">
        <v>335</v>
      </c>
      <c r="I302" t="s">
        <v>336</v>
      </c>
      <c r="J302" t="s">
        <v>640</v>
      </c>
      <c r="K302" t="s">
        <v>280</v>
      </c>
      <c r="L302">
        <v>0.86</v>
      </c>
      <c r="M302" t="s">
        <v>2161</v>
      </c>
      <c r="N302" t="s">
        <v>2162</v>
      </c>
      <c r="O302" t="s">
        <v>2163</v>
      </c>
      <c r="P302" t="s">
        <v>485</v>
      </c>
      <c r="Q302" t="s">
        <v>219</v>
      </c>
      <c r="R302" t="s">
        <v>220</v>
      </c>
      <c r="S302" t="s">
        <v>221</v>
      </c>
      <c r="T302" t="s">
        <v>221</v>
      </c>
    </row>
    <row r="303" spans="1:20">
      <c r="A303" s="241">
        <v>44001</v>
      </c>
      <c r="B303" t="s">
        <v>2164</v>
      </c>
      <c r="C303" t="s">
        <v>224</v>
      </c>
      <c r="D303" t="s">
        <v>294</v>
      </c>
      <c r="E303" t="s">
        <v>424</v>
      </c>
      <c r="F303" t="s">
        <v>1511</v>
      </c>
      <c r="G303" t="s">
        <v>345</v>
      </c>
      <c r="H303" t="s">
        <v>584</v>
      </c>
      <c r="I303" t="s">
        <v>325</v>
      </c>
      <c r="J303" t="s">
        <v>1506</v>
      </c>
      <c r="K303" t="s">
        <v>338</v>
      </c>
      <c r="L303">
        <v>0.86</v>
      </c>
      <c r="M303" t="s">
        <v>2165</v>
      </c>
      <c r="N303" t="s">
        <v>2166</v>
      </c>
      <c r="O303" t="s">
        <v>2167</v>
      </c>
      <c r="P303" t="s">
        <v>485</v>
      </c>
      <c r="Q303" t="s">
        <v>219</v>
      </c>
      <c r="R303" t="s">
        <v>220</v>
      </c>
      <c r="S303" t="s">
        <v>221</v>
      </c>
      <c r="T303" t="s">
        <v>221</v>
      </c>
    </row>
    <row r="304" spans="1:20">
      <c r="A304" s="241">
        <v>44001</v>
      </c>
      <c r="B304" t="s">
        <v>2168</v>
      </c>
      <c r="C304" t="s">
        <v>207</v>
      </c>
      <c r="D304" t="s">
        <v>274</v>
      </c>
      <c r="E304" t="s">
        <v>250</v>
      </c>
      <c r="F304" t="s">
        <v>713</v>
      </c>
      <c r="G304" t="s">
        <v>1500</v>
      </c>
      <c r="H304" t="s">
        <v>1756</v>
      </c>
      <c r="I304" t="s">
        <v>336</v>
      </c>
      <c r="J304" t="s">
        <v>337</v>
      </c>
      <c r="K304" t="s">
        <v>651</v>
      </c>
      <c r="L304">
        <v>0.86</v>
      </c>
      <c r="M304" t="s">
        <v>2169</v>
      </c>
      <c r="N304" t="s">
        <v>2170</v>
      </c>
      <c r="O304" t="s">
        <v>2171</v>
      </c>
      <c r="P304" t="s">
        <v>485</v>
      </c>
      <c r="Q304" t="s">
        <v>219</v>
      </c>
      <c r="R304" t="s">
        <v>220</v>
      </c>
      <c r="S304" t="s">
        <v>221</v>
      </c>
      <c r="T304" t="s">
        <v>221</v>
      </c>
    </row>
    <row r="305" spans="1:20">
      <c r="A305" s="241">
        <v>44001</v>
      </c>
      <c r="B305" t="s">
        <v>2172</v>
      </c>
      <c r="C305" t="s">
        <v>207</v>
      </c>
      <c r="D305" t="s">
        <v>645</v>
      </c>
      <c r="E305" t="s">
        <v>250</v>
      </c>
      <c r="F305" t="s">
        <v>633</v>
      </c>
      <c r="G305" t="s">
        <v>1292</v>
      </c>
      <c r="H305" t="s">
        <v>881</v>
      </c>
      <c r="I305" t="s">
        <v>347</v>
      </c>
      <c r="J305" t="s">
        <v>348</v>
      </c>
      <c r="K305" t="s">
        <v>666</v>
      </c>
      <c r="L305">
        <v>0.86</v>
      </c>
      <c r="M305" t="s">
        <v>2173</v>
      </c>
      <c r="N305" t="s">
        <v>2174</v>
      </c>
      <c r="O305" t="s">
        <v>2175</v>
      </c>
      <c r="P305" t="s">
        <v>485</v>
      </c>
      <c r="Q305" t="s">
        <v>219</v>
      </c>
      <c r="R305" t="s">
        <v>220</v>
      </c>
      <c r="S305" t="s">
        <v>221</v>
      </c>
      <c r="T305" t="s">
        <v>221</v>
      </c>
    </row>
    <row r="306" spans="1:20">
      <c r="A306" s="241">
        <v>44001</v>
      </c>
      <c r="B306" t="s">
        <v>2176</v>
      </c>
      <c r="C306" t="s">
        <v>274</v>
      </c>
      <c r="D306" t="s">
        <v>614</v>
      </c>
      <c r="E306" t="s">
        <v>304</v>
      </c>
      <c r="F306" t="s">
        <v>1536</v>
      </c>
      <c r="G306" t="s">
        <v>2177</v>
      </c>
      <c r="H306" t="s">
        <v>1769</v>
      </c>
      <c r="I306" t="s">
        <v>367</v>
      </c>
      <c r="J306" t="s">
        <v>1116</v>
      </c>
      <c r="K306" t="s">
        <v>280</v>
      </c>
      <c r="L306">
        <v>0.86</v>
      </c>
      <c r="M306" t="s">
        <v>2178</v>
      </c>
      <c r="N306" t="s">
        <v>2179</v>
      </c>
      <c r="O306" t="s">
        <v>2180</v>
      </c>
      <c r="P306" t="s">
        <v>485</v>
      </c>
      <c r="Q306" t="s">
        <v>219</v>
      </c>
      <c r="R306" t="s">
        <v>220</v>
      </c>
      <c r="S306" t="s">
        <v>221</v>
      </c>
      <c r="T306" t="s">
        <v>221</v>
      </c>
    </row>
    <row r="307" spans="1:20">
      <c r="A307" s="241">
        <v>44001</v>
      </c>
      <c r="B307" t="s">
        <v>2181</v>
      </c>
      <c r="C307" t="s">
        <v>237</v>
      </c>
      <c r="D307" t="s">
        <v>442</v>
      </c>
      <c r="E307" t="s">
        <v>304</v>
      </c>
      <c r="F307" t="s">
        <v>374</v>
      </c>
      <c r="G307" t="s">
        <v>1512</v>
      </c>
      <c r="H307" t="s">
        <v>616</v>
      </c>
      <c r="I307" t="s">
        <v>367</v>
      </c>
      <c r="J307" t="s">
        <v>657</v>
      </c>
      <c r="K307" t="s">
        <v>651</v>
      </c>
      <c r="L307">
        <v>0.86</v>
      </c>
      <c r="M307" t="s">
        <v>2182</v>
      </c>
      <c r="N307" t="s">
        <v>2183</v>
      </c>
      <c r="O307" t="s">
        <v>2184</v>
      </c>
      <c r="P307" t="s">
        <v>485</v>
      </c>
      <c r="Q307" t="s">
        <v>219</v>
      </c>
      <c r="R307" t="s">
        <v>220</v>
      </c>
      <c r="S307" t="s">
        <v>221</v>
      </c>
      <c r="T307" t="s">
        <v>221</v>
      </c>
    </row>
    <row r="308" spans="1:20">
      <c r="A308" s="241">
        <v>44001</v>
      </c>
      <c r="B308" t="s">
        <v>2185</v>
      </c>
      <c r="C308" t="s">
        <v>294</v>
      </c>
      <c r="D308" t="s">
        <v>614</v>
      </c>
      <c r="E308" t="s">
        <v>238</v>
      </c>
      <c r="F308" t="s">
        <v>454</v>
      </c>
      <c r="G308" t="s">
        <v>1590</v>
      </c>
      <c r="H308" t="s">
        <v>590</v>
      </c>
      <c r="I308" t="s">
        <v>656</v>
      </c>
      <c r="J308" t="s">
        <v>657</v>
      </c>
      <c r="K308" t="s">
        <v>666</v>
      </c>
      <c r="L308">
        <v>0.86</v>
      </c>
      <c r="M308" t="s">
        <v>2186</v>
      </c>
      <c r="N308" t="s">
        <v>2187</v>
      </c>
      <c r="O308" t="s">
        <v>2188</v>
      </c>
      <c r="P308" t="s">
        <v>485</v>
      </c>
      <c r="Q308" t="s">
        <v>219</v>
      </c>
      <c r="R308" t="s">
        <v>220</v>
      </c>
      <c r="S308" t="s">
        <v>221</v>
      </c>
      <c r="T308" t="s">
        <v>221</v>
      </c>
    </row>
    <row r="309" spans="1:20">
      <c r="A309" s="241">
        <v>44001</v>
      </c>
      <c r="B309" t="s">
        <v>2189</v>
      </c>
      <c r="C309" t="s">
        <v>261</v>
      </c>
      <c r="D309" t="s">
        <v>294</v>
      </c>
      <c r="E309" t="s">
        <v>812</v>
      </c>
      <c r="F309" t="s">
        <v>374</v>
      </c>
      <c r="G309" t="s">
        <v>1115</v>
      </c>
      <c r="H309" t="s">
        <v>855</v>
      </c>
      <c r="I309" t="s">
        <v>1547</v>
      </c>
      <c r="J309" t="s">
        <v>377</v>
      </c>
      <c r="K309" t="s">
        <v>349</v>
      </c>
      <c r="L309">
        <v>0.86</v>
      </c>
      <c r="M309" t="s">
        <v>2190</v>
      </c>
      <c r="N309" t="s">
        <v>2191</v>
      </c>
      <c r="O309" t="s">
        <v>2192</v>
      </c>
      <c r="P309" t="s">
        <v>485</v>
      </c>
      <c r="Q309" t="s">
        <v>219</v>
      </c>
      <c r="R309" t="s">
        <v>220</v>
      </c>
      <c r="S309" t="s">
        <v>221</v>
      </c>
      <c r="T309" t="s">
        <v>221</v>
      </c>
    </row>
    <row r="310" spans="1:20">
      <c r="A310" s="241">
        <v>44001</v>
      </c>
      <c r="B310" t="s">
        <v>2193</v>
      </c>
      <c r="C310" t="s">
        <v>294</v>
      </c>
      <c r="D310" t="s">
        <v>294</v>
      </c>
      <c r="E310" t="s">
        <v>696</v>
      </c>
      <c r="F310" t="s">
        <v>383</v>
      </c>
      <c r="G310" t="s">
        <v>384</v>
      </c>
      <c r="H310" t="s">
        <v>626</v>
      </c>
      <c r="I310" t="s">
        <v>674</v>
      </c>
      <c r="J310" t="s">
        <v>1128</v>
      </c>
      <c r="K310" t="s">
        <v>349</v>
      </c>
      <c r="L310">
        <v>0.86</v>
      </c>
      <c r="M310" t="s">
        <v>2194</v>
      </c>
      <c r="N310" t="s">
        <v>2195</v>
      </c>
      <c r="O310" t="s">
        <v>2196</v>
      </c>
      <c r="P310" t="s">
        <v>485</v>
      </c>
      <c r="Q310" t="s">
        <v>219</v>
      </c>
      <c r="R310" t="s">
        <v>220</v>
      </c>
      <c r="S310" t="s">
        <v>221</v>
      </c>
      <c r="T310" t="s">
        <v>221</v>
      </c>
    </row>
    <row r="311" spans="1:20">
      <c r="A311" s="241">
        <v>44001</v>
      </c>
      <c r="B311" t="s">
        <v>2197</v>
      </c>
      <c r="C311" t="s">
        <v>442</v>
      </c>
      <c r="D311" t="s">
        <v>442</v>
      </c>
      <c r="E311" t="s">
        <v>632</v>
      </c>
      <c r="F311" t="s">
        <v>393</v>
      </c>
      <c r="G311" t="s">
        <v>697</v>
      </c>
      <c r="H311" t="s">
        <v>405</v>
      </c>
      <c r="I311" t="s">
        <v>396</v>
      </c>
      <c r="J311" t="s">
        <v>699</v>
      </c>
      <c r="K311" t="s">
        <v>428</v>
      </c>
      <c r="L311">
        <v>0.86</v>
      </c>
      <c r="M311" t="s">
        <v>2198</v>
      </c>
      <c r="N311" t="s">
        <v>2199</v>
      </c>
      <c r="O311" t="s">
        <v>2200</v>
      </c>
      <c r="P311" t="s">
        <v>485</v>
      </c>
      <c r="Q311" t="s">
        <v>219</v>
      </c>
      <c r="R311" t="s">
        <v>220</v>
      </c>
      <c r="S311" t="s">
        <v>221</v>
      </c>
      <c r="T311" t="s">
        <v>221</v>
      </c>
    </row>
    <row r="312" spans="1:20">
      <c r="A312" s="241">
        <v>44001</v>
      </c>
      <c r="B312" t="s">
        <v>2201</v>
      </c>
      <c r="C312" t="s">
        <v>442</v>
      </c>
      <c r="D312" t="s">
        <v>423</v>
      </c>
      <c r="E312" t="s">
        <v>1049</v>
      </c>
      <c r="F312" t="s">
        <v>1541</v>
      </c>
      <c r="G312" t="s">
        <v>918</v>
      </c>
      <c r="H312" t="s">
        <v>1147</v>
      </c>
      <c r="I312" t="s">
        <v>396</v>
      </c>
      <c r="J312" t="s">
        <v>691</v>
      </c>
      <c r="K312" t="s">
        <v>349</v>
      </c>
      <c r="L312">
        <v>0.86</v>
      </c>
      <c r="M312" t="s">
        <v>2202</v>
      </c>
      <c r="N312" t="s">
        <v>2203</v>
      </c>
      <c r="O312" t="s">
        <v>2204</v>
      </c>
      <c r="P312" t="s">
        <v>485</v>
      </c>
      <c r="Q312" t="s">
        <v>219</v>
      </c>
      <c r="R312" t="s">
        <v>220</v>
      </c>
      <c r="S312" t="s">
        <v>221</v>
      </c>
      <c r="T312" t="s">
        <v>221</v>
      </c>
    </row>
    <row r="313" spans="1:20">
      <c r="A313" s="241">
        <v>44001</v>
      </c>
      <c r="B313" t="s">
        <v>2205</v>
      </c>
      <c r="C313" t="s">
        <v>645</v>
      </c>
      <c r="D313" t="s">
        <v>274</v>
      </c>
      <c r="E313" t="s">
        <v>225</v>
      </c>
      <c r="F313" t="s">
        <v>2206</v>
      </c>
      <c r="G313" t="s">
        <v>1936</v>
      </c>
      <c r="H313" t="s">
        <v>426</v>
      </c>
      <c r="I313" t="s">
        <v>1140</v>
      </c>
      <c r="J313" t="s">
        <v>699</v>
      </c>
      <c r="K313" t="s">
        <v>359</v>
      </c>
      <c r="L313">
        <v>0.86</v>
      </c>
      <c r="M313" t="s">
        <v>2207</v>
      </c>
      <c r="N313" t="s">
        <v>2208</v>
      </c>
      <c r="O313" t="s">
        <v>2209</v>
      </c>
      <c r="P313" t="s">
        <v>485</v>
      </c>
      <c r="Q313" t="s">
        <v>219</v>
      </c>
      <c r="R313" t="s">
        <v>220</v>
      </c>
      <c r="S313" t="s">
        <v>221</v>
      </c>
      <c r="T313" t="s">
        <v>221</v>
      </c>
    </row>
    <row r="314" spans="1:20">
      <c r="A314" s="241">
        <v>44001</v>
      </c>
      <c r="B314" t="s">
        <v>2210</v>
      </c>
      <c r="C314" t="s">
        <v>294</v>
      </c>
      <c r="D314" t="s">
        <v>625</v>
      </c>
      <c r="E314" t="s">
        <v>225</v>
      </c>
      <c r="F314" t="s">
        <v>924</v>
      </c>
      <c r="G314" t="s">
        <v>1297</v>
      </c>
      <c r="H314" t="s">
        <v>1552</v>
      </c>
      <c r="I314" t="s">
        <v>698</v>
      </c>
      <c r="J314" t="s">
        <v>699</v>
      </c>
      <c r="K314" t="s">
        <v>359</v>
      </c>
      <c r="L314">
        <v>0.86</v>
      </c>
      <c r="M314" t="s">
        <v>2211</v>
      </c>
      <c r="N314" t="s">
        <v>2212</v>
      </c>
      <c r="O314" t="s">
        <v>2213</v>
      </c>
      <c r="P314" t="s">
        <v>485</v>
      </c>
      <c r="Q314" t="s">
        <v>219</v>
      </c>
      <c r="R314" t="s">
        <v>220</v>
      </c>
      <c r="S314" t="s">
        <v>221</v>
      </c>
      <c r="T314" t="s">
        <v>221</v>
      </c>
    </row>
    <row r="315" spans="1:20">
      <c r="A315" s="241">
        <v>44001</v>
      </c>
      <c r="B315" t="s">
        <v>2214</v>
      </c>
      <c r="C315" t="s">
        <v>615</v>
      </c>
      <c r="D315" t="s">
        <v>679</v>
      </c>
      <c r="E315" t="s">
        <v>332</v>
      </c>
      <c r="F315" t="s">
        <v>917</v>
      </c>
      <c r="G315" t="s">
        <v>1157</v>
      </c>
      <c r="H315" t="s">
        <v>415</v>
      </c>
      <c r="I315" t="s">
        <v>1923</v>
      </c>
      <c r="J315" t="s">
        <v>1309</v>
      </c>
      <c r="K315" t="s">
        <v>418</v>
      </c>
      <c r="L315">
        <v>0.86</v>
      </c>
      <c r="M315" t="s">
        <v>2215</v>
      </c>
      <c r="N315" t="s">
        <v>2216</v>
      </c>
      <c r="O315" t="s">
        <v>2217</v>
      </c>
      <c r="P315" t="s">
        <v>485</v>
      </c>
      <c r="Q315" t="s">
        <v>219</v>
      </c>
      <c r="R315" t="s">
        <v>220</v>
      </c>
      <c r="S315" t="s">
        <v>221</v>
      </c>
      <c r="T315" t="s">
        <v>221</v>
      </c>
    </row>
    <row r="316" spans="1:20">
      <c r="A316" s="241">
        <v>44001</v>
      </c>
      <c r="B316" t="s">
        <v>2218</v>
      </c>
      <c r="C316" t="s">
        <v>442</v>
      </c>
      <c r="D316" t="s">
        <v>274</v>
      </c>
      <c r="E316" t="s">
        <v>1121</v>
      </c>
      <c r="F316" t="s">
        <v>2206</v>
      </c>
      <c r="G316" t="s">
        <v>1936</v>
      </c>
      <c r="H316" t="s">
        <v>1493</v>
      </c>
      <c r="I316" t="s">
        <v>1140</v>
      </c>
      <c r="J316" t="s">
        <v>919</v>
      </c>
      <c r="K316" t="s">
        <v>369</v>
      </c>
      <c r="L316">
        <v>0.86</v>
      </c>
      <c r="M316" t="s">
        <v>2219</v>
      </c>
      <c r="N316" t="s">
        <v>2220</v>
      </c>
      <c r="O316" t="s">
        <v>2221</v>
      </c>
      <c r="P316" t="s">
        <v>485</v>
      </c>
      <c r="Q316" t="s">
        <v>219</v>
      </c>
      <c r="R316" t="s">
        <v>220</v>
      </c>
      <c r="S316" t="s">
        <v>221</v>
      </c>
      <c r="T316" t="s">
        <v>221</v>
      </c>
    </row>
    <row r="317" spans="1:20">
      <c r="A317" s="241">
        <v>44001</v>
      </c>
      <c r="B317" t="s">
        <v>2222</v>
      </c>
      <c r="C317" t="s">
        <v>261</v>
      </c>
      <c r="D317" t="s">
        <v>645</v>
      </c>
      <c r="E317" t="s">
        <v>238</v>
      </c>
      <c r="F317" t="s">
        <v>718</v>
      </c>
      <c r="G317" t="s">
        <v>719</v>
      </c>
      <c r="H317" t="s">
        <v>323</v>
      </c>
      <c r="I317" t="s">
        <v>721</v>
      </c>
      <c r="J317" t="s">
        <v>447</v>
      </c>
      <c r="K317" t="s">
        <v>722</v>
      </c>
      <c r="L317">
        <v>0.86</v>
      </c>
      <c r="M317" t="s">
        <v>2223</v>
      </c>
      <c r="N317" t="s">
        <v>2224</v>
      </c>
      <c r="O317" t="s">
        <v>2225</v>
      </c>
      <c r="P317" t="s">
        <v>485</v>
      </c>
      <c r="Q317" t="s">
        <v>219</v>
      </c>
      <c r="R317" t="s">
        <v>220</v>
      </c>
      <c r="S317" t="s">
        <v>221</v>
      </c>
      <c r="T317" t="s">
        <v>221</v>
      </c>
    </row>
    <row r="318" spans="1:20">
      <c r="A318" s="241">
        <v>44001</v>
      </c>
      <c r="B318" t="s">
        <v>2226</v>
      </c>
      <c r="C318" t="s">
        <v>261</v>
      </c>
      <c r="D318" t="s">
        <v>274</v>
      </c>
      <c r="E318" t="s">
        <v>304</v>
      </c>
      <c r="F318" t="s">
        <v>2227</v>
      </c>
      <c r="G318" t="s">
        <v>2228</v>
      </c>
      <c r="H318" t="s">
        <v>647</v>
      </c>
      <c r="I318" t="s">
        <v>721</v>
      </c>
      <c r="J318" t="s">
        <v>730</v>
      </c>
      <c r="K318" t="s">
        <v>408</v>
      </c>
      <c r="L318">
        <v>0.86</v>
      </c>
      <c r="M318" t="s">
        <v>2229</v>
      </c>
      <c r="N318" t="s">
        <v>2230</v>
      </c>
      <c r="O318" t="s">
        <v>2231</v>
      </c>
      <c r="P318" t="s">
        <v>485</v>
      </c>
      <c r="Q318" t="s">
        <v>219</v>
      </c>
      <c r="R318" t="s">
        <v>220</v>
      </c>
      <c r="S318" t="s">
        <v>221</v>
      </c>
      <c r="T318" t="s">
        <v>221</v>
      </c>
    </row>
    <row r="319" spans="1:20">
      <c r="A319" s="241">
        <v>44001</v>
      </c>
      <c r="B319" t="s">
        <v>2232</v>
      </c>
      <c r="C319" t="s">
        <v>423</v>
      </c>
      <c r="D319" t="s">
        <v>645</v>
      </c>
      <c r="E319" t="s">
        <v>250</v>
      </c>
      <c r="F319" t="s">
        <v>952</v>
      </c>
      <c r="G319" t="s">
        <v>1157</v>
      </c>
      <c r="H319" t="s">
        <v>729</v>
      </c>
      <c r="I319" t="s">
        <v>947</v>
      </c>
      <c r="J319" t="s">
        <v>447</v>
      </c>
      <c r="K319" t="s">
        <v>428</v>
      </c>
      <c r="L319">
        <v>0.86</v>
      </c>
      <c r="M319" t="s">
        <v>2233</v>
      </c>
      <c r="N319" t="s">
        <v>2234</v>
      </c>
      <c r="O319" t="s">
        <v>2235</v>
      </c>
      <c r="P319" t="s">
        <v>485</v>
      </c>
      <c r="Q319" t="s">
        <v>219</v>
      </c>
      <c r="R319" t="s">
        <v>220</v>
      </c>
      <c r="S319" t="s">
        <v>221</v>
      </c>
      <c r="T319" t="s">
        <v>221</v>
      </c>
    </row>
    <row r="320" spans="1:20">
      <c r="A320" s="241">
        <v>44001</v>
      </c>
      <c r="B320" t="s">
        <v>2236</v>
      </c>
      <c r="C320" t="s">
        <v>487</v>
      </c>
      <c r="D320" t="s">
        <v>463</v>
      </c>
      <c r="E320" t="s">
        <v>442</v>
      </c>
      <c r="F320" t="s">
        <v>2237</v>
      </c>
      <c r="G320" t="s">
        <v>2238</v>
      </c>
      <c r="H320" t="s">
        <v>2239</v>
      </c>
      <c r="I320" t="s">
        <v>2240</v>
      </c>
      <c r="J320" t="s">
        <v>2241</v>
      </c>
      <c r="K320" t="s">
        <v>2242</v>
      </c>
      <c r="L320">
        <v>0.89</v>
      </c>
      <c r="M320" t="s">
        <v>2243</v>
      </c>
      <c r="N320" t="s">
        <v>2244</v>
      </c>
      <c r="O320" t="s">
        <v>2245</v>
      </c>
      <c r="P320" t="s">
        <v>485</v>
      </c>
      <c r="Q320" t="s">
        <v>219</v>
      </c>
      <c r="R320" t="s">
        <v>220</v>
      </c>
      <c r="S320" t="s">
        <v>221</v>
      </c>
      <c r="T320" t="s">
        <v>221</v>
      </c>
    </row>
    <row r="321" spans="1:20">
      <c r="A321" s="241">
        <v>44001</v>
      </c>
      <c r="B321" t="s">
        <v>2246</v>
      </c>
      <c r="C321" t="s">
        <v>1195</v>
      </c>
      <c r="D321" t="s">
        <v>747</v>
      </c>
      <c r="E321" t="s">
        <v>223</v>
      </c>
      <c r="F321" t="s">
        <v>1187</v>
      </c>
      <c r="G321" t="s">
        <v>2247</v>
      </c>
      <c r="H321" t="s">
        <v>2248</v>
      </c>
      <c r="I321" t="s">
        <v>2249</v>
      </c>
      <c r="J321" t="s">
        <v>2250</v>
      </c>
      <c r="K321" t="s">
        <v>481</v>
      </c>
      <c r="L321">
        <v>0.89</v>
      </c>
      <c r="M321" t="s">
        <v>2251</v>
      </c>
      <c r="N321" t="s">
        <v>2252</v>
      </c>
      <c r="O321" t="s">
        <v>2253</v>
      </c>
      <c r="P321" t="s">
        <v>485</v>
      </c>
      <c r="Q321" t="s">
        <v>219</v>
      </c>
      <c r="R321" t="s">
        <v>220</v>
      </c>
      <c r="S321" t="s">
        <v>221</v>
      </c>
      <c r="T321" t="s">
        <v>221</v>
      </c>
    </row>
    <row r="322" spans="1:20">
      <c r="A322" s="241">
        <v>44001</v>
      </c>
      <c r="B322" t="s">
        <v>2254</v>
      </c>
      <c r="C322" t="s">
        <v>1376</v>
      </c>
      <c r="D322" t="s">
        <v>474</v>
      </c>
      <c r="E322" t="s">
        <v>1367</v>
      </c>
      <c r="F322" t="s">
        <v>1378</v>
      </c>
      <c r="G322" t="s">
        <v>2255</v>
      </c>
      <c r="H322" t="s">
        <v>2256</v>
      </c>
      <c r="I322" t="s">
        <v>2257</v>
      </c>
      <c r="J322" t="s">
        <v>2258</v>
      </c>
      <c r="K322" t="s">
        <v>2259</v>
      </c>
      <c r="L322">
        <v>0.89</v>
      </c>
      <c r="M322" t="s">
        <v>2260</v>
      </c>
      <c r="N322" t="s">
        <v>2261</v>
      </c>
      <c r="O322" t="s">
        <v>2262</v>
      </c>
      <c r="P322" t="s">
        <v>485</v>
      </c>
      <c r="Q322" t="s">
        <v>219</v>
      </c>
      <c r="R322" t="s">
        <v>220</v>
      </c>
      <c r="S322" t="s">
        <v>221</v>
      </c>
      <c r="T322" t="s">
        <v>221</v>
      </c>
    </row>
    <row r="323" spans="1:20">
      <c r="A323" s="241">
        <v>44001</v>
      </c>
      <c r="B323" t="s">
        <v>2263</v>
      </c>
      <c r="C323" t="s">
        <v>475</v>
      </c>
      <c r="D323" t="s">
        <v>236</v>
      </c>
      <c r="E323" t="s">
        <v>402</v>
      </c>
      <c r="F323" t="s">
        <v>2264</v>
      </c>
      <c r="G323" t="s">
        <v>2265</v>
      </c>
      <c r="H323" t="s">
        <v>2266</v>
      </c>
      <c r="I323" t="s">
        <v>2267</v>
      </c>
      <c r="J323" t="s">
        <v>2268</v>
      </c>
      <c r="K323" t="s">
        <v>2269</v>
      </c>
      <c r="L323">
        <v>0.87</v>
      </c>
      <c r="M323" t="s">
        <v>2270</v>
      </c>
      <c r="N323" t="s">
        <v>2271</v>
      </c>
      <c r="O323" t="s">
        <v>2272</v>
      </c>
      <c r="P323" t="s">
        <v>485</v>
      </c>
      <c r="Q323" t="s">
        <v>219</v>
      </c>
      <c r="R323" t="s">
        <v>220</v>
      </c>
      <c r="S323" t="s">
        <v>221</v>
      </c>
      <c r="T323" t="s">
        <v>221</v>
      </c>
    </row>
    <row r="324" spans="1:20">
      <c r="A324" s="241">
        <v>44001</v>
      </c>
      <c r="B324" t="s">
        <v>2273</v>
      </c>
      <c r="C324" t="s">
        <v>207</v>
      </c>
      <c r="D324" t="s">
        <v>442</v>
      </c>
      <c r="E324" t="s">
        <v>443</v>
      </c>
      <c r="F324" t="s">
        <v>776</v>
      </c>
      <c r="G324" t="s">
        <v>2274</v>
      </c>
      <c r="H324" t="s">
        <v>2275</v>
      </c>
      <c r="I324" t="s">
        <v>1680</v>
      </c>
      <c r="J324" t="s">
        <v>2276</v>
      </c>
      <c r="K324" t="s">
        <v>2277</v>
      </c>
      <c r="L324">
        <v>0.87</v>
      </c>
      <c r="M324" t="s">
        <v>2278</v>
      </c>
      <c r="N324" t="s">
        <v>2279</v>
      </c>
      <c r="O324" t="s">
        <v>2280</v>
      </c>
      <c r="P324" t="s">
        <v>485</v>
      </c>
      <c r="Q324" t="s">
        <v>219</v>
      </c>
      <c r="R324" t="s">
        <v>220</v>
      </c>
      <c r="S324" t="s">
        <v>221</v>
      </c>
      <c r="T324" t="s">
        <v>221</v>
      </c>
    </row>
    <row r="325" spans="1:20">
      <c r="A325" s="241">
        <v>44001</v>
      </c>
      <c r="B325" t="s">
        <v>2281</v>
      </c>
      <c r="C325" t="s">
        <v>207</v>
      </c>
      <c r="D325" t="s">
        <v>614</v>
      </c>
      <c r="E325" t="s">
        <v>443</v>
      </c>
      <c r="F325" t="s">
        <v>1257</v>
      </c>
      <c r="G325" t="s">
        <v>2282</v>
      </c>
      <c r="H325" t="s">
        <v>521</v>
      </c>
      <c r="I325" t="s">
        <v>1391</v>
      </c>
      <c r="J325" t="s">
        <v>1392</v>
      </c>
      <c r="K325" t="s">
        <v>1234</v>
      </c>
      <c r="L325">
        <v>0.87</v>
      </c>
      <c r="M325" t="s">
        <v>2283</v>
      </c>
      <c r="N325" t="s">
        <v>2284</v>
      </c>
      <c r="O325" t="s">
        <v>2285</v>
      </c>
      <c r="P325" t="s">
        <v>485</v>
      </c>
      <c r="Q325" t="s">
        <v>219</v>
      </c>
      <c r="R325" t="s">
        <v>220</v>
      </c>
      <c r="S325" t="s">
        <v>221</v>
      </c>
      <c r="T325" t="s">
        <v>221</v>
      </c>
    </row>
    <row r="326" spans="1:20">
      <c r="A326" s="241">
        <v>44001</v>
      </c>
      <c r="B326" t="s">
        <v>2286</v>
      </c>
      <c r="C326" t="s">
        <v>614</v>
      </c>
      <c r="D326" t="s">
        <v>274</v>
      </c>
      <c r="E326" t="s">
        <v>556</v>
      </c>
      <c r="F326" t="s">
        <v>568</v>
      </c>
      <c r="G326" t="s">
        <v>1715</v>
      </c>
      <c r="H326" t="s">
        <v>1390</v>
      </c>
      <c r="I326" t="s">
        <v>1698</v>
      </c>
      <c r="J326" t="s">
        <v>514</v>
      </c>
      <c r="K326" t="s">
        <v>1012</v>
      </c>
      <c r="L326">
        <v>0.87</v>
      </c>
      <c r="M326" t="s">
        <v>2287</v>
      </c>
      <c r="N326" t="s">
        <v>2288</v>
      </c>
      <c r="O326" t="s">
        <v>2289</v>
      </c>
      <c r="P326" t="s">
        <v>485</v>
      </c>
      <c r="Q326" t="s">
        <v>219</v>
      </c>
      <c r="R326" t="s">
        <v>220</v>
      </c>
      <c r="S326" t="s">
        <v>221</v>
      </c>
      <c r="T326" t="s">
        <v>221</v>
      </c>
    </row>
    <row r="327" spans="1:20">
      <c r="A327" s="241">
        <v>44001</v>
      </c>
      <c r="B327" t="s">
        <v>2290</v>
      </c>
      <c r="C327" t="s">
        <v>237</v>
      </c>
      <c r="D327" t="s">
        <v>615</v>
      </c>
      <c r="E327" t="s">
        <v>424</v>
      </c>
      <c r="F327" t="s">
        <v>1257</v>
      </c>
      <c r="G327" t="s">
        <v>2291</v>
      </c>
      <c r="H327" t="s">
        <v>1390</v>
      </c>
      <c r="I327" t="s">
        <v>1010</v>
      </c>
      <c r="J327" t="s">
        <v>1011</v>
      </c>
      <c r="K327" t="s">
        <v>1012</v>
      </c>
      <c r="L327">
        <v>0.87</v>
      </c>
      <c r="M327" t="s">
        <v>2292</v>
      </c>
      <c r="N327" t="s">
        <v>2293</v>
      </c>
      <c r="O327" t="s">
        <v>2294</v>
      </c>
      <c r="P327" t="s">
        <v>485</v>
      </c>
      <c r="Q327" t="s">
        <v>219</v>
      </c>
      <c r="R327" t="s">
        <v>220</v>
      </c>
      <c r="S327" t="s">
        <v>221</v>
      </c>
      <c r="T327" t="s">
        <v>221</v>
      </c>
    </row>
    <row r="328" spans="1:20">
      <c r="A328" s="241">
        <v>44001</v>
      </c>
      <c r="B328" t="s">
        <v>2295</v>
      </c>
      <c r="C328" t="s">
        <v>237</v>
      </c>
      <c r="D328" t="s">
        <v>261</v>
      </c>
      <c r="E328" t="s">
        <v>597</v>
      </c>
      <c r="F328" t="s">
        <v>1231</v>
      </c>
      <c r="G328" t="s">
        <v>540</v>
      </c>
      <c r="H328" t="s">
        <v>776</v>
      </c>
      <c r="I328" t="s">
        <v>1727</v>
      </c>
      <c r="J328" t="s">
        <v>543</v>
      </c>
      <c r="K328" t="s">
        <v>534</v>
      </c>
      <c r="L328">
        <v>0.86</v>
      </c>
      <c r="M328" t="s">
        <v>2296</v>
      </c>
      <c r="N328" t="s">
        <v>2297</v>
      </c>
      <c r="O328" t="s">
        <v>2298</v>
      </c>
      <c r="P328" t="s">
        <v>485</v>
      </c>
      <c r="Q328" t="s">
        <v>219</v>
      </c>
      <c r="R328" t="s">
        <v>220</v>
      </c>
      <c r="S328" t="s">
        <v>221</v>
      </c>
      <c r="T328" t="s">
        <v>221</v>
      </c>
    </row>
    <row r="329" spans="1:20">
      <c r="A329" s="241">
        <v>44001</v>
      </c>
      <c r="B329" t="s">
        <v>2299</v>
      </c>
      <c r="C329" t="s">
        <v>423</v>
      </c>
      <c r="D329" t="s">
        <v>614</v>
      </c>
      <c r="E329" t="s">
        <v>238</v>
      </c>
      <c r="F329" t="s">
        <v>813</v>
      </c>
      <c r="G329" t="s">
        <v>1239</v>
      </c>
      <c r="H329" t="s">
        <v>2300</v>
      </c>
      <c r="I329" t="s">
        <v>550</v>
      </c>
      <c r="J329" t="s">
        <v>1240</v>
      </c>
      <c r="K329" t="s">
        <v>231</v>
      </c>
      <c r="L329">
        <v>0.87</v>
      </c>
      <c r="M329" t="s">
        <v>2301</v>
      </c>
      <c r="N329" t="s">
        <v>2302</v>
      </c>
      <c r="O329" t="s">
        <v>2303</v>
      </c>
      <c r="P329" t="s">
        <v>485</v>
      </c>
      <c r="Q329" t="s">
        <v>219</v>
      </c>
      <c r="R329" t="s">
        <v>220</v>
      </c>
      <c r="S329" t="s">
        <v>221</v>
      </c>
      <c r="T329" t="s">
        <v>221</v>
      </c>
    </row>
    <row r="330" spans="1:20">
      <c r="A330" s="241">
        <v>44001</v>
      </c>
      <c r="B330" t="s">
        <v>2304</v>
      </c>
      <c r="C330" t="s">
        <v>224</v>
      </c>
      <c r="D330" t="s">
        <v>442</v>
      </c>
      <c r="E330" t="s">
        <v>332</v>
      </c>
      <c r="F330" t="s">
        <v>1231</v>
      </c>
      <c r="G330" t="s">
        <v>540</v>
      </c>
      <c r="H330" t="s">
        <v>2305</v>
      </c>
      <c r="I330" t="s">
        <v>1232</v>
      </c>
      <c r="J330" t="s">
        <v>533</v>
      </c>
      <c r="K330" t="s">
        <v>534</v>
      </c>
      <c r="L330">
        <v>0.86</v>
      </c>
      <c r="M330" t="s">
        <v>2306</v>
      </c>
      <c r="N330" t="s">
        <v>2307</v>
      </c>
      <c r="O330" t="s">
        <v>2308</v>
      </c>
      <c r="P330" t="s">
        <v>485</v>
      </c>
      <c r="Q330" t="s">
        <v>219</v>
      </c>
      <c r="R330" t="s">
        <v>220</v>
      </c>
      <c r="S330" t="s">
        <v>221</v>
      </c>
      <c r="T330" t="s">
        <v>221</v>
      </c>
    </row>
    <row r="331" spans="1:20">
      <c r="A331" s="241">
        <v>44001</v>
      </c>
      <c r="B331" t="s">
        <v>2309</v>
      </c>
      <c r="C331" t="s">
        <v>294</v>
      </c>
      <c r="D331" t="s">
        <v>423</v>
      </c>
      <c r="E331" t="s">
        <v>250</v>
      </c>
      <c r="F331" t="s">
        <v>862</v>
      </c>
      <c r="G331" t="s">
        <v>798</v>
      </c>
      <c r="H331" t="s">
        <v>1726</v>
      </c>
      <c r="I331" t="s">
        <v>1747</v>
      </c>
      <c r="J331" t="s">
        <v>817</v>
      </c>
      <c r="K331" t="s">
        <v>214</v>
      </c>
      <c r="L331">
        <v>0.86</v>
      </c>
      <c r="M331" t="s">
        <v>2310</v>
      </c>
      <c r="N331" t="s">
        <v>2311</v>
      </c>
      <c r="O331" t="s">
        <v>2312</v>
      </c>
      <c r="P331" t="s">
        <v>485</v>
      </c>
      <c r="Q331" t="s">
        <v>219</v>
      </c>
      <c r="R331" t="s">
        <v>220</v>
      </c>
      <c r="S331" t="s">
        <v>221</v>
      </c>
      <c r="T331" t="s">
        <v>221</v>
      </c>
    </row>
    <row r="332" spans="1:20">
      <c r="A332" s="241">
        <v>44001</v>
      </c>
      <c r="B332" t="s">
        <v>2313</v>
      </c>
      <c r="C332" t="s">
        <v>614</v>
      </c>
      <c r="D332" t="s">
        <v>261</v>
      </c>
      <c r="E332" t="s">
        <v>332</v>
      </c>
      <c r="F332" t="s">
        <v>813</v>
      </c>
      <c r="G332" t="s">
        <v>2314</v>
      </c>
      <c r="H332" t="s">
        <v>2315</v>
      </c>
      <c r="I332" t="s">
        <v>816</v>
      </c>
      <c r="J332" t="s">
        <v>1039</v>
      </c>
      <c r="K332" t="s">
        <v>214</v>
      </c>
      <c r="L332">
        <v>0.86</v>
      </c>
      <c r="M332" t="s">
        <v>2316</v>
      </c>
      <c r="N332" t="s">
        <v>2317</v>
      </c>
      <c r="O332" t="s">
        <v>2318</v>
      </c>
      <c r="P332" t="s">
        <v>485</v>
      </c>
      <c r="Q332" t="s">
        <v>219</v>
      </c>
      <c r="R332" t="s">
        <v>220</v>
      </c>
      <c r="S332" t="s">
        <v>221</v>
      </c>
      <c r="T332" t="s">
        <v>221</v>
      </c>
    </row>
    <row r="333" spans="1:20">
      <c r="A333" s="241">
        <v>44001</v>
      </c>
      <c r="B333" t="s">
        <v>2319</v>
      </c>
      <c r="C333" t="s">
        <v>614</v>
      </c>
      <c r="D333" t="s">
        <v>274</v>
      </c>
      <c r="E333" t="s">
        <v>238</v>
      </c>
      <c r="F333" t="s">
        <v>616</v>
      </c>
      <c r="G333" t="s">
        <v>804</v>
      </c>
      <c r="H333" t="s">
        <v>2315</v>
      </c>
      <c r="I333" t="s">
        <v>569</v>
      </c>
      <c r="J333" t="s">
        <v>1770</v>
      </c>
      <c r="K333" t="s">
        <v>214</v>
      </c>
      <c r="L333">
        <v>0.86</v>
      </c>
      <c r="M333" t="s">
        <v>2320</v>
      </c>
      <c r="N333" t="s">
        <v>2321</v>
      </c>
      <c r="O333" t="s">
        <v>2322</v>
      </c>
      <c r="P333" t="s">
        <v>485</v>
      </c>
      <c r="Q333" t="s">
        <v>219</v>
      </c>
      <c r="R333" t="s">
        <v>220</v>
      </c>
      <c r="S333" t="s">
        <v>221</v>
      </c>
      <c r="T333" t="s">
        <v>221</v>
      </c>
    </row>
    <row r="334" spans="1:20">
      <c r="A334" s="241">
        <v>44001</v>
      </c>
      <c r="B334" t="s">
        <v>2323</v>
      </c>
      <c r="C334" t="s">
        <v>625</v>
      </c>
      <c r="D334" t="s">
        <v>615</v>
      </c>
      <c r="E334" t="s">
        <v>250</v>
      </c>
      <c r="F334" t="s">
        <v>239</v>
      </c>
      <c r="G334" t="s">
        <v>804</v>
      </c>
      <c r="H334" t="s">
        <v>2324</v>
      </c>
      <c r="I334" t="s">
        <v>806</v>
      </c>
      <c r="J334" t="s">
        <v>561</v>
      </c>
      <c r="K334" t="s">
        <v>231</v>
      </c>
      <c r="L334">
        <v>0.86</v>
      </c>
      <c r="M334" t="s">
        <v>2325</v>
      </c>
      <c r="N334" t="s">
        <v>2326</v>
      </c>
      <c r="O334" t="s">
        <v>2327</v>
      </c>
      <c r="P334" t="s">
        <v>485</v>
      </c>
      <c r="Q334" t="s">
        <v>219</v>
      </c>
      <c r="R334" t="s">
        <v>220</v>
      </c>
      <c r="S334" t="s">
        <v>221</v>
      </c>
      <c r="T334" t="s">
        <v>221</v>
      </c>
    </row>
    <row r="335" spans="1:20">
      <c r="A335" s="241">
        <v>44001</v>
      </c>
      <c r="B335" t="s">
        <v>2328</v>
      </c>
      <c r="C335" t="s">
        <v>645</v>
      </c>
      <c r="D335" t="s">
        <v>614</v>
      </c>
      <c r="E335" t="s">
        <v>238</v>
      </c>
      <c r="F335" t="s">
        <v>576</v>
      </c>
      <c r="G335" t="s">
        <v>830</v>
      </c>
      <c r="H335" t="s">
        <v>1453</v>
      </c>
      <c r="I335" t="s">
        <v>2329</v>
      </c>
      <c r="J335" t="s">
        <v>2330</v>
      </c>
      <c r="K335" t="s">
        <v>579</v>
      </c>
      <c r="L335">
        <v>0.86</v>
      </c>
      <c r="M335" t="s">
        <v>2331</v>
      </c>
      <c r="N335" t="s">
        <v>2332</v>
      </c>
      <c r="O335" t="s">
        <v>2333</v>
      </c>
      <c r="P335" t="s">
        <v>485</v>
      </c>
      <c r="Q335" t="s">
        <v>219</v>
      </c>
      <c r="R335" t="s">
        <v>220</v>
      </c>
      <c r="S335" t="s">
        <v>221</v>
      </c>
      <c r="T335" t="s">
        <v>221</v>
      </c>
    </row>
    <row r="336" spans="1:20">
      <c r="A336" s="241">
        <v>44001</v>
      </c>
      <c r="B336" t="s">
        <v>2334</v>
      </c>
      <c r="C336" t="s">
        <v>625</v>
      </c>
      <c r="D336" t="s">
        <v>671</v>
      </c>
      <c r="E336" t="s">
        <v>304</v>
      </c>
      <c r="F336" t="s">
        <v>598</v>
      </c>
      <c r="G336" t="s">
        <v>1447</v>
      </c>
      <c r="H336" t="s">
        <v>1453</v>
      </c>
      <c r="I336" t="s">
        <v>266</v>
      </c>
      <c r="J336" t="s">
        <v>2330</v>
      </c>
      <c r="K336" t="s">
        <v>231</v>
      </c>
      <c r="L336">
        <v>0.86</v>
      </c>
      <c r="M336" t="s">
        <v>2335</v>
      </c>
      <c r="N336" t="s">
        <v>2336</v>
      </c>
      <c r="O336" t="s">
        <v>2337</v>
      </c>
      <c r="P336" t="s">
        <v>485</v>
      </c>
      <c r="Q336" t="s">
        <v>219</v>
      </c>
      <c r="R336" t="s">
        <v>220</v>
      </c>
      <c r="S336" t="s">
        <v>221</v>
      </c>
      <c r="T336" t="s">
        <v>221</v>
      </c>
    </row>
    <row r="337" spans="1:20">
      <c r="A337" s="241">
        <v>44001</v>
      </c>
      <c r="B337" t="s">
        <v>2338</v>
      </c>
      <c r="C337" t="s">
        <v>614</v>
      </c>
      <c r="D337" t="s">
        <v>614</v>
      </c>
      <c r="E337" t="s">
        <v>812</v>
      </c>
      <c r="F337" t="s">
        <v>616</v>
      </c>
      <c r="G337" t="s">
        <v>1442</v>
      </c>
      <c r="H337" t="s">
        <v>209</v>
      </c>
      <c r="I337" t="s">
        <v>278</v>
      </c>
      <c r="J337" t="s">
        <v>1786</v>
      </c>
      <c r="K337" t="s">
        <v>231</v>
      </c>
      <c r="L337">
        <v>0.86</v>
      </c>
      <c r="M337" t="s">
        <v>2339</v>
      </c>
      <c r="N337" t="s">
        <v>2340</v>
      </c>
      <c r="O337" t="s">
        <v>2341</v>
      </c>
      <c r="P337" t="s">
        <v>485</v>
      </c>
      <c r="Q337" t="s">
        <v>219</v>
      </c>
      <c r="R337" t="s">
        <v>220</v>
      </c>
      <c r="S337" t="s">
        <v>221</v>
      </c>
      <c r="T337" t="s">
        <v>221</v>
      </c>
    </row>
    <row r="338" spans="1:20">
      <c r="A338" s="241">
        <v>44001</v>
      </c>
      <c r="B338" t="s">
        <v>2342</v>
      </c>
      <c r="C338" t="s">
        <v>294</v>
      </c>
      <c r="D338" t="s">
        <v>645</v>
      </c>
      <c r="E338" t="s">
        <v>424</v>
      </c>
      <c r="F338" t="s">
        <v>926</v>
      </c>
      <c r="G338" t="s">
        <v>2343</v>
      </c>
      <c r="H338" t="s">
        <v>529</v>
      </c>
      <c r="I338" t="s">
        <v>849</v>
      </c>
      <c r="J338" t="s">
        <v>592</v>
      </c>
      <c r="K338" t="s">
        <v>244</v>
      </c>
      <c r="L338">
        <v>0.86</v>
      </c>
      <c r="M338" t="s">
        <v>2344</v>
      </c>
      <c r="N338" t="s">
        <v>2345</v>
      </c>
      <c r="O338" t="s">
        <v>2346</v>
      </c>
      <c r="P338" t="s">
        <v>485</v>
      </c>
      <c r="Q338" t="s">
        <v>219</v>
      </c>
      <c r="R338" t="s">
        <v>220</v>
      </c>
      <c r="S338" t="s">
        <v>221</v>
      </c>
      <c r="T338" t="s">
        <v>221</v>
      </c>
    </row>
    <row r="339" spans="1:20">
      <c r="A339" s="241">
        <v>44001</v>
      </c>
      <c r="B339" t="s">
        <v>2347</v>
      </c>
      <c r="C339" t="s">
        <v>712</v>
      </c>
      <c r="D339" t="s">
        <v>294</v>
      </c>
      <c r="E339" t="s">
        <v>812</v>
      </c>
      <c r="F339" t="s">
        <v>855</v>
      </c>
      <c r="G339" t="s">
        <v>2343</v>
      </c>
      <c r="H339" t="s">
        <v>1231</v>
      </c>
      <c r="I339" t="s">
        <v>288</v>
      </c>
      <c r="J339" t="s">
        <v>592</v>
      </c>
      <c r="K339" t="s">
        <v>579</v>
      </c>
      <c r="L339">
        <v>0.86</v>
      </c>
      <c r="M339" t="s">
        <v>2348</v>
      </c>
      <c r="N339" t="s">
        <v>2349</v>
      </c>
      <c r="O339" t="s">
        <v>2350</v>
      </c>
      <c r="P339" t="s">
        <v>485</v>
      </c>
      <c r="Q339" t="s">
        <v>219</v>
      </c>
      <c r="R339" t="s">
        <v>220</v>
      </c>
      <c r="S339" t="s">
        <v>221</v>
      </c>
      <c r="T339" t="s">
        <v>221</v>
      </c>
    </row>
    <row r="340" spans="1:20">
      <c r="A340" s="241">
        <v>44001</v>
      </c>
      <c r="B340" t="s">
        <v>2351</v>
      </c>
      <c r="C340" t="s">
        <v>274</v>
      </c>
      <c r="D340" t="s">
        <v>1079</v>
      </c>
      <c r="E340" t="s">
        <v>696</v>
      </c>
      <c r="F340" t="s">
        <v>1552</v>
      </c>
      <c r="G340" t="s">
        <v>1269</v>
      </c>
      <c r="H340" t="s">
        <v>608</v>
      </c>
      <c r="I340" t="s">
        <v>308</v>
      </c>
      <c r="J340" t="s">
        <v>857</v>
      </c>
      <c r="K340" t="s">
        <v>244</v>
      </c>
      <c r="L340">
        <v>0.86</v>
      </c>
      <c r="M340" t="s">
        <v>2352</v>
      </c>
      <c r="N340" t="s">
        <v>2353</v>
      </c>
      <c r="O340" t="s">
        <v>2354</v>
      </c>
      <c r="P340" t="s">
        <v>485</v>
      </c>
      <c r="Q340" t="s">
        <v>219</v>
      </c>
      <c r="R340" t="s">
        <v>220</v>
      </c>
      <c r="S340" t="s">
        <v>221</v>
      </c>
      <c r="T340" t="s">
        <v>221</v>
      </c>
    </row>
    <row r="341" spans="1:20">
      <c r="A341" s="241">
        <v>44001</v>
      </c>
      <c r="B341" t="s">
        <v>2355</v>
      </c>
      <c r="C341" t="s">
        <v>442</v>
      </c>
      <c r="D341" t="s">
        <v>671</v>
      </c>
      <c r="E341" t="s">
        <v>238</v>
      </c>
      <c r="F341" t="s">
        <v>706</v>
      </c>
      <c r="G341" t="s">
        <v>607</v>
      </c>
      <c r="H341" t="s">
        <v>1818</v>
      </c>
      <c r="I341" t="s">
        <v>1082</v>
      </c>
      <c r="J341" t="s">
        <v>620</v>
      </c>
      <c r="K341" t="s">
        <v>338</v>
      </c>
      <c r="L341">
        <v>0.86</v>
      </c>
      <c r="M341" t="s">
        <v>2356</v>
      </c>
      <c r="N341" t="s">
        <v>2357</v>
      </c>
      <c r="O341" t="s">
        <v>2358</v>
      </c>
      <c r="P341" t="s">
        <v>485</v>
      </c>
      <c r="Q341" t="s">
        <v>219</v>
      </c>
      <c r="R341" t="s">
        <v>220</v>
      </c>
      <c r="S341" t="s">
        <v>221</v>
      </c>
      <c r="T341" t="s">
        <v>221</v>
      </c>
    </row>
    <row r="342" spans="1:20">
      <c r="A342" s="241">
        <v>44001</v>
      </c>
      <c r="B342" t="s">
        <v>2359</v>
      </c>
      <c r="C342" t="s">
        <v>712</v>
      </c>
      <c r="D342" t="s">
        <v>442</v>
      </c>
      <c r="E342" t="s">
        <v>225</v>
      </c>
      <c r="F342" t="s">
        <v>706</v>
      </c>
      <c r="G342" t="s">
        <v>843</v>
      </c>
      <c r="H342" t="s">
        <v>566</v>
      </c>
      <c r="I342" t="s">
        <v>317</v>
      </c>
      <c r="J342" t="s">
        <v>318</v>
      </c>
      <c r="K342" t="s">
        <v>268</v>
      </c>
      <c r="L342">
        <v>0.86</v>
      </c>
      <c r="M342" t="s">
        <v>2360</v>
      </c>
      <c r="N342" t="s">
        <v>2361</v>
      </c>
      <c r="O342" t="s">
        <v>2362</v>
      </c>
      <c r="P342" t="s">
        <v>485</v>
      </c>
      <c r="Q342" t="s">
        <v>219</v>
      </c>
      <c r="R342" t="s">
        <v>220</v>
      </c>
      <c r="S342" t="s">
        <v>221</v>
      </c>
      <c r="T342" t="s">
        <v>221</v>
      </c>
    </row>
    <row r="343" spans="1:20">
      <c r="A343" s="241">
        <v>44001</v>
      </c>
      <c r="B343" t="s">
        <v>2363</v>
      </c>
      <c r="C343" t="s">
        <v>294</v>
      </c>
      <c r="D343" t="s">
        <v>614</v>
      </c>
      <c r="E343" t="s">
        <v>696</v>
      </c>
      <c r="F343" t="s">
        <v>426</v>
      </c>
      <c r="G343" t="s">
        <v>345</v>
      </c>
      <c r="H343" t="s">
        <v>566</v>
      </c>
      <c r="I343" t="s">
        <v>1501</v>
      </c>
      <c r="J343" t="s">
        <v>1827</v>
      </c>
      <c r="K343" t="s">
        <v>268</v>
      </c>
      <c r="L343">
        <v>0.86</v>
      </c>
      <c r="M343" t="s">
        <v>2364</v>
      </c>
      <c r="N343" t="s">
        <v>2365</v>
      </c>
      <c r="O343" t="s">
        <v>2366</v>
      </c>
      <c r="P343" t="s">
        <v>485</v>
      </c>
      <c r="Q343" t="s">
        <v>219</v>
      </c>
      <c r="R343" t="s">
        <v>220</v>
      </c>
      <c r="S343" t="s">
        <v>221</v>
      </c>
      <c r="T343" t="s">
        <v>221</v>
      </c>
    </row>
    <row r="344" spans="1:20">
      <c r="A344" s="241">
        <v>44001</v>
      </c>
      <c r="B344" t="s">
        <v>2367</v>
      </c>
      <c r="C344" t="s">
        <v>615</v>
      </c>
      <c r="D344" t="s">
        <v>442</v>
      </c>
      <c r="E344" t="s">
        <v>696</v>
      </c>
      <c r="F344" t="s">
        <v>713</v>
      </c>
      <c r="G344" t="s">
        <v>1500</v>
      </c>
      <c r="H344" t="s">
        <v>576</v>
      </c>
      <c r="I344" t="s">
        <v>347</v>
      </c>
      <c r="J344" t="s">
        <v>640</v>
      </c>
      <c r="K344" t="s">
        <v>280</v>
      </c>
      <c r="L344">
        <v>0.86</v>
      </c>
      <c r="M344" t="s">
        <v>2368</v>
      </c>
      <c r="N344" t="s">
        <v>2369</v>
      </c>
      <c r="O344" t="s">
        <v>2370</v>
      </c>
      <c r="P344" t="s">
        <v>485</v>
      </c>
      <c r="Q344" t="s">
        <v>219</v>
      </c>
      <c r="R344" t="s">
        <v>220</v>
      </c>
      <c r="S344" t="s">
        <v>221</v>
      </c>
      <c r="T344" t="s">
        <v>221</v>
      </c>
    </row>
    <row r="345" spans="1:20">
      <c r="A345" s="241">
        <v>44001</v>
      </c>
      <c r="B345" t="s">
        <v>2371</v>
      </c>
      <c r="C345" t="s">
        <v>615</v>
      </c>
      <c r="D345" t="s">
        <v>645</v>
      </c>
      <c r="E345" t="s">
        <v>250</v>
      </c>
      <c r="F345" t="s">
        <v>445</v>
      </c>
      <c r="G345" t="s">
        <v>1841</v>
      </c>
      <c r="H345" t="s">
        <v>366</v>
      </c>
      <c r="I345" t="s">
        <v>357</v>
      </c>
      <c r="J345" t="s">
        <v>2372</v>
      </c>
      <c r="K345" t="s">
        <v>280</v>
      </c>
      <c r="L345">
        <v>0.86</v>
      </c>
      <c r="M345" t="s">
        <v>2373</v>
      </c>
      <c r="N345" t="s">
        <v>2374</v>
      </c>
      <c r="O345" t="s">
        <v>2375</v>
      </c>
      <c r="P345" t="s">
        <v>485</v>
      </c>
      <c r="Q345" t="s">
        <v>219</v>
      </c>
      <c r="R345" t="s">
        <v>220</v>
      </c>
      <c r="S345" t="s">
        <v>221</v>
      </c>
      <c r="T345" t="s">
        <v>221</v>
      </c>
    </row>
    <row r="346" spans="1:20">
      <c r="A346" s="241">
        <v>44001</v>
      </c>
      <c r="B346" t="s">
        <v>2376</v>
      </c>
      <c r="C346" t="s">
        <v>274</v>
      </c>
      <c r="D346" t="s">
        <v>712</v>
      </c>
      <c r="E346" t="s">
        <v>225</v>
      </c>
      <c r="F346" t="s">
        <v>354</v>
      </c>
      <c r="G346" t="s">
        <v>365</v>
      </c>
      <c r="H346" t="s">
        <v>1467</v>
      </c>
      <c r="I346" t="s">
        <v>1859</v>
      </c>
      <c r="J346" t="s">
        <v>1116</v>
      </c>
      <c r="K346" t="s">
        <v>666</v>
      </c>
      <c r="L346">
        <v>0.86</v>
      </c>
      <c r="M346" t="s">
        <v>2377</v>
      </c>
      <c r="N346" t="s">
        <v>2378</v>
      </c>
      <c r="O346" t="s">
        <v>2379</v>
      </c>
      <c r="P346" t="s">
        <v>485</v>
      </c>
      <c r="Q346" t="s">
        <v>219</v>
      </c>
      <c r="R346" t="s">
        <v>220</v>
      </c>
      <c r="S346" t="s">
        <v>221</v>
      </c>
      <c r="T346" t="s">
        <v>221</v>
      </c>
    </row>
    <row r="347" spans="1:20">
      <c r="A347" s="241">
        <v>44001</v>
      </c>
      <c r="B347" t="s">
        <v>2380</v>
      </c>
      <c r="C347" t="s">
        <v>294</v>
      </c>
      <c r="D347" t="s">
        <v>625</v>
      </c>
      <c r="E347" t="s">
        <v>225</v>
      </c>
      <c r="F347" t="s">
        <v>344</v>
      </c>
      <c r="G347" t="s">
        <v>1115</v>
      </c>
      <c r="H347" t="s">
        <v>395</v>
      </c>
      <c r="I347" t="s">
        <v>1547</v>
      </c>
      <c r="J347" t="s">
        <v>368</v>
      </c>
      <c r="K347" t="s">
        <v>327</v>
      </c>
      <c r="L347">
        <v>0.86</v>
      </c>
      <c r="M347" t="s">
        <v>2381</v>
      </c>
      <c r="N347" t="s">
        <v>2382</v>
      </c>
      <c r="O347" t="s">
        <v>2383</v>
      </c>
      <c r="P347" t="s">
        <v>485</v>
      </c>
      <c r="Q347" t="s">
        <v>219</v>
      </c>
      <c r="R347" t="s">
        <v>220</v>
      </c>
      <c r="S347" t="s">
        <v>221</v>
      </c>
      <c r="T347" t="s">
        <v>221</v>
      </c>
    </row>
    <row r="348" spans="1:20">
      <c r="A348" s="241">
        <v>44001</v>
      </c>
      <c r="B348" t="s">
        <v>2384</v>
      </c>
      <c r="C348" t="s">
        <v>294</v>
      </c>
      <c r="D348" t="s">
        <v>645</v>
      </c>
      <c r="E348" t="s">
        <v>632</v>
      </c>
      <c r="F348" t="s">
        <v>887</v>
      </c>
      <c r="G348" t="s">
        <v>384</v>
      </c>
      <c r="H348" t="s">
        <v>1291</v>
      </c>
      <c r="I348" t="s">
        <v>376</v>
      </c>
      <c r="J348" t="s">
        <v>368</v>
      </c>
      <c r="K348" t="s">
        <v>327</v>
      </c>
      <c r="L348">
        <v>0.86</v>
      </c>
      <c r="M348" t="s">
        <v>2385</v>
      </c>
      <c r="N348" t="s">
        <v>2386</v>
      </c>
      <c r="O348" t="s">
        <v>2387</v>
      </c>
      <c r="P348" t="s">
        <v>485</v>
      </c>
      <c r="Q348" t="s">
        <v>219</v>
      </c>
      <c r="R348" t="s">
        <v>220</v>
      </c>
      <c r="S348" t="s">
        <v>221</v>
      </c>
      <c r="T348" t="s">
        <v>221</v>
      </c>
    </row>
    <row r="349" spans="1:20">
      <c r="A349" s="241">
        <v>44001</v>
      </c>
      <c r="B349" t="s">
        <v>2388</v>
      </c>
      <c r="C349" t="s">
        <v>631</v>
      </c>
      <c r="D349" t="s">
        <v>294</v>
      </c>
      <c r="E349" t="s">
        <v>597</v>
      </c>
      <c r="F349" t="s">
        <v>1541</v>
      </c>
      <c r="G349" t="s">
        <v>404</v>
      </c>
      <c r="H349" t="s">
        <v>1552</v>
      </c>
      <c r="I349" t="s">
        <v>683</v>
      </c>
      <c r="J349" t="s">
        <v>684</v>
      </c>
      <c r="K349" t="s">
        <v>666</v>
      </c>
      <c r="L349">
        <v>0.86</v>
      </c>
      <c r="M349" t="s">
        <v>2389</v>
      </c>
      <c r="N349" t="s">
        <v>2390</v>
      </c>
      <c r="O349" t="s">
        <v>2391</v>
      </c>
      <c r="P349" t="s">
        <v>485</v>
      </c>
      <c r="Q349" t="s">
        <v>219</v>
      </c>
      <c r="R349" t="s">
        <v>220</v>
      </c>
      <c r="S349" t="s">
        <v>221</v>
      </c>
      <c r="T349" t="s">
        <v>221</v>
      </c>
    </row>
    <row r="350" spans="1:20">
      <c r="A350" s="241">
        <v>44001</v>
      </c>
      <c r="B350" t="s">
        <v>2392</v>
      </c>
      <c r="C350" t="s">
        <v>442</v>
      </c>
      <c r="D350" t="s">
        <v>645</v>
      </c>
      <c r="E350" t="s">
        <v>597</v>
      </c>
      <c r="F350" t="s">
        <v>393</v>
      </c>
      <c r="G350" t="s">
        <v>2393</v>
      </c>
      <c r="H350" t="s">
        <v>1574</v>
      </c>
      <c r="I350" t="s">
        <v>396</v>
      </c>
      <c r="J350" t="s">
        <v>912</v>
      </c>
      <c r="K350" t="s">
        <v>327</v>
      </c>
      <c r="L350">
        <v>0.86</v>
      </c>
      <c r="M350" t="s">
        <v>2394</v>
      </c>
      <c r="N350" t="s">
        <v>2395</v>
      </c>
      <c r="O350" t="s">
        <v>2396</v>
      </c>
      <c r="P350" t="s">
        <v>485</v>
      </c>
      <c r="Q350" t="s">
        <v>219</v>
      </c>
      <c r="R350" t="s">
        <v>220</v>
      </c>
      <c r="S350" t="s">
        <v>221</v>
      </c>
      <c r="T350" t="s">
        <v>221</v>
      </c>
    </row>
    <row r="351" spans="1:20">
      <c r="A351" s="241">
        <v>44001</v>
      </c>
      <c r="B351" t="s">
        <v>2397</v>
      </c>
      <c r="C351" t="s">
        <v>442</v>
      </c>
      <c r="D351" t="s">
        <v>671</v>
      </c>
      <c r="E351" t="s">
        <v>597</v>
      </c>
      <c r="F351" t="s">
        <v>344</v>
      </c>
      <c r="G351" t="s">
        <v>425</v>
      </c>
      <c r="H351" t="s">
        <v>295</v>
      </c>
      <c r="I351" t="s">
        <v>911</v>
      </c>
      <c r="J351" t="s">
        <v>1569</v>
      </c>
      <c r="K351" t="s">
        <v>666</v>
      </c>
      <c r="L351">
        <v>0.86</v>
      </c>
      <c r="M351" t="s">
        <v>2398</v>
      </c>
      <c r="N351" t="s">
        <v>2399</v>
      </c>
      <c r="O351" t="s">
        <v>2400</v>
      </c>
      <c r="P351" t="s">
        <v>485</v>
      </c>
      <c r="Q351" t="s">
        <v>219</v>
      </c>
      <c r="R351" t="s">
        <v>220</v>
      </c>
      <c r="S351" t="s">
        <v>221</v>
      </c>
      <c r="T351" t="s">
        <v>221</v>
      </c>
    </row>
    <row r="352" spans="1:20">
      <c r="A352" s="241">
        <v>44001</v>
      </c>
      <c r="B352" t="s">
        <v>2401</v>
      </c>
      <c r="C352" t="s">
        <v>712</v>
      </c>
      <c r="D352" t="s">
        <v>671</v>
      </c>
      <c r="E352" t="s">
        <v>304</v>
      </c>
      <c r="F352" t="s">
        <v>1164</v>
      </c>
      <c r="G352" t="s">
        <v>697</v>
      </c>
      <c r="H352" t="s">
        <v>1109</v>
      </c>
      <c r="I352" t="s">
        <v>1923</v>
      </c>
      <c r="J352" t="s">
        <v>407</v>
      </c>
      <c r="K352" t="s">
        <v>349</v>
      </c>
      <c r="L352">
        <v>0.86</v>
      </c>
      <c r="M352" t="s">
        <v>2402</v>
      </c>
      <c r="N352" t="s">
        <v>2403</v>
      </c>
      <c r="O352" t="s">
        <v>2404</v>
      </c>
      <c r="P352" t="s">
        <v>485</v>
      </c>
      <c r="Q352" t="s">
        <v>219</v>
      </c>
      <c r="R352" t="s">
        <v>220</v>
      </c>
      <c r="S352" t="s">
        <v>221</v>
      </c>
      <c r="T352" t="s">
        <v>221</v>
      </c>
    </row>
    <row r="353" spans="1:20">
      <c r="A353" s="241">
        <v>44001</v>
      </c>
      <c r="B353" t="s">
        <v>2405</v>
      </c>
      <c r="C353" t="s">
        <v>625</v>
      </c>
      <c r="D353" t="s">
        <v>625</v>
      </c>
      <c r="E353" t="s">
        <v>597</v>
      </c>
      <c r="F353" t="s">
        <v>1584</v>
      </c>
      <c r="G353" t="s">
        <v>1146</v>
      </c>
      <c r="H353" t="s">
        <v>639</v>
      </c>
      <c r="I353" t="s">
        <v>436</v>
      </c>
      <c r="J353" t="s">
        <v>417</v>
      </c>
      <c r="K353" t="s">
        <v>359</v>
      </c>
      <c r="L353">
        <v>0.86</v>
      </c>
      <c r="M353" t="s">
        <v>2406</v>
      </c>
      <c r="N353" t="s">
        <v>2407</v>
      </c>
      <c r="O353" t="s">
        <v>2408</v>
      </c>
      <c r="P353" t="s">
        <v>485</v>
      </c>
      <c r="Q353" t="s">
        <v>219</v>
      </c>
      <c r="R353" t="s">
        <v>220</v>
      </c>
      <c r="S353" t="s">
        <v>221</v>
      </c>
      <c r="T353" t="s">
        <v>221</v>
      </c>
    </row>
    <row r="354" spans="1:20">
      <c r="A354" s="241">
        <v>44001</v>
      </c>
      <c r="B354" t="s">
        <v>2409</v>
      </c>
      <c r="C354" t="s">
        <v>712</v>
      </c>
      <c r="D354" t="s">
        <v>615</v>
      </c>
      <c r="E354" t="s">
        <v>1314</v>
      </c>
      <c r="F354" t="s">
        <v>403</v>
      </c>
      <c r="G354" t="s">
        <v>414</v>
      </c>
      <c r="H354" t="s">
        <v>2410</v>
      </c>
      <c r="I354" t="s">
        <v>427</v>
      </c>
      <c r="J354" t="s">
        <v>1304</v>
      </c>
      <c r="K354" t="s">
        <v>359</v>
      </c>
      <c r="L354">
        <v>0.86</v>
      </c>
      <c r="M354" t="s">
        <v>2411</v>
      </c>
      <c r="N354" t="s">
        <v>2412</v>
      </c>
      <c r="O354" t="s">
        <v>2413</v>
      </c>
      <c r="P354" t="s">
        <v>485</v>
      </c>
      <c r="Q354" t="s">
        <v>219</v>
      </c>
      <c r="R354" t="s">
        <v>220</v>
      </c>
      <c r="S354" t="s">
        <v>221</v>
      </c>
      <c r="T354" t="s">
        <v>221</v>
      </c>
    </row>
    <row r="355" spans="1:20">
      <c r="A355" s="241">
        <v>44001</v>
      </c>
      <c r="B355" t="s">
        <v>2414</v>
      </c>
      <c r="C355" t="s">
        <v>645</v>
      </c>
      <c r="D355" t="s">
        <v>442</v>
      </c>
      <c r="E355" t="s">
        <v>1314</v>
      </c>
      <c r="F355" t="s">
        <v>727</v>
      </c>
      <c r="G355" t="s">
        <v>705</v>
      </c>
      <c r="H355" t="s">
        <v>454</v>
      </c>
      <c r="I355" t="s">
        <v>1165</v>
      </c>
      <c r="J355" t="s">
        <v>940</v>
      </c>
      <c r="K355" t="s">
        <v>666</v>
      </c>
      <c r="L355">
        <v>0.86</v>
      </c>
      <c r="M355" t="s">
        <v>2415</v>
      </c>
      <c r="N355" t="s">
        <v>2416</v>
      </c>
      <c r="O355" t="s">
        <v>2417</v>
      </c>
      <c r="P355" t="s">
        <v>485</v>
      </c>
      <c r="Q355" t="s">
        <v>219</v>
      </c>
      <c r="R355" t="s">
        <v>220</v>
      </c>
      <c r="S355" t="s">
        <v>221</v>
      </c>
      <c r="T355" t="s">
        <v>221</v>
      </c>
    </row>
    <row r="356" spans="1:20">
      <c r="A356" s="241">
        <v>44001</v>
      </c>
      <c r="B356" t="s">
        <v>2418</v>
      </c>
      <c r="C356" t="s">
        <v>1139</v>
      </c>
      <c r="D356" t="s">
        <v>645</v>
      </c>
      <c r="E356" t="s">
        <v>632</v>
      </c>
      <c r="F356" t="s">
        <v>1945</v>
      </c>
      <c r="G356" t="s">
        <v>2419</v>
      </c>
      <c r="H356" t="s">
        <v>364</v>
      </c>
      <c r="I356" t="s">
        <v>1631</v>
      </c>
      <c r="J356" t="s">
        <v>730</v>
      </c>
      <c r="K356" t="s">
        <v>700</v>
      </c>
      <c r="L356">
        <v>0.86</v>
      </c>
      <c r="M356" t="s">
        <v>2420</v>
      </c>
      <c r="N356" t="s">
        <v>2421</v>
      </c>
      <c r="O356" t="s">
        <v>2422</v>
      </c>
      <c r="P356" t="s">
        <v>485</v>
      </c>
      <c r="Q356" t="s">
        <v>219</v>
      </c>
      <c r="R356" t="s">
        <v>220</v>
      </c>
      <c r="S356" t="s">
        <v>221</v>
      </c>
      <c r="T356" t="s">
        <v>221</v>
      </c>
    </row>
    <row r="357" spans="1:20">
      <c r="A357" s="241">
        <v>44001</v>
      </c>
      <c r="B357" t="s">
        <v>2423</v>
      </c>
      <c r="C357" t="s">
        <v>1665</v>
      </c>
      <c r="D357" t="s">
        <v>1357</v>
      </c>
      <c r="E357" t="s">
        <v>442</v>
      </c>
      <c r="F357" t="s">
        <v>960</v>
      </c>
      <c r="G357" t="s">
        <v>2424</v>
      </c>
      <c r="H357" t="s">
        <v>476</v>
      </c>
      <c r="I357" t="s">
        <v>2425</v>
      </c>
      <c r="J357" t="s">
        <v>964</v>
      </c>
      <c r="K357" t="s">
        <v>2426</v>
      </c>
      <c r="L357">
        <v>0.89</v>
      </c>
      <c r="M357" t="s">
        <v>2427</v>
      </c>
      <c r="N357" t="s">
        <v>2428</v>
      </c>
      <c r="O357" t="s">
        <v>2429</v>
      </c>
      <c r="P357" t="s">
        <v>485</v>
      </c>
      <c r="Q357" t="s">
        <v>219</v>
      </c>
      <c r="R357" t="s">
        <v>220</v>
      </c>
      <c r="S357" t="s">
        <v>221</v>
      </c>
      <c r="T357" t="s">
        <v>221</v>
      </c>
    </row>
    <row r="358" spans="1:20">
      <c r="A358" s="241">
        <v>44001</v>
      </c>
      <c r="B358" t="s">
        <v>2430</v>
      </c>
      <c r="C358" t="s">
        <v>1376</v>
      </c>
      <c r="D358" t="s">
        <v>2431</v>
      </c>
      <c r="E358" t="s">
        <v>274</v>
      </c>
      <c r="F358" t="s">
        <v>748</v>
      </c>
      <c r="G358" t="s">
        <v>2432</v>
      </c>
      <c r="H358" t="s">
        <v>1667</v>
      </c>
      <c r="I358" t="s">
        <v>2433</v>
      </c>
      <c r="J358" t="s">
        <v>2434</v>
      </c>
      <c r="K358" t="s">
        <v>2435</v>
      </c>
      <c r="L358">
        <v>0.89</v>
      </c>
      <c r="M358" t="s">
        <v>2436</v>
      </c>
      <c r="N358" t="s">
        <v>2437</v>
      </c>
      <c r="O358" t="s">
        <v>2438</v>
      </c>
      <c r="P358" t="s">
        <v>485</v>
      </c>
      <c r="Q358" t="s">
        <v>219</v>
      </c>
      <c r="R358" t="s">
        <v>220</v>
      </c>
      <c r="S358" t="s">
        <v>221</v>
      </c>
      <c r="T358" t="s">
        <v>221</v>
      </c>
    </row>
    <row r="359" spans="1:20">
      <c r="A359" s="241">
        <v>44001</v>
      </c>
      <c r="B359" t="s">
        <v>2439</v>
      </c>
      <c r="C359" t="s">
        <v>959</v>
      </c>
      <c r="D359" t="s">
        <v>1348</v>
      </c>
      <c r="E359" t="s">
        <v>261</v>
      </c>
      <c r="F359" t="s">
        <v>757</v>
      </c>
      <c r="G359" t="s">
        <v>2440</v>
      </c>
      <c r="H359" t="s">
        <v>2441</v>
      </c>
      <c r="I359" t="s">
        <v>2442</v>
      </c>
      <c r="J359" t="s">
        <v>1988</v>
      </c>
      <c r="K359" t="s">
        <v>2443</v>
      </c>
      <c r="L359">
        <v>0.89</v>
      </c>
      <c r="M359" t="s">
        <v>2444</v>
      </c>
      <c r="N359" t="s">
        <v>2445</v>
      </c>
      <c r="O359" t="s">
        <v>2446</v>
      </c>
      <c r="P359" t="s">
        <v>485</v>
      </c>
      <c r="Q359" t="s">
        <v>219</v>
      </c>
      <c r="R359" t="s">
        <v>220</v>
      </c>
      <c r="S359" t="s">
        <v>221</v>
      </c>
      <c r="T359" t="s">
        <v>221</v>
      </c>
    </row>
    <row r="360" spans="1:20">
      <c r="A360" s="241">
        <v>44001</v>
      </c>
      <c r="B360" t="s">
        <v>2447</v>
      </c>
      <c r="C360" t="s">
        <v>736</v>
      </c>
      <c r="D360" t="s">
        <v>2448</v>
      </c>
      <c r="E360" t="s">
        <v>273</v>
      </c>
      <c r="F360" t="s">
        <v>2239</v>
      </c>
      <c r="G360" t="s">
        <v>1206</v>
      </c>
      <c r="H360" t="s">
        <v>2449</v>
      </c>
      <c r="I360" t="s">
        <v>992</v>
      </c>
      <c r="J360" t="s">
        <v>2450</v>
      </c>
      <c r="K360" t="s">
        <v>1660</v>
      </c>
      <c r="L360">
        <v>0.89</v>
      </c>
      <c r="M360" t="s">
        <v>2451</v>
      </c>
      <c r="N360" t="s">
        <v>2452</v>
      </c>
      <c r="O360" t="s">
        <v>2453</v>
      </c>
      <c r="P360" t="s">
        <v>485</v>
      </c>
      <c r="Q360" t="s">
        <v>219</v>
      </c>
      <c r="R360" t="s">
        <v>220</v>
      </c>
      <c r="S360" t="s">
        <v>221</v>
      </c>
      <c r="T360" t="s">
        <v>221</v>
      </c>
    </row>
    <row r="361" spans="1:20">
      <c r="A361" s="241">
        <v>44001</v>
      </c>
      <c r="B361" t="s">
        <v>2454</v>
      </c>
      <c r="C361" t="s">
        <v>614</v>
      </c>
      <c r="D361" t="s">
        <v>614</v>
      </c>
      <c r="E361" t="s">
        <v>812</v>
      </c>
      <c r="F361" t="s">
        <v>531</v>
      </c>
      <c r="G361" t="s">
        <v>2455</v>
      </c>
      <c r="H361" t="s">
        <v>2456</v>
      </c>
      <c r="I361" t="s">
        <v>2457</v>
      </c>
      <c r="J361" t="s">
        <v>1002</v>
      </c>
      <c r="K361" t="s">
        <v>2458</v>
      </c>
      <c r="L361">
        <v>0.87</v>
      </c>
      <c r="M361" t="s">
        <v>2459</v>
      </c>
      <c r="N361" t="s">
        <v>2460</v>
      </c>
      <c r="O361" t="s">
        <v>2461</v>
      </c>
      <c r="P361" t="s">
        <v>485</v>
      </c>
      <c r="Q361" t="s">
        <v>219</v>
      </c>
      <c r="R361" t="s">
        <v>220</v>
      </c>
      <c r="S361" t="s">
        <v>221</v>
      </c>
      <c r="T361" t="s">
        <v>221</v>
      </c>
    </row>
    <row r="362" spans="1:20">
      <c r="A362" s="241">
        <v>44001</v>
      </c>
      <c r="B362" t="s">
        <v>2462</v>
      </c>
      <c r="C362" t="s">
        <v>645</v>
      </c>
      <c r="D362" t="s">
        <v>274</v>
      </c>
      <c r="E362" t="s">
        <v>597</v>
      </c>
      <c r="F362" t="s">
        <v>1397</v>
      </c>
      <c r="G362" t="s">
        <v>2463</v>
      </c>
      <c r="H362" t="s">
        <v>1018</v>
      </c>
      <c r="I362" t="s">
        <v>1686</v>
      </c>
      <c r="J362" t="s">
        <v>1392</v>
      </c>
      <c r="K362" t="s">
        <v>1406</v>
      </c>
      <c r="L362">
        <v>0.87</v>
      </c>
      <c r="M362" t="s">
        <v>2464</v>
      </c>
      <c r="N362" t="s">
        <v>2465</v>
      </c>
      <c r="O362" t="s">
        <v>2466</v>
      </c>
      <c r="P362" t="s">
        <v>485</v>
      </c>
      <c r="Q362" t="s">
        <v>219</v>
      </c>
      <c r="R362" t="s">
        <v>220</v>
      </c>
      <c r="S362" t="s">
        <v>221</v>
      </c>
      <c r="T362" t="s">
        <v>221</v>
      </c>
    </row>
    <row r="363" spans="1:20">
      <c r="A363" s="241">
        <v>44001</v>
      </c>
      <c r="B363" t="s">
        <v>2467</v>
      </c>
      <c r="C363" t="s">
        <v>679</v>
      </c>
      <c r="D363" t="s">
        <v>625</v>
      </c>
      <c r="E363" t="s">
        <v>304</v>
      </c>
      <c r="F363" t="s">
        <v>265</v>
      </c>
      <c r="G363" t="s">
        <v>2034</v>
      </c>
      <c r="H363" t="s">
        <v>1009</v>
      </c>
      <c r="I363" t="s">
        <v>1698</v>
      </c>
      <c r="J363" t="s">
        <v>1687</v>
      </c>
      <c r="K363" t="s">
        <v>1003</v>
      </c>
      <c r="L363">
        <v>0.86</v>
      </c>
      <c r="M363" t="s">
        <v>2468</v>
      </c>
      <c r="N363" t="s">
        <v>2469</v>
      </c>
      <c r="O363" t="s">
        <v>2470</v>
      </c>
      <c r="P363" t="s">
        <v>485</v>
      </c>
      <c r="Q363" t="s">
        <v>219</v>
      </c>
      <c r="R363" t="s">
        <v>220</v>
      </c>
      <c r="S363" t="s">
        <v>221</v>
      </c>
      <c r="T363" t="s">
        <v>221</v>
      </c>
    </row>
    <row r="364" spans="1:20">
      <c r="A364" s="241">
        <v>44001</v>
      </c>
      <c r="B364" t="s">
        <v>2471</v>
      </c>
      <c r="C364" t="s">
        <v>615</v>
      </c>
      <c r="D364" t="s">
        <v>712</v>
      </c>
      <c r="E364" t="s">
        <v>597</v>
      </c>
      <c r="F364" t="s">
        <v>1057</v>
      </c>
      <c r="G364" t="s">
        <v>520</v>
      </c>
      <c r="H364" t="s">
        <v>1716</v>
      </c>
      <c r="I364" t="s">
        <v>2472</v>
      </c>
      <c r="J364" t="s">
        <v>2473</v>
      </c>
      <c r="K364" t="s">
        <v>1012</v>
      </c>
      <c r="L364">
        <v>0.86</v>
      </c>
      <c r="M364" t="s">
        <v>2474</v>
      </c>
      <c r="N364" t="s">
        <v>2475</v>
      </c>
      <c r="O364" t="s">
        <v>2476</v>
      </c>
      <c r="P364" t="s">
        <v>485</v>
      </c>
      <c r="Q364" t="s">
        <v>219</v>
      </c>
      <c r="R364" t="s">
        <v>220</v>
      </c>
      <c r="S364" t="s">
        <v>221</v>
      </c>
      <c r="T364" t="s">
        <v>221</v>
      </c>
    </row>
    <row r="365" spans="1:20">
      <c r="A365" s="241">
        <v>44001</v>
      </c>
      <c r="B365" t="s">
        <v>2477</v>
      </c>
      <c r="C365" t="s">
        <v>614</v>
      </c>
      <c r="D365" t="s">
        <v>2478</v>
      </c>
      <c r="E365" t="s">
        <v>606</v>
      </c>
      <c r="F365" t="s">
        <v>1069</v>
      </c>
      <c r="G365" t="s">
        <v>786</v>
      </c>
      <c r="H365" t="s">
        <v>541</v>
      </c>
      <c r="I365" t="s">
        <v>2024</v>
      </c>
      <c r="J365" t="s">
        <v>2473</v>
      </c>
      <c r="K365" t="s">
        <v>1012</v>
      </c>
      <c r="L365">
        <v>0.87</v>
      </c>
      <c r="M365" t="s">
        <v>2479</v>
      </c>
      <c r="N365" t="s">
        <v>2480</v>
      </c>
      <c r="O365" t="s">
        <v>2481</v>
      </c>
      <c r="P365" t="s">
        <v>485</v>
      </c>
      <c r="Q365" t="s">
        <v>219</v>
      </c>
      <c r="R365" t="s">
        <v>220</v>
      </c>
      <c r="S365" t="s">
        <v>221</v>
      </c>
      <c r="T365" t="s">
        <v>221</v>
      </c>
    </row>
    <row r="366" spans="1:20">
      <c r="A366" s="241">
        <v>44001</v>
      </c>
      <c r="B366" t="s">
        <v>2482</v>
      </c>
      <c r="C366" t="s">
        <v>645</v>
      </c>
      <c r="D366" t="s">
        <v>671</v>
      </c>
      <c r="E366" t="s">
        <v>597</v>
      </c>
      <c r="F366" t="s">
        <v>600</v>
      </c>
      <c r="G366" t="s">
        <v>792</v>
      </c>
      <c r="H366" t="s">
        <v>799</v>
      </c>
      <c r="I366" t="s">
        <v>542</v>
      </c>
      <c r="J366" t="s">
        <v>1233</v>
      </c>
      <c r="K366" t="s">
        <v>1406</v>
      </c>
      <c r="L366">
        <v>0.86</v>
      </c>
      <c r="M366" t="s">
        <v>2483</v>
      </c>
      <c r="N366" t="s">
        <v>2484</v>
      </c>
      <c r="O366" t="s">
        <v>2485</v>
      </c>
      <c r="P366" t="s">
        <v>485</v>
      </c>
      <c r="Q366" t="s">
        <v>219</v>
      </c>
      <c r="R366" t="s">
        <v>220</v>
      </c>
      <c r="S366" t="s">
        <v>221</v>
      </c>
      <c r="T366" t="s">
        <v>221</v>
      </c>
    </row>
    <row r="367" spans="1:20">
      <c r="A367" s="241">
        <v>44001</v>
      </c>
      <c r="B367" t="s">
        <v>2486</v>
      </c>
      <c r="C367" t="s">
        <v>625</v>
      </c>
      <c r="D367" t="s">
        <v>645</v>
      </c>
      <c r="E367" t="s">
        <v>812</v>
      </c>
      <c r="F367" t="s">
        <v>822</v>
      </c>
      <c r="G367" t="s">
        <v>2080</v>
      </c>
      <c r="H367" t="s">
        <v>1038</v>
      </c>
      <c r="I367" t="s">
        <v>212</v>
      </c>
      <c r="J367" t="s">
        <v>1240</v>
      </c>
      <c r="K367" t="s">
        <v>524</v>
      </c>
      <c r="L367">
        <v>0.86</v>
      </c>
      <c r="M367" t="s">
        <v>2487</v>
      </c>
      <c r="N367" t="s">
        <v>2488</v>
      </c>
      <c r="O367" t="s">
        <v>2489</v>
      </c>
      <c r="P367" t="s">
        <v>485</v>
      </c>
      <c r="Q367" t="s">
        <v>219</v>
      </c>
      <c r="R367" t="s">
        <v>220</v>
      </c>
      <c r="S367" t="s">
        <v>221</v>
      </c>
      <c r="T367" t="s">
        <v>221</v>
      </c>
    </row>
    <row r="368" spans="1:20">
      <c r="A368" s="241">
        <v>44001</v>
      </c>
      <c r="B368" t="s">
        <v>2490</v>
      </c>
      <c r="C368" t="s">
        <v>645</v>
      </c>
      <c r="D368" t="s">
        <v>645</v>
      </c>
      <c r="E368" t="s">
        <v>632</v>
      </c>
      <c r="F368" t="s">
        <v>316</v>
      </c>
      <c r="G368" t="s">
        <v>1420</v>
      </c>
      <c r="H368" t="s">
        <v>1257</v>
      </c>
      <c r="I368" t="s">
        <v>1031</v>
      </c>
      <c r="J368" t="s">
        <v>1240</v>
      </c>
      <c r="K368" t="s">
        <v>1012</v>
      </c>
      <c r="L368">
        <v>0.86</v>
      </c>
      <c r="M368" t="s">
        <v>2491</v>
      </c>
      <c r="N368" t="s">
        <v>2492</v>
      </c>
      <c r="O368" t="s">
        <v>2493</v>
      </c>
      <c r="P368" t="s">
        <v>485</v>
      </c>
      <c r="Q368" t="s">
        <v>219</v>
      </c>
      <c r="R368" t="s">
        <v>220</v>
      </c>
      <c r="S368" t="s">
        <v>221</v>
      </c>
      <c r="T368" t="s">
        <v>221</v>
      </c>
    </row>
    <row r="369" spans="1:20">
      <c r="A369" s="241">
        <v>44001</v>
      </c>
      <c r="B369" t="s">
        <v>2494</v>
      </c>
      <c r="C369" t="s">
        <v>631</v>
      </c>
      <c r="D369" t="s">
        <v>645</v>
      </c>
      <c r="E369" t="s">
        <v>680</v>
      </c>
      <c r="F369" t="s">
        <v>346</v>
      </c>
      <c r="G369" t="s">
        <v>1044</v>
      </c>
      <c r="H369" t="s">
        <v>1704</v>
      </c>
      <c r="I369" t="s">
        <v>560</v>
      </c>
      <c r="J369" t="s">
        <v>1039</v>
      </c>
      <c r="K369" t="s">
        <v>524</v>
      </c>
      <c r="L369">
        <v>0.86</v>
      </c>
      <c r="M369" t="s">
        <v>2495</v>
      </c>
      <c r="N369" t="s">
        <v>2496</v>
      </c>
      <c r="O369" t="s">
        <v>2497</v>
      </c>
      <c r="P369" t="s">
        <v>485</v>
      </c>
      <c r="Q369" t="s">
        <v>219</v>
      </c>
      <c r="R369" t="s">
        <v>220</v>
      </c>
      <c r="S369" t="s">
        <v>221</v>
      </c>
      <c r="T369" t="s">
        <v>221</v>
      </c>
    </row>
    <row r="370" spans="1:20">
      <c r="A370" s="241">
        <v>44001</v>
      </c>
      <c r="B370" t="s">
        <v>2498</v>
      </c>
      <c r="C370" t="s">
        <v>645</v>
      </c>
      <c r="D370" t="s">
        <v>679</v>
      </c>
      <c r="E370" t="s">
        <v>304</v>
      </c>
      <c r="F370" t="s">
        <v>346</v>
      </c>
      <c r="G370" t="s">
        <v>210</v>
      </c>
      <c r="H370" t="s">
        <v>228</v>
      </c>
      <c r="I370" t="s">
        <v>816</v>
      </c>
      <c r="J370" t="s">
        <v>817</v>
      </c>
      <c r="K370" t="s">
        <v>534</v>
      </c>
      <c r="L370">
        <v>0.86</v>
      </c>
      <c r="M370" t="s">
        <v>2499</v>
      </c>
      <c r="N370" t="s">
        <v>2500</v>
      </c>
      <c r="O370" t="s">
        <v>2501</v>
      </c>
      <c r="P370" t="s">
        <v>485</v>
      </c>
      <c r="Q370" t="s">
        <v>219</v>
      </c>
      <c r="R370" t="s">
        <v>220</v>
      </c>
      <c r="S370" t="s">
        <v>221</v>
      </c>
      <c r="T370" t="s">
        <v>221</v>
      </c>
    </row>
    <row r="371" spans="1:20">
      <c r="A371" s="241">
        <v>44001</v>
      </c>
      <c r="B371" t="s">
        <v>2502</v>
      </c>
      <c r="C371" t="s">
        <v>679</v>
      </c>
      <c r="D371" t="s">
        <v>671</v>
      </c>
      <c r="E371" t="s">
        <v>696</v>
      </c>
      <c r="F371" t="s">
        <v>356</v>
      </c>
      <c r="G371" t="s">
        <v>567</v>
      </c>
      <c r="H371" t="s">
        <v>2315</v>
      </c>
      <c r="I371" t="s">
        <v>824</v>
      </c>
      <c r="J371" t="s">
        <v>243</v>
      </c>
      <c r="K371" t="s">
        <v>515</v>
      </c>
      <c r="L371">
        <v>0.86</v>
      </c>
      <c r="M371" t="s">
        <v>2503</v>
      </c>
      <c r="N371" t="s">
        <v>2504</v>
      </c>
      <c r="O371" t="s">
        <v>2505</v>
      </c>
      <c r="P371" t="s">
        <v>485</v>
      </c>
      <c r="Q371" t="s">
        <v>219</v>
      </c>
      <c r="R371" t="s">
        <v>220</v>
      </c>
      <c r="S371" t="s">
        <v>221</v>
      </c>
      <c r="T371" t="s">
        <v>221</v>
      </c>
    </row>
    <row r="372" spans="1:20">
      <c r="A372" s="241">
        <v>44001</v>
      </c>
      <c r="B372" t="s">
        <v>2506</v>
      </c>
      <c r="C372" t="s">
        <v>679</v>
      </c>
      <c r="D372" t="s">
        <v>679</v>
      </c>
      <c r="E372" t="s">
        <v>696</v>
      </c>
      <c r="F372" t="s">
        <v>576</v>
      </c>
      <c r="G372" t="s">
        <v>227</v>
      </c>
      <c r="H372" t="s">
        <v>1453</v>
      </c>
      <c r="I372" t="s">
        <v>254</v>
      </c>
      <c r="J372" t="s">
        <v>825</v>
      </c>
      <c r="K372" t="s">
        <v>1032</v>
      </c>
      <c r="L372">
        <v>0.86</v>
      </c>
      <c r="M372" t="s">
        <v>2507</v>
      </c>
      <c r="N372" t="s">
        <v>2508</v>
      </c>
      <c r="O372" t="s">
        <v>2509</v>
      </c>
      <c r="P372" t="s">
        <v>485</v>
      </c>
      <c r="Q372" t="s">
        <v>219</v>
      </c>
      <c r="R372" t="s">
        <v>220</v>
      </c>
      <c r="S372" t="s">
        <v>221</v>
      </c>
      <c r="T372" t="s">
        <v>221</v>
      </c>
    </row>
    <row r="373" spans="1:20">
      <c r="A373" s="241">
        <v>44001</v>
      </c>
      <c r="B373" t="s">
        <v>2510</v>
      </c>
      <c r="C373" t="s">
        <v>614</v>
      </c>
      <c r="D373" t="s">
        <v>712</v>
      </c>
      <c r="E373" t="s">
        <v>606</v>
      </c>
      <c r="F373" t="s">
        <v>1056</v>
      </c>
      <c r="G373" t="s">
        <v>1256</v>
      </c>
      <c r="H373" t="s">
        <v>539</v>
      </c>
      <c r="I373" t="s">
        <v>278</v>
      </c>
      <c r="J373" t="s">
        <v>1786</v>
      </c>
      <c r="K373" t="s">
        <v>571</v>
      </c>
      <c r="L373">
        <v>0.86</v>
      </c>
      <c r="M373" t="s">
        <v>2511</v>
      </c>
      <c r="N373" t="s">
        <v>2512</v>
      </c>
      <c r="O373" t="s">
        <v>2513</v>
      </c>
      <c r="P373" t="s">
        <v>485</v>
      </c>
      <c r="Q373" t="s">
        <v>219</v>
      </c>
      <c r="R373" t="s">
        <v>220</v>
      </c>
      <c r="S373" t="s">
        <v>221</v>
      </c>
      <c r="T373" t="s">
        <v>221</v>
      </c>
    </row>
    <row r="374" spans="1:20">
      <c r="A374" s="241">
        <v>44001</v>
      </c>
      <c r="B374" t="s">
        <v>2514</v>
      </c>
      <c r="C374" t="s">
        <v>625</v>
      </c>
      <c r="D374" t="s">
        <v>631</v>
      </c>
      <c r="E374" t="s">
        <v>646</v>
      </c>
      <c r="F374" t="s">
        <v>590</v>
      </c>
      <c r="G374" t="s">
        <v>1775</v>
      </c>
      <c r="H374" t="s">
        <v>539</v>
      </c>
      <c r="I374" t="s">
        <v>278</v>
      </c>
      <c r="J374" t="s">
        <v>1786</v>
      </c>
      <c r="K374" t="s">
        <v>214</v>
      </c>
      <c r="L374">
        <v>0.86</v>
      </c>
      <c r="M374" t="s">
        <v>2515</v>
      </c>
      <c r="N374" t="s">
        <v>2516</v>
      </c>
      <c r="O374" t="s">
        <v>2517</v>
      </c>
      <c r="P374" t="s">
        <v>485</v>
      </c>
      <c r="Q374" t="s">
        <v>219</v>
      </c>
      <c r="R374" t="s">
        <v>220</v>
      </c>
      <c r="S374" t="s">
        <v>221</v>
      </c>
      <c r="T374" t="s">
        <v>221</v>
      </c>
    </row>
    <row r="375" spans="1:20">
      <c r="A375" s="241">
        <v>44001</v>
      </c>
      <c r="B375" t="s">
        <v>2518</v>
      </c>
      <c r="C375" t="s">
        <v>671</v>
      </c>
      <c r="D375" t="s">
        <v>1079</v>
      </c>
      <c r="E375" t="s">
        <v>1049</v>
      </c>
      <c r="F375" t="s">
        <v>1080</v>
      </c>
      <c r="G375" t="s">
        <v>599</v>
      </c>
      <c r="H375" t="s">
        <v>585</v>
      </c>
      <c r="I375" t="s">
        <v>1264</v>
      </c>
      <c r="J375" t="s">
        <v>267</v>
      </c>
      <c r="K375" t="s">
        <v>534</v>
      </c>
      <c r="L375">
        <v>0.86</v>
      </c>
      <c r="M375" t="s">
        <v>2519</v>
      </c>
      <c r="N375" t="s">
        <v>2520</v>
      </c>
      <c r="O375" t="s">
        <v>2521</v>
      </c>
      <c r="P375" t="s">
        <v>485</v>
      </c>
      <c r="Q375" t="s">
        <v>219</v>
      </c>
      <c r="R375" t="s">
        <v>220</v>
      </c>
      <c r="S375" t="s">
        <v>221</v>
      </c>
      <c r="T375" t="s">
        <v>221</v>
      </c>
    </row>
    <row r="376" spans="1:20">
      <c r="A376" s="241">
        <v>44001</v>
      </c>
      <c r="B376" t="s">
        <v>2522</v>
      </c>
      <c r="C376" t="s">
        <v>392</v>
      </c>
      <c r="D376" t="s">
        <v>712</v>
      </c>
      <c r="E376" t="s">
        <v>1049</v>
      </c>
      <c r="F376" t="s">
        <v>1291</v>
      </c>
      <c r="G376" t="s">
        <v>843</v>
      </c>
      <c r="H376" t="s">
        <v>539</v>
      </c>
      <c r="I376" t="s">
        <v>288</v>
      </c>
      <c r="J376" t="s">
        <v>1070</v>
      </c>
      <c r="K376" t="s">
        <v>231</v>
      </c>
      <c r="L376">
        <v>0.86</v>
      </c>
      <c r="M376" t="s">
        <v>2523</v>
      </c>
      <c r="N376" t="s">
        <v>2524</v>
      </c>
      <c r="O376" t="s">
        <v>2525</v>
      </c>
      <c r="P376" t="s">
        <v>485</v>
      </c>
      <c r="Q376" t="s">
        <v>219</v>
      </c>
      <c r="R376" t="s">
        <v>220</v>
      </c>
      <c r="S376" t="s">
        <v>221</v>
      </c>
      <c r="T376" t="s">
        <v>221</v>
      </c>
    </row>
    <row r="377" spans="1:20">
      <c r="A377" s="241">
        <v>44001</v>
      </c>
      <c r="B377" t="s">
        <v>2526</v>
      </c>
      <c r="C377" t="s">
        <v>625</v>
      </c>
      <c r="D377" t="s">
        <v>208</v>
      </c>
      <c r="E377" t="s">
        <v>646</v>
      </c>
      <c r="F377" t="s">
        <v>405</v>
      </c>
      <c r="G377" t="s">
        <v>591</v>
      </c>
      <c r="H377" t="s">
        <v>862</v>
      </c>
      <c r="I377" t="s">
        <v>308</v>
      </c>
      <c r="J377" t="s">
        <v>850</v>
      </c>
      <c r="K377" t="s">
        <v>214</v>
      </c>
      <c r="L377">
        <v>0.86</v>
      </c>
      <c r="M377" t="s">
        <v>2527</v>
      </c>
      <c r="N377" t="s">
        <v>2528</v>
      </c>
      <c r="O377" t="s">
        <v>2529</v>
      </c>
      <c r="P377" t="s">
        <v>485</v>
      </c>
      <c r="Q377" t="s">
        <v>219</v>
      </c>
      <c r="R377" t="s">
        <v>220</v>
      </c>
      <c r="S377" t="s">
        <v>221</v>
      </c>
      <c r="T377" t="s">
        <v>221</v>
      </c>
    </row>
    <row r="378" spans="1:20">
      <c r="A378" s="241">
        <v>44001</v>
      </c>
      <c r="B378" t="s">
        <v>2530</v>
      </c>
      <c r="C378" t="s">
        <v>1139</v>
      </c>
      <c r="D378" t="s">
        <v>392</v>
      </c>
      <c r="E378" t="s">
        <v>680</v>
      </c>
      <c r="F378" t="s">
        <v>682</v>
      </c>
      <c r="G378" t="s">
        <v>591</v>
      </c>
      <c r="H378" t="s">
        <v>600</v>
      </c>
      <c r="I378" t="s">
        <v>297</v>
      </c>
      <c r="J378" t="s">
        <v>850</v>
      </c>
      <c r="K378" t="s">
        <v>571</v>
      </c>
      <c r="L378">
        <v>0.86</v>
      </c>
      <c r="M378" t="s">
        <v>2531</v>
      </c>
      <c r="N378" t="s">
        <v>2532</v>
      </c>
      <c r="O378" t="s">
        <v>2533</v>
      </c>
      <c r="P378" t="s">
        <v>485</v>
      </c>
      <c r="Q378" t="s">
        <v>219</v>
      </c>
      <c r="R378" t="s">
        <v>220</v>
      </c>
      <c r="S378" t="s">
        <v>221</v>
      </c>
      <c r="T378" t="s">
        <v>221</v>
      </c>
    </row>
    <row r="379" spans="1:20">
      <c r="A379" s="241">
        <v>44001</v>
      </c>
      <c r="B379" t="s">
        <v>2534</v>
      </c>
      <c r="C379" t="s">
        <v>615</v>
      </c>
      <c r="D379" t="s">
        <v>2535</v>
      </c>
      <c r="E379" t="s">
        <v>606</v>
      </c>
      <c r="F379" t="s">
        <v>435</v>
      </c>
      <c r="G379" t="s">
        <v>1462</v>
      </c>
      <c r="H379" t="s">
        <v>584</v>
      </c>
      <c r="I379" t="s">
        <v>1087</v>
      </c>
      <c r="J379" t="s">
        <v>870</v>
      </c>
      <c r="K379" t="s">
        <v>268</v>
      </c>
      <c r="L379">
        <v>0.86</v>
      </c>
      <c r="M379" t="s">
        <v>2536</v>
      </c>
      <c r="N379" t="s">
        <v>2537</v>
      </c>
      <c r="O379" t="s">
        <v>2538</v>
      </c>
      <c r="P379" t="s">
        <v>485</v>
      </c>
      <c r="Q379" t="s">
        <v>219</v>
      </c>
      <c r="R379" t="s">
        <v>220</v>
      </c>
      <c r="S379" t="s">
        <v>221</v>
      </c>
      <c r="T379" t="s">
        <v>221</v>
      </c>
    </row>
    <row r="380" spans="1:20">
      <c r="A380" s="241">
        <v>44001</v>
      </c>
      <c r="B380" t="s">
        <v>2539</v>
      </c>
      <c r="C380" t="s">
        <v>614</v>
      </c>
      <c r="D380" t="s">
        <v>2478</v>
      </c>
      <c r="E380" t="s">
        <v>1049</v>
      </c>
      <c r="F380" t="s">
        <v>354</v>
      </c>
      <c r="G380" t="s">
        <v>1500</v>
      </c>
      <c r="H380" t="s">
        <v>868</v>
      </c>
      <c r="I380" t="s">
        <v>325</v>
      </c>
      <c r="J380" t="s">
        <v>1827</v>
      </c>
      <c r="K380" t="s">
        <v>244</v>
      </c>
      <c r="L380">
        <v>0.86</v>
      </c>
      <c r="M380" t="s">
        <v>2540</v>
      </c>
      <c r="N380" t="s">
        <v>2541</v>
      </c>
      <c r="O380" t="s">
        <v>2542</v>
      </c>
      <c r="P380" t="s">
        <v>485</v>
      </c>
      <c r="Q380" t="s">
        <v>219</v>
      </c>
      <c r="R380" t="s">
        <v>220</v>
      </c>
      <c r="S380" t="s">
        <v>221</v>
      </c>
      <c r="T380" t="s">
        <v>221</v>
      </c>
    </row>
    <row r="381" spans="1:20">
      <c r="A381" s="241">
        <v>44001</v>
      </c>
      <c r="B381" t="s">
        <v>2543</v>
      </c>
      <c r="C381" t="s">
        <v>631</v>
      </c>
      <c r="D381" t="s">
        <v>671</v>
      </c>
      <c r="E381" t="s">
        <v>2544</v>
      </c>
      <c r="F381" t="s">
        <v>2151</v>
      </c>
      <c r="G381" t="s">
        <v>334</v>
      </c>
      <c r="H381" t="s">
        <v>881</v>
      </c>
      <c r="I381" t="s">
        <v>869</v>
      </c>
      <c r="J381" t="s">
        <v>870</v>
      </c>
      <c r="K381" t="s">
        <v>244</v>
      </c>
      <c r="L381">
        <v>0.86</v>
      </c>
      <c r="M381" t="s">
        <v>2545</v>
      </c>
      <c r="N381" t="s">
        <v>2546</v>
      </c>
      <c r="O381" t="s">
        <v>2547</v>
      </c>
      <c r="P381" t="s">
        <v>485</v>
      </c>
      <c r="Q381" t="s">
        <v>219</v>
      </c>
      <c r="R381" t="s">
        <v>220</v>
      </c>
      <c r="S381" t="s">
        <v>221</v>
      </c>
      <c r="T381" t="s">
        <v>221</v>
      </c>
    </row>
    <row r="382" spans="1:20">
      <c r="A382" s="241">
        <v>44001</v>
      </c>
      <c r="B382" t="s">
        <v>2548</v>
      </c>
      <c r="C382" t="s">
        <v>625</v>
      </c>
      <c r="D382" t="s">
        <v>2549</v>
      </c>
      <c r="E382" t="s">
        <v>606</v>
      </c>
      <c r="F382" t="s">
        <v>354</v>
      </c>
      <c r="G382" t="s">
        <v>1477</v>
      </c>
      <c r="H382" t="s">
        <v>566</v>
      </c>
      <c r="I382" t="s">
        <v>1494</v>
      </c>
      <c r="J382" t="s">
        <v>1827</v>
      </c>
      <c r="K382" t="s">
        <v>579</v>
      </c>
      <c r="L382">
        <v>0.86</v>
      </c>
      <c r="M382" t="s">
        <v>2550</v>
      </c>
      <c r="N382" t="s">
        <v>2551</v>
      </c>
      <c r="O382" t="s">
        <v>2552</v>
      </c>
      <c r="P382" t="s">
        <v>485</v>
      </c>
      <c r="Q382" t="s">
        <v>219</v>
      </c>
      <c r="R382" t="s">
        <v>220</v>
      </c>
      <c r="S382" t="s">
        <v>221</v>
      </c>
      <c r="T382" t="s">
        <v>221</v>
      </c>
    </row>
    <row r="383" spans="1:20">
      <c r="A383" s="241">
        <v>44001</v>
      </c>
      <c r="B383" t="s">
        <v>2553</v>
      </c>
      <c r="C383" t="s">
        <v>625</v>
      </c>
      <c r="D383" t="s">
        <v>679</v>
      </c>
      <c r="E383" t="s">
        <v>1314</v>
      </c>
      <c r="F383" t="s">
        <v>633</v>
      </c>
      <c r="G383" t="s">
        <v>1500</v>
      </c>
      <c r="H383" t="s">
        <v>1050</v>
      </c>
      <c r="I383" t="s">
        <v>325</v>
      </c>
      <c r="J383" t="s">
        <v>634</v>
      </c>
      <c r="K383" t="s">
        <v>256</v>
      </c>
      <c r="L383">
        <v>0.86</v>
      </c>
      <c r="M383" t="s">
        <v>2554</v>
      </c>
      <c r="N383" t="s">
        <v>2555</v>
      </c>
      <c r="O383" t="s">
        <v>2556</v>
      </c>
      <c r="P383" t="s">
        <v>485</v>
      </c>
      <c r="Q383" t="s">
        <v>219</v>
      </c>
      <c r="R383" t="s">
        <v>220</v>
      </c>
      <c r="S383" t="s">
        <v>221</v>
      </c>
      <c r="T383" t="s">
        <v>221</v>
      </c>
    </row>
    <row r="384" spans="1:20">
      <c r="A384" s="241">
        <v>44001</v>
      </c>
      <c r="B384" t="s">
        <v>2557</v>
      </c>
      <c r="C384" t="s">
        <v>671</v>
      </c>
      <c r="D384" t="s">
        <v>631</v>
      </c>
      <c r="E384" t="s">
        <v>680</v>
      </c>
      <c r="F384" t="s">
        <v>1620</v>
      </c>
      <c r="G384" t="s">
        <v>1292</v>
      </c>
      <c r="H384" t="s">
        <v>590</v>
      </c>
      <c r="I384" t="s">
        <v>336</v>
      </c>
      <c r="J384" t="s">
        <v>640</v>
      </c>
      <c r="K384" t="s">
        <v>280</v>
      </c>
      <c r="L384">
        <v>0.86</v>
      </c>
      <c r="M384" t="s">
        <v>2558</v>
      </c>
      <c r="N384" t="s">
        <v>2559</v>
      </c>
      <c r="O384" t="s">
        <v>2560</v>
      </c>
      <c r="P384" t="s">
        <v>485</v>
      </c>
      <c r="Q384" t="s">
        <v>219</v>
      </c>
      <c r="R384" t="s">
        <v>220</v>
      </c>
      <c r="S384" t="s">
        <v>221</v>
      </c>
      <c r="T384" t="s">
        <v>221</v>
      </c>
    </row>
    <row r="385" spans="1:20">
      <c r="A385" s="241">
        <v>44001</v>
      </c>
      <c r="B385" t="s">
        <v>2561</v>
      </c>
      <c r="C385" t="s">
        <v>631</v>
      </c>
      <c r="D385" t="s">
        <v>645</v>
      </c>
      <c r="E385" t="s">
        <v>1121</v>
      </c>
      <c r="F385" t="s">
        <v>333</v>
      </c>
      <c r="G385" t="s">
        <v>1104</v>
      </c>
      <c r="H385" t="s">
        <v>1769</v>
      </c>
      <c r="I385" t="s">
        <v>888</v>
      </c>
      <c r="J385" t="s">
        <v>348</v>
      </c>
      <c r="K385" t="s">
        <v>579</v>
      </c>
      <c r="L385">
        <v>0.86</v>
      </c>
      <c r="M385" t="s">
        <v>2562</v>
      </c>
      <c r="N385" t="s">
        <v>2563</v>
      </c>
      <c r="O385" t="s">
        <v>2564</v>
      </c>
      <c r="P385" t="s">
        <v>485</v>
      </c>
      <c r="Q385" t="s">
        <v>219</v>
      </c>
      <c r="R385" t="s">
        <v>220</v>
      </c>
      <c r="S385" t="s">
        <v>221</v>
      </c>
      <c r="T385" t="s">
        <v>221</v>
      </c>
    </row>
    <row r="386" spans="1:20">
      <c r="A386" s="241">
        <v>44001</v>
      </c>
      <c r="B386" t="s">
        <v>2565</v>
      </c>
      <c r="C386" t="s">
        <v>1139</v>
      </c>
      <c r="D386" t="s">
        <v>671</v>
      </c>
      <c r="E386" t="s">
        <v>646</v>
      </c>
      <c r="F386" t="s">
        <v>354</v>
      </c>
      <c r="G386" t="s">
        <v>898</v>
      </c>
      <c r="H386" t="s">
        <v>1080</v>
      </c>
      <c r="I386" t="s">
        <v>1523</v>
      </c>
      <c r="J386" t="s">
        <v>358</v>
      </c>
      <c r="K386" t="s">
        <v>338</v>
      </c>
      <c r="L386">
        <v>0.86</v>
      </c>
      <c r="M386" t="s">
        <v>2566</v>
      </c>
      <c r="N386" t="s">
        <v>2567</v>
      </c>
      <c r="O386" t="s">
        <v>2568</v>
      </c>
      <c r="P386" t="s">
        <v>485</v>
      </c>
      <c r="Q386" t="s">
        <v>219</v>
      </c>
      <c r="R386" t="s">
        <v>220</v>
      </c>
      <c r="S386" t="s">
        <v>221</v>
      </c>
      <c r="T386" t="s">
        <v>221</v>
      </c>
    </row>
    <row r="387" spans="1:20">
      <c r="A387" s="241">
        <v>44001</v>
      </c>
      <c r="B387" t="s">
        <v>2569</v>
      </c>
      <c r="C387" t="s">
        <v>392</v>
      </c>
      <c r="D387" t="s">
        <v>1079</v>
      </c>
      <c r="E387" t="s">
        <v>812</v>
      </c>
      <c r="F387" t="s">
        <v>383</v>
      </c>
      <c r="G387" t="s">
        <v>384</v>
      </c>
      <c r="H387" t="s">
        <v>1769</v>
      </c>
      <c r="I387" t="s">
        <v>1523</v>
      </c>
      <c r="J387" t="s">
        <v>358</v>
      </c>
      <c r="K387" t="s">
        <v>280</v>
      </c>
      <c r="L387">
        <v>0.86</v>
      </c>
      <c r="M387" t="s">
        <v>2570</v>
      </c>
      <c r="N387" t="s">
        <v>2571</v>
      </c>
      <c r="O387" t="s">
        <v>2572</v>
      </c>
      <c r="P387" t="s">
        <v>485</v>
      </c>
      <c r="Q387" t="s">
        <v>219</v>
      </c>
      <c r="R387" t="s">
        <v>220</v>
      </c>
      <c r="S387" t="s">
        <v>221</v>
      </c>
      <c r="T387" t="s">
        <v>221</v>
      </c>
    </row>
    <row r="388" spans="1:20">
      <c r="A388" s="241">
        <v>44001</v>
      </c>
      <c r="B388" t="s">
        <v>2573</v>
      </c>
      <c r="C388" t="s">
        <v>631</v>
      </c>
      <c r="D388" t="s">
        <v>679</v>
      </c>
      <c r="E388" t="s">
        <v>1314</v>
      </c>
      <c r="F388" t="s">
        <v>2574</v>
      </c>
      <c r="G388" t="s">
        <v>2393</v>
      </c>
      <c r="H388" t="s">
        <v>385</v>
      </c>
      <c r="I388" t="s">
        <v>674</v>
      </c>
      <c r="J388" t="s">
        <v>899</v>
      </c>
      <c r="K388" t="s">
        <v>299</v>
      </c>
      <c r="L388">
        <v>0.86</v>
      </c>
      <c r="M388" t="s">
        <v>2575</v>
      </c>
      <c r="N388" t="s">
        <v>2576</v>
      </c>
      <c r="O388" t="s">
        <v>2577</v>
      </c>
      <c r="P388" t="s">
        <v>485</v>
      </c>
      <c r="Q388" t="s">
        <v>219</v>
      </c>
      <c r="R388" t="s">
        <v>220</v>
      </c>
      <c r="S388" t="s">
        <v>221</v>
      </c>
      <c r="T388" t="s">
        <v>221</v>
      </c>
    </row>
    <row r="389" spans="1:20">
      <c r="A389" s="241">
        <v>44001</v>
      </c>
      <c r="B389" t="s">
        <v>2578</v>
      </c>
      <c r="C389" t="s">
        <v>671</v>
      </c>
      <c r="D389" t="s">
        <v>679</v>
      </c>
      <c r="E389" t="s">
        <v>1049</v>
      </c>
      <c r="F389" t="s">
        <v>2579</v>
      </c>
      <c r="G389" t="s">
        <v>1562</v>
      </c>
      <c r="H389" t="s">
        <v>285</v>
      </c>
      <c r="I389" t="s">
        <v>1547</v>
      </c>
      <c r="J389" t="s">
        <v>665</v>
      </c>
      <c r="K389" t="s">
        <v>338</v>
      </c>
      <c r="L389">
        <v>0.86</v>
      </c>
      <c r="M389" t="s">
        <v>2580</v>
      </c>
      <c r="N389" t="s">
        <v>2581</v>
      </c>
      <c r="O389" t="s">
        <v>2582</v>
      </c>
      <c r="P389" t="s">
        <v>485</v>
      </c>
      <c r="Q389" t="s">
        <v>219</v>
      </c>
      <c r="R389" t="s">
        <v>220</v>
      </c>
      <c r="S389" t="s">
        <v>221</v>
      </c>
      <c r="T389" t="s">
        <v>221</v>
      </c>
    </row>
    <row r="390" spans="1:20">
      <c r="A390" s="241">
        <v>44001</v>
      </c>
      <c r="B390" t="s">
        <v>2583</v>
      </c>
      <c r="C390" t="s">
        <v>631</v>
      </c>
      <c r="D390" t="s">
        <v>625</v>
      </c>
      <c r="E390" t="s">
        <v>2584</v>
      </c>
      <c r="F390" t="s">
        <v>1882</v>
      </c>
      <c r="G390" t="s">
        <v>681</v>
      </c>
      <c r="H390" t="s">
        <v>305</v>
      </c>
      <c r="I390" t="s">
        <v>1563</v>
      </c>
      <c r="J390" t="s">
        <v>377</v>
      </c>
      <c r="K390" t="s">
        <v>268</v>
      </c>
      <c r="L390">
        <v>0.86</v>
      </c>
      <c r="M390" t="s">
        <v>2585</v>
      </c>
      <c r="N390" t="s">
        <v>2586</v>
      </c>
      <c r="O390" t="s">
        <v>2587</v>
      </c>
      <c r="P390" t="s">
        <v>485</v>
      </c>
      <c r="Q390" t="s">
        <v>219</v>
      </c>
      <c r="R390" t="s">
        <v>220</v>
      </c>
      <c r="S390" t="s">
        <v>221</v>
      </c>
      <c r="T390" t="s">
        <v>221</v>
      </c>
    </row>
    <row r="391" spans="1:20">
      <c r="A391" s="241">
        <v>44001</v>
      </c>
      <c r="B391" t="s">
        <v>2588</v>
      </c>
      <c r="C391" t="s">
        <v>631</v>
      </c>
      <c r="D391" t="s">
        <v>679</v>
      </c>
      <c r="E391" t="s">
        <v>1314</v>
      </c>
      <c r="F391" t="s">
        <v>1604</v>
      </c>
      <c r="G391" t="s">
        <v>1585</v>
      </c>
      <c r="H391" t="s">
        <v>682</v>
      </c>
      <c r="I391" t="s">
        <v>396</v>
      </c>
      <c r="J391" t="s">
        <v>912</v>
      </c>
      <c r="K391" t="s">
        <v>327</v>
      </c>
      <c r="L391">
        <v>0.86</v>
      </c>
      <c r="M391" t="s">
        <v>2589</v>
      </c>
      <c r="N391" t="s">
        <v>2590</v>
      </c>
      <c r="O391" t="s">
        <v>2591</v>
      </c>
      <c r="P391" t="s">
        <v>485</v>
      </c>
      <c r="Q391" t="s">
        <v>219</v>
      </c>
      <c r="R391" t="s">
        <v>220</v>
      </c>
      <c r="S391" t="s">
        <v>221</v>
      </c>
      <c r="T391" t="s">
        <v>221</v>
      </c>
    </row>
    <row r="392" spans="1:20">
      <c r="A392" s="241">
        <v>44001</v>
      </c>
      <c r="B392" t="s">
        <v>2592</v>
      </c>
      <c r="C392" t="s">
        <v>712</v>
      </c>
      <c r="D392" t="s">
        <v>1139</v>
      </c>
      <c r="E392" t="s">
        <v>1102</v>
      </c>
      <c r="F392" t="s">
        <v>1541</v>
      </c>
      <c r="G392" t="s">
        <v>1297</v>
      </c>
      <c r="H392" t="s">
        <v>1511</v>
      </c>
      <c r="I392" t="s">
        <v>396</v>
      </c>
      <c r="J392" t="s">
        <v>691</v>
      </c>
      <c r="K392" t="s">
        <v>349</v>
      </c>
      <c r="L392">
        <v>0.86</v>
      </c>
      <c r="M392" t="s">
        <v>2593</v>
      </c>
      <c r="N392" t="s">
        <v>2594</v>
      </c>
      <c r="O392" t="s">
        <v>2595</v>
      </c>
      <c r="P392" t="s">
        <v>485</v>
      </c>
      <c r="Q392" t="s">
        <v>219</v>
      </c>
      <c r="R392" t="s">
        <v>220</v>
      </c>
      <c r="S392" t="s">
        <v>221</v>
      </c>
      <c r="T392" t="s">
        <v>221</v>
      </c>
    </row>
    <row r="393" spans="1:20">
      <c r="A393" s="241">
        <v>44001</v>
      </c>
      <c r="B393" t="s">
        <v>2596</v>
      </c>
      <c r="C393" t="s">
        <v>712</v>
      </c>
      <c r="D393" t="s">
        <v>2478</v>
      </c>
      <c r="E393" t="s">
        <v>1121</v>
      </c>
      <c r="F393" t="s">
        <v>937</v>
      </c>
      <c r="G393" t="s">
        <v>938</v>
      </c>
      <c r="H393" t="s">
        <v>415</v>
      </c>
      <c r="I393" t="s">
        <v>1923</v>
      </c>
      <c r="J393" t="s">
        <v>407</v>
      </c>
      <c r="K393" t="s">
        <v>359</v>
      </c>
      <c r="L393">
        <v>0.86</v>
      </c>
      <c r="M393" t="s">
        <v>2597</v>
      </c>
      <c r="N393" t="s">
        <v>2598</v>
      </c>
      <c r="O393" t="s">
        <v>2599</v>
      </c>
      <c r="P393" t="s">
        <v>485</v>
      </c>
      <c r="Q393" t="s">
        <v>219</v>
      </c>
      <c r="R393" t="s">
        <v>220</v>
      </c>
      <c r="S393" t="s">
        <v>221</v>
      </c>
      <c r="T393" t="s">
        <v>221</v>
      </c>
    </row>
    <row r="394" spans="1:20">
      <c r="A394" s="241">
        <v>44001</v>
      </c>
      <c r="B394" t="s">
        <v>2600</v>
      </c>
      <c r="C394" t="s">
        <v>712</v>
      </c>
      <c r="D394" t="s">
        <v>392</v>
      </c>
      <c r="E394" t="s">
        <v>1049</v>
      </c>
      <c r="F394" t="s">
        <v>937</v>
      </c>
      <c r="G394" t="s">
        <v>1946</v>
      </c>
      <c r="H394" t="s">
        <v>405</v>
      </c>
      <c r="I394" t="s">
        <v>932</v>
      </c>
      <c r="J394" t="s">
        <v>919</v>
      </c>
      <c r="K394" t="s">
        <v>666</v>
      </c>
      <c r="L394">
        <v>0.86</v>
      </c>
      <c r="M394" t="s">
        <v>2601</v>
      </c>
      <c r="N394" t="s">
        <v>2602</v>
      </c>
      <c r="O394" t="s">
        <v>2603</v>
      </c>
      <c r="P394" t="s">
        <v>485</v>
      </c>
      <c r="Q394" t="s">
        <v>219</v>
      </c>
      <c r="R394" t="s">
        <v>220</v>
      </c>
      <c r="S394" t="s">
        <v>221</v>
      </c>
      <c r="T394" t="s">
        <v>221</v>
      </c>
    </row>
    <row r="395" spans="1:20">
      <c r="A395" s="241">
        <v>44001</v>
      </c>
      <c r="B395" t="s">
        <v>2604</v>
      </c>
      <c r="C395" t="s">
        <v>645</v>
      </c>
      <c r="D395" t="s">
        <v>679</v>
      </c>
      <c r="E395" t="s">
        <v>1102</v>
      </c>
      <c r="F395" t="s">
        <v>1164</v>
      </c>
      <c r="G395" t="s">
        <v>1324</v>
      </c>
      <c r="H395" t="s">
        <v>445</v>
      </c>
      <c r="I395" t="s">
        <v>436</v>
      </c>
      <c r="J395" t="s">
        <v>1309</v>
      </c>
      <c r="K395" t="s">
        <v>349</v>
      </c>
      <c r="L395">
        <v>0.86</v>
      </c>
      <c r="M395" t="s">
        <v>2605</v>
      </c>
      <c r="N395" t="s">
        <v>2606</v>
      </c>
      <c r="O395" t="s">
        <v>2607</v>
      </c>
      <c r="P395" t="s">
        <v>485</v>
      </c>
      <c r="Q395" t="s">
        <v>219</v>
      </c>
      <c r="R395" t="s">
        <v>220</v>
      </c>
      <c r="S395" t="s">
        <v>221</v>
      </c>
      <c r="T395" t="s">
        <v>221</v>
      </c>
    </row>
    <row r="396" spans="1:20">
      <c r="A396" s="241">
        <v>44001</v>
      </c>
      <c r="B396" t="s">
        <v>2608</v>
      </c>
      <c r="C396" t="s">
        <v>712</v>
      </c>
      <c r="D396" t="s">
        <v>392</v>
      </c>
      <c r="E396" t="s">
        <v>646</v>
      </c>
      <c r="F396" t="s">
        <v>1584</v>
      </c>
      <c r="G396" t="s">
        <v>414</v>
      </c>
      <c r="H396" t="s">
        <v>1109</v>
      </c>
      <c r="I396" t="s">
        <v>932</v>
      </c>
      <c r="J396" t="s">
        <v>1141</v>
      </c>
      <c r="K396" t="s">
        <v>280</v>
      </c>
      <c r="L396">
        <v>0.86</v>
      </c>
      <c r="M396" t="s">
        <v>2609</v>
      </c>
      <c r="N396" t="s">
        <v>2610</v>
      </c>
      <c r="O396" t="s">
        <v>2611</v>
      </c>
      <c r="P396" t="s">
        <v>485</v>
      </c>
      <c r="Q396" t="s">
        <v>219</v>
      </c>
      <c r="R396" t="s">
        <v>220</v>
      </c>
      <c r="S396" t="s">
        <v>221</v>
      </c>
      <c r="T396" t="s">
        <v>221</v>
      </c>
    </row>
    <row r="397" spans="1:20">
      <c r="A397" s="241">
        <v>44001</v>
      </c>
      <c r="B397" t="s">
        <v>2612</v>
      </c>
      <c r="C397" t="s">
        <v>679</v>
      </c>
      <c r="D397" t="s">
        <v>645</v>
      </c>
      <c r="E397" t="s">
        <v>2544</v>
      </c>
      <c r="F397" t="s">
        <v>444</v>
      </c>
      <c r="G397" t="s">
        <v>938</v>
      </c>
      <c r="H397" t="s">
        <v>887</v>
      </c>
      <c r="I397" t="s">
        <v>1165</v>
      </c>
      <c r="J397" t="s">
        <v>437</v>
      </c>
      <c r="K397" t="s">
        <v>359</v>
      </c>
      <c r="L397">
        <v>0.86</v>
      </c>
      <c r="M397" t="s">
        <v>2613</v>
      </c>
      <c r="N397" t="s">
        <v>2614</v>
      </c>
      <c r="O397" t="s">
        <v>2615</v>
      </c>
      <c r="P397" t="s">
        <v>485</v>
      </c>
      <c r="Q397" t="s">
        <v>219</v>
      </c>
      <c r="R397" t="s">
        <v>220</v>
      </c>
      <c r="S397" t="s">
        <v>221</v>
      </c>
      <c r="T397" t="s">
        <v>221</v>
      </c>
    </row>
    <row r="398" spans="1:20">
      <c r="A398" s="241">
        <v>44001</v>
      </c>
      <c r="B398" t="s">
        <v>2616</v>
      </c>
      <c r="C398" t="s">
        <v>2478</v>
      </c>
      <c r="D398" t="s">
        <v>2478</v>
      </c>
      <c r="E398" t="s">
        <v>1049</v>
      </c>
      <c r="F398" t="s">
        <v>718</v>
      </c>
      <c r="G398" t="s">
        <v>2617</v>
      </c>
      <c r="H398" t="s">
        <v>897</v>
      </c>
      <c r="I398" t="s">
        <v>947</v>
      </c>
      <c r="J398" t="s">
        <v>1333</v>
      </c>
      <c r="K398" t="s">
        <v>359</v>
      </c>
      <c r="L398">
        <v>0.86</v>
      </c>
      <c r="M398" t="s">
        <v>2618</v>
      </c>
      <c r="N398" t="s">
        <v>2619</v>
      </c>
      <c r="O398" t="s">
        <v>2620</v>
      </c>
      <c r="P398" t="s">
        <v>485</v>
      </c>
      <c r="Q398" t="s">
        <v>219</v>
      </c>
      <c r="R398" t="s">
        <v>220</v>
      </c>
      <c r="S398" t="s">
        <v>221</v>
      </c>
      <c r="T398" t="s">
        <v>221</v>
      </c>
    </row>
    <row r="399" spans="1:20">
      <c r="A399" s="241">
        <v>44001</v>
      </c>
      <c r="B399" t="s">
        <v>2621</v>
      </c>
      <c r="C399" t="s">
        <v>1139</v>
      </c>
      <c r="D399" t="s">
        <v>2535</v>
      </c>
      <c r="E399" t="s">
        <v>606</v>
      </c>
      <c r="F399" t="s">
        <v>1625</v>
      </c>
      <c r="G399" t="s">
        <v>2228</v>
      </c>
      <c r="H399" t="s">
        <v>729</v>
      </c>
      <c r="I399" t="s">
        <v>446</v>
      </c>
      <c r="J399" t="s">
        <v>954</v>
      </c>
      <c r="K399" t="s">
        <v>349</v>
      </c>
      <c r="L399">
        <v>0.86</v>
      </c>
      <c r="M399" t="s">
        <v>2622</v>
      </c>
      <c r="N399" t="s">
        <v>2623</v>
      </c>
      <c r="O399" t="s">
        <v>2624</v>
      </c>
      <c r="P399" t="s">
        <v>485</v>
      </c>
      <c r="Q399" t="s">
        <v>219</v>
      </c>
      <c r="R399" t="s">
        <v>220</v>
      </c>
      <c r="S399" t="s">
        <v>221</v>
      </c>
      <c r="T399" t="s">
        <v>221</v>
      </c>
    </row>
    <row r="400" spans="1:20">
      <c r="A400" s="241">
        <v>44001</v>
      </c>
      <c r="B400" t="s">
        <v>2625</v>
      </c>
      <c r="C400" t="s">
        <v>1348</v>
      </c>
      <c r="D400" t="s">
        <v>2626</v>
      </c>
      <c r="E400" t="s">
        <v>294</v>
      </c>
      <c r="F400" t="s">
        <v>2627</v>
      </c>
      <c r="G400" t="s">
        <v>2628</v>
      </c>
      <c r="H400" t="s">
        <v>1378</v>
      </c>
      <c r="I400" t="s">
        <v>2629</v>
      </c>
      <c r="J400" t="s">
        <v>2630</v>
      </c>
      <c r="K400" t="s">
        <v>2631</v>
      </c>
      <c r="L400">
        <v>0.89</v>
      </c>
      <c r="M400" t="s">
        <v>2632</v>
      </c>
      <c r="N400" t="s">
        <v>2633</v>
      </c>
      <c r="O400" t="s">
        <v>2634</v>
      </c>
      <c r="P400" t="s">
        <v>485</v>
      </c>
      <c r="Q400" t="s">
        <v>219</v>
      </c>
      <c r="R400" t="s">
        <v>220</v>
      </c>
      <c r="S400" t="s">
        <v>221</v>
      </c>
      <c r="T400" t="s">
        <v>221</v>
      </c>
    </row>
    <row r="401" spans="1:20">
      <c r="A401" s="241">
        <v>44001</v>
      </c>
      <c r="B401" t="s">
        <v>2635</v>
      </c>
      <c r="C401" t="s">
        <v>2431</v>
      </c>
      <c r="D401" t="s">
        <v>2636</v>
      </c>
      <c r="E401" t="s">
        <v>261</v>
      </c>
      <c r="F401" t="s">
        <v>2637</v>
      </c>
      <c r="G401" t="s">
        <v>971</v>
      </c>
      <c r="H401" t="s">
        <v>2638</v>
      </c>
      <c r="I401" t="s">
        <v>2249</v>
      </c>
      <c r="J401" t="s">
        <v>2639</v>
      </c>
      <c r="K401" t="s">
        <v>975</v>
      </c>
      <c r="L401">
        <v>0.89</v>
      </c>
      <c r="M401" t="s">
        <v>2640</v>
      </c>
      <c r="N401" t="s">
        <v>2641</v>
      </c>
      <c r="O401" t="s">
        <v>2642</v>
      </c>
      <c r="P401" t="s">
        <v>485</v>
      </c>
      <c r="Q401" t="s">
        <v>219</v>
      </c>
      <c r="R401" t="s">
        <v>220</v>
      </c>
      <c r="S401" t="s">
        <v>221</v>
      </c>
      <c r="T401" t="s">
        <v>221</v>
      </c>
    </row>
    <row r="402" spans="1:20">
      <c r="A402" s="241">
        <v>44001</v>
      </c>
      <c r="B402" t="s">
        <v>2643</v>
      </c>
      <c r="C402" t="s">
        <v>736</v>
      </c>
      <c r="D402" t="s">
        <v>2644</v>
      </c>
      <c r="E402" t="s">
        <v>249</v>
      </c>
      <c r="F402" t="s">
        <v>2645</v>
      </c>
      <c r="G402" t="s">
        <v>1977</v>
      </c>
      <c r="H402" t="s">
        <v>982</v>
      </c>
      <c r="I402" t="s">
        <v>2646</v>
      </c>
      <c r="J402" t="s">
        <v>2647</v>
      </c>
      <c r="K402" t="s">
        <v>494</v>
      </c>
      <c r="L402">
        <v>0.89</v>
      </c>
      <c r="M402" t="s">
        <v>2648</v>
      </c>
      <c r="N402" t="s">
        <v>2649</v>
      </c>
      <c r="O402" t="s">
        <v>2650</v>
      </c>
      <c r="P402" t="s">
        <v>485</v>
      </c>
      <c r="Q402" t="s">
        <v>219</v>
      </c>
      <c r="R402" t="s">
        <v>220</v>
      </c>
      <c r="S402" t="s">
        <v>221</v>
      </c>
      <c r="T402" t="s">
        <v>221</v>
      </c>
    </row>
    <row r="403" spans="1:20">
      <c r="A403" s="241">
        <v>44001</v>
      </c>
      <c r="B403" t="s">
        <v>2651</v>
      </c>
      <c r="C403" t="s">
        <v>261</v>
      </c>
      <c r="D403" t="s">
        <v>712</v>
      </c>
      <c r="E403" t="s">
        <v>332</v>
      </c>
      <c r="F403" t="s">
        <v>2652</v>
      </c>
      <c r="G403" t="s">
        <v>2653</v>
      </c>
      <c r="H403" t="s">
        <v>2654</v>
      </c>
      <c r="I403" t="s">
        <v>2655</v>
      </c>
      <c r="J403" t="s">
        <v>2656</v>
      </c>
      <c r="K403" t="s">
        <v>2657</v>
      </c>
      <c r="L403">
        <v>0.87</v>
      </c>
      <c r="M403" t="s">
        <v>2658</v>
      </c>
      <c r="N403" t="s">
        <v>2659</v>
      </c>
      <c r="O403" t="s">
        <v>2660</v>
      </c>
      <c r="P403" t="s">
        <v>485</v>
      </c>
      <c r="Q403" t="s">
        <v>219</v>
      </c>
      <c r="R403" t="s">
        <v>220</v>
      </c>
      <c r="S403" t="s">
        <v>221</v>
      </c>
      <c r="T403" t="s">
        <v>221</v>
      </c>
    </row>
    <row r="404" spans="1:20">
      <c r="A404" s="241">
        <v>44001</v>
      </c>
      <c r="B404" t="s">
        <v>2661</v>
      </c>
      <c r="C404" t="s">
        <v>712</v>
      </c>
      <c r="D404" t="s">
        <v>2478</v>
      </c>
      <c r="E404" t="s">
        <v>632</v>
      </c>
      <c r="F404" t="s">
        <v>2662</v>
      </c>
      <c r="G404" t="s">
        <v>2023</v>
      </c>
      <c r="H404" t="s">
        <v>2663</v>
      </c>
      <c r="I404" t="s">
        <v>779</v>
      </c>
      <c r="J404" t="s">
        <v>1681</v>
      </c>
      <c r="K404" t="s">
        <v>2277</v>
      </c>
      <c r="L404">
        <v>0.87</v>
      </c>
      <c r="M404" t="s">
        <v>2664</v>
      </c>
      <c r="N404" t="s">
        <v>2665</v>
      </c>
      <c r="O404" t="s">
        <v>2666</v>
      </c>
      <c r="P404" t="s">
        <v>485</v>
      </c>
      <c r="Q404" t="s">
        <v>219</v>
      </c>
      <c r="R404" t="s">
        <v>220</v>
      </c>
      <c r="S404" t="s">
        <v>221</v>
      </c>
      <c r="T404" t="s">
        <v>221</v>
      </c>
    </row>
    <row r="405" spans="1:20">
      <c r="A405" s="241">
        <v>44001</v>
      </c>
      <c r="B405" t="s">
        <v>2667</v>
      </c>
      <c r="C405" t="s">
        <v>442</v>
      </c>
      <c r="D405" t="s">
        <v>1139</v>
      </c>
      <c r="E405" t="s">
        <v>1314</v>
      </c>
      <c r="F405" t="s">
        <v>585</v>
      </c>
      <c r="G405" t="s">
        <v>2463</v>
      </c>
      <c r="H405" t="s">
        <v>1404</v>
      </c>
      <c r="I405" t="s">
        <v>2029</v>
      </c>
      <c r="J405" t="s">
        <v>1687</v>
      </c>
      <c r="K405" t="s">
        <v>2668</v>
      </c>
      <c r="L405">
        <v>0.86</v>
      </c>
      <c r="M405" t="s">
        <v>2669</v>
      </c>
      <c r="N405" t="s">
        <v>2670</v>
      </c>
      <c r="O405" t="s">
        <v>2671</v>
      </c>
      <c r="P405" t="s">
        <v>485</v>
      </c>
      <c r="Q405" t="s">
        <v>219</v>
      </c>
      <c r="R405" t="s">
        <v>220</v>
      </c>
      <c r="S405" t="s">
        <v>221</v>
      </c>
      <c r="T405" t="s">
        <v>221</v>
      </c>
    </row>
    <row r="406" spans="1:20">
      <c r="A406" s="241">
        <v>44001</v>
      </c>
      <c r="B406" t="s">
        <v>2672</v>
      </c>
      <c r="C406" t="s">
        <v>679</v>
      </c>
      <c r="D406" t="s">
        <v>645</v>
      </c>
      <c r="E406" t="s">
        <v>1121</v>
      </c>
      <c r="F406" t="s">
        <v>1069</v>
      </c>
      <c r="G406" t="s">
        <v>1389</v>
      </c>
      <c r="H406" t="s">
        <v>2305</v>
      </c>
      <c r="I406" t="s">
        <v>1010</v>
      </c>
      <c r="J406" t="s">
        <v>1699</v>
      </c>
      <c r="K406" t="s">
        <v>1003</v>
      </c>
      <c r="L406">
        <v>0.86</v>
      </c>
      <c r="M406" t="s">
        <v>2673</v>
      </c>
      <c r="N406" t="s">
        <v>2674</v>
      </c>
      <c r="O406" t="s">
        <v>2675</v>
      </c>
      <c r="P406" t="s">
        <v>485</v>
      </c>
      <c r="Q406" t="s">
        <v>219</v>
      </c>
      <c r="R406" t="s">
        <v>220</v>
      </c>
      <c r="S406" t="s">
        <v>221</v>
      </c>
      <c r="T406" t="s">
        <v>221</v>
      </c>
    </row>
    <row r="407" spans="1:20">
      <c r="A407" s="241">
        <v>44001</v>
      </c>
      <c r="B407" t="s">
        <v>2676</v>
      </c>
      <c r="C407" t="s">
        <v>645</v>
      </c>
      <c r="D407" t="s">
        <v>631</v>
      </c>
      <c r="E407" t="s">
        <v>1121</v>
      </c>
      <c r="F407" t="s">
        <v>585</v>
      </c>
      <c r="G407" t="s">
        <v>530</v>
      </c>
      <c r="H407" t="s">
        <v>1404</v>
      </c>
      <c r="I407" t="s">
        <v>522</v>
      </c>
      <c r="J407" t="s">
        <v>514</v>
      </c>
      <c r="K407" t="s">
        <v>781</v>
      </c>
      <c r="L407">
        <v>0.86</v>
      </c>
      <c r="M407" t="s">
        <v>2677</v>
      </c>
      <c r="N407" t="s">
        <v>2678</v>
      </c>
      <c r="O407" t="s">
        <v>2679</v>
      </c>
      <c r="P407" t="s">
        <v>485</v>
      </c>
      <c r="Q407" t="s">
        <v>219</v>
      </c>
      <c r="R407" t="s">
        <v>220</v>
      </c>
      <c r="S407" t="s">
        <v>221</v>
      </c>
      <c r="T407" t="s">
        <v>221</v>
      </c>
    </row>
    <row r="408" spans="1:20">
      <c r="A408" s="241">
        <v>44001</v>
      </c>
      <c r="B408" t="s">
        <v>2680</v>
      </c>
      <c r="C408" t="s">
        <v>671</v>
      </c>
      <c r="D408" t="s">
        <v>392</v>
      </c>
      <c r="E408" t="s">
        <v>632</v>
      </c>
      <c r="F408" t="s">
        <v>2074</v>
      </c>
      <c r="G408" t="s">
        <v>2053</v>
      </c>
      <c r="H408" t="s">
        <v>541</v>
      </c>
      <c r="I408" t="s">
        <v>532</v>
      </c>
      <c r="J408" t="s">
        <v>2681</v>
      </c>
      <c r="K408" t="s">
        <v>1003</v>
      </c>
      <c r="L408">
        <v>0.86</v>
      </c>
      <c r="M408" t="s">
        <v>2682</v>
      </c>
      <c r="N408" t="s">
        <v>2683</v>
      </c>
      <c r="O408" t="s">
        <v>2684</v>
      </c>
      <c r="P408" t="s">
        <v>485</v>
      </c>
      <c r="Q408" t="s">
        <v>219</v>
      </c>
      <c r="R408" t="s">
        <v>220</v>
      </c>
      <c r="S408" t="s">
        <v>221</v>
      </c>
      <c r="T408" t="s">
        <v>221</v>
      </c>
    </row>
    <row r="409" spans="1:20">
      <c r="A409" s="241">
        <v>44001</v>
      </c>
      <c r="B409" t="s">
        <v>2685</v>
      </c>
      <c r="C409" t="s">
        <v>671</v>
      </c>
      <c r="D409" t="s">
        <v>671</v>
      </c>
      <c r="E409" t="s">
        <v>646</v>
      </c>
      <c r="F409" t="s">
        <v>584</v>
      </c>
      <c r="G409" t="s">
        <v>2686</v>
      </c>
      <c r="H409" t="s">
        <v>776</v>
      </c>
      <c r="I409" t="s">
        <v>1727</v>
      </c>
      <c r="J409" t="s">
        <v>533</v>
      </c>
      <c r="K409" t="s">
        <v>1234</v>
      </c>
      <c r="L409">
        <v>0.86</v>
      </c>
      <c r="M409" t="s">
        <v>2687</v>
      </c>
      <c r="N409" t="s">
        <v>2688</v>
      </c>
      <c r="O409" t="s">
        <v>2689</v>
      </c>
      <c r="P409" t="s">
        <v>485</v>
      </c>
      <c r="Q409" t="s">
        <v>219</v>
      </c>
      <c r="R409" t="s">
        <v>220</v>
      </c>
      <c r="S409" t="s">
        <v>221</v>
      </c>
      <c r="T409" t="s">
        <v>221</v>
      </c>
    </row>
    <row r="410" spans="1:20">
      <c r="A410" s="241">
        <v>44001</v>
      </c>
      <c r="B410" t="s">
        <v>2690</v>
      </c>
      <c r="C410" t="s">
        <v>2535</v>
      </c>
      <c r="D410" t="s">
        <v>645</v>
      </c>
      <c r="E410" t="s">
        <v>606</v>
      </c>
      <c r="F410" t="s">
        <v>316</v>
      </c>
      <c r="G410" t="s">
        <v>1037</v>
      </c>
      <c r="H410" t="s">
        <v>531</v>
      </c>
      <c r="I410" t="s">
        <v>1727</v>
      </c>
      <c r="J410" t="s">
        <v>533</v>
      </c>
      <c r="K410" t="s">
        <v>1234</v>
      </c>
      <c r="L410">
        <v>0.86</v>
      </c>
      <c r="M410" t="s">
        <v>2691</v>
      </c>
      <c r="N410" t="s">
        <v>2692</v>
      </c>
      <c r="O410" t="s">
        <v>2693</v>
      </c>
      <c r="P410" t="s">
        <v>485</v>
      </c>
      <c r="Q410" t="s">
        <v>219</v>
      </c>
      <c r="R410" t="s">
        <v>220</v>
      </c>
      <c r="S410" t="s">
        <v>221</v>
      </c>
      <c r="T410" t="s">
        <v>221</v>
      </c>
    </row>
    <row r="411" spans="1:20">
      <c r="A411" s="241">
        <v>44001</v>
      </c>
      <c r="B411" t="s">
        <v>2694</v>
      </c>
      <c r="C411" t="s">
        <v>2478</v>
      </c>
      <c r="D411" t="s">
        <v>614</v>
      </c>
      <c r="E411" t="s">
        <v>1314</v>
      </c>
      <c r="F411" t="s">
        <v>1255</v>
      </c>
      <c r="G411" t="s">
        <v>2314</v>
      </c>
      <c r="H411" t="s">
        <v>1257</v>
      </c>
      <c r="I411" t="s">
        <v>212</v>
      </c>
      <c r="J411" t="s">
        <v>1240</v>
      </c>
      <c r="K411" t="s">
        <v>515</v>
      </c>
      <c r="L411">
        <v>0.86</v>
      </c>
      <c r="M411" t="s">
        <v>2695</v>
      </c>
      <c r="N411" t="s">
        <v>2696</v>
      </c>
      <c r="O411" t="s">
        <v>2697</v>
      </c>
      <c r="P411" t="s">
        <v>485</v>
      </c>
      <c r="Q411" t="s">
        <v>219</v>
      </c>
      <c r="R411" t="s">
        <v>220</v>
      </c>
      <c r="S411" t="s">
        <v>221</v>
      </c>
      <c r="T411" t="s">
        <v>221</v>
      </c>
    </row>
    <row r="412" spans="1:20">
      <c r="A412" s="241">
        <v>44001</v>
      </c>
      <c r="B412" t="s">
        <v>2698</v>
      </c>
      <c r="C412" t="s">
        <v>679</v>
      </c>
      <c r="D412" t="s">
        <v>1139</v>
      </c>
      <c r="E412" t="s">
        <v>646</v>
      </c>
      <c r="F412" t="s">
        <v>1050</v>
      </c>
      <c r="G412" t="s">
        <v>1745</v>
      </c>
      <c r="H412" t="s">
        <v>228</v>
      </c>
      <c r="I412" t="s">
        <v>806</v>
      </c>
      <c r="J412" t="s">
        <v>213</v>
      </c>
      <c r="K412" t="s">
        <v>1234</v>
      </c>
      <c r="L412">
        <v>0.86</v>
      </c>
      <c r="M412" t="s">
        <v>2699</v>
      </c>
      <c r="N412" t="s">
        <v>2700</v>
      </c>
      <c r="O412" t="s">
        <v>2701</v>
      </c>
      <c r="P412" t="s">
        <v>485</v>
      </c>
      <c r="Q412" t="s">
        <v>219</v>
      </c>
      <c r="R412" t="s">
        <v>220</v>
      </c>
      <c r="S412" t="s">
        <v>221</v>
      </c>
      <c r="T412" t="s">
        <v>221</v>
      </c>
    </row>
    <row r="413" spans="1:20">
      <c r="A413" s="241">
        <v>44001</v>
      </c>
      <c r="B413" t="s">
        <v>2702</v>
      </c>
      <c r="C413" t="s">
        <v>712</v>
      </c>
      <c r="D413" t="s">
        <v>2535</v>
      </c>
      <c r="E413" t="s">
        <v>606</v>
      </c>
      <c r="F413" t="s">
        <v>275</v>
      </c>
      <c r="G413" t="s">
        <v>1044</v>
      </c>
      <c r="H413" t="s">
        <v>253</v>
      </c>
      <c r="I413" t="s">
        <v>229</v>
      </c>
      <c r="J413" t="s">
        <v>561</v>
      </c>
      <c r="K413" t="s">
        <v>1012</v>
      </c>
      <c r="L413">
        <v>0.86</v>
      </c>
      <c r="M413" t="s">
        <v>2703</v>
      </c>
      <c r="N413" t="s">
        <v>2704</v>
      </c>
      <c r="O413" t="s">
        <v>2705</v>
      </c>
      <c r="P413" t="s">
        <v>485</v>
      </c>
      <c r="Q413" t="s">
        <v>219</v>
      </c>
      <c r="R413" t="s">
        <v>220</v>
      </c>
      <c r="S413" t="s">
        <v>221</v>
      </c>
      <c r="T413" t="s">
        <v>221</v>
      </c>
    </row>
    <row r="414" spans="1:20">
      <c r="A414" s="241">
        <v>44001</v>
      </c>
      <c r="B414" t="s">
        <v>2706</v>
      </c>
      <c r="C414" t="s">
        <v>645</v>
      </c>
      <c r="D414" t="s">
        <v>2478</v>
      </c>
      <c r="E414" t="s">
        <v>632</v>
      </c>
      <c r="F414" t="s">
        <v>1467</v>
      </c>
      <c r="G414" t="s">
        <v>1442</v>
      </c>
      <c r="H414" t="s">
        <v>837</v>
      </c>
      <c r="I414" t="s">
        <v>577</v>
      </c>
      <c r="J414" t="s">
        <v>255</v>
      </c>
      <c r="K414" t="s">
        <v>214</v>
      </c>
      <c r="L414">
        <v>0.86</v>
      </c>
      <c r="M414" t="s">
        <v>2707</v>
      </c>
      <c r="N414" t="s">
        <v>2708</v>
      </c>
      <c r="O414" t="s">
        <v>2709</v>
      </c>
      <c r="P414" t="s">
        <v>485</v>
      </c>
      <c r="Q414" t="s">
        <v>219</v>
      </c>
      <c r="R414" t="s">
        <v>220</v>
      </c>
      <c r="S414" t="s">
        <v>221</v>
      </c>
      <c r="T414" t="s">
        <v>221</v>
      </c>
    </row>
    <row r="415" spans="1:20">
      <c r="A415" s="241">
        <v>44001</v>
      </c>
      <c r="B415" t="s">
        <v>2710</v>
      </c>
      <c r="C415" t="s">
        <v>2478</v>
      </c>
      <c r="D415" t="s">
        <v>645</v>
      </c>
      <c r="E415" t="s">
        <v>1049</v>
      </c>
      <c r="F415" t="s">
        <v>275</v>
      </c>
      <c r="G415" t="s">
        <v>1044</v>
      </c>
      <c r="H415" t="s">
        <v>585</v>
      </c>
      <c r="I415" t="s">
        <v>254</v>
      </c>
      <c r="J415" t="s">
        <v>243</v>
      </c>
      <c r="K415" t="s">
        <v>524</v>
      </c>
      <c r="L415">
        <v>0.86</v>
      </c>
      <c r="M415" t="s">
        <v>2711</v>
      </c>
      <c r="N415" t="s">
        <v>2712</v>
      </c>
      <c r="O415" t="s">
        <v>2713</v>
      </c>
      <c r="P415" t="s">
        <v>485</v>
      </c>
      <c r="Q415" t="s">
        <v>219</v>
      </c>
      <c r="R415" t="s">
        <v>220</v>
      </c>
      <c r="S415" t="s">
        <v>221</v>
      </c>
      <c r="T415" t="s">
        <v>221</v>
      </c>
    </row>
    <row r="416" spans="1:20">
      <c r="A416" s="241">
        <v>44001</v>
      </c>
      <c r="B416" t="s">
        <v>2714</v>
      </c>
      <c r="C416" t="s">
        <v>631</v>
      </c>
      <c r="D416" t="s">
        <v>2478</v>
      </c>
      <c r="E416" t="s">
        <v>680</v>
      </c>
      <c r="F416" t="s">
        <v>285</v>
      </c>
      <c r="G416" t="s">
        <v>276</v>
      </c>
      <c r="H416" t="s">
        <v>1478</v>
      </c>
      <c r="I416" t="s">
        <v>278</v>
      </c>
      <c r="J416" t="s">
        <v>1786</v>
      </c>
      <c r="K416" t="s">
        <v>231</v>
      </c>
      <c r="L416">
        <v>0.86</v>
      </c>
      <c r="M416" t="s">
        <v>2715</v>
      </c>
      <c r="N416" t="s">
        <v>2716</v>
      </c>
      <c r="O416" t="s">
        <v>2717</v>
      </c>
      <c r="P416" t="s">
        <v>485</v>
      </c>
      <c r="Q416" t="s">
        <v>219</v>
      </c>
      <c r="R416" t="s">
        <v>220</v>
      </c>
      <c r="S416" t="s">
        <v>221</v>
      </c>
      <c r="T416" t="s">
        <v>221</v>
      </c>
    </row>
    <row r="417" spans="1:20">
      <c r="A417" s="241">
        <v>44001</v>
      </c>
      <c r="B417" t="s">
        <v>2718</v>
      </c>
      <c r="C417" t="s">
        <v>679</v>
      </c>
      <c r="D417" t="s">
        <v>2549</v>
      </c>
      <c r="E417" t="s">
        <v>597</v>
      </c>
      <c r="F417" t="s">
        <v>598</v>
      </c>
      <c r="G417" t="s">
        <v>1068</v>
      </c>
      <c r="H417" t="s">
        <v>265</v>
      </c>
      <c r="I417" t="s">
        <v>278</v>
      </c>
      <c r="J417" t="s">
        <v>1786</v>
      </c>
      <c r="K417" t="s">
        <v>571</v>
      </c>
      <c r="L417">
        <v>0.86</v>
      </c>
      <c r="M417" t="s">
        <v>2719</v>
      </c>
      <c r="N417" t="s">
        <v>2720</v>
      </c>
      <c r="O417" t="s">
        <v>2721</v>
      </c>
      <c r="P417" t="s">
        <v>485</v>
      </c>
      <c r="Q417" t="s">
        <v>219</v>
      </c>
      <c r="R417" t="s">
        <v>220</v>
      </c>
      <c r="S417" t="s">
        <v>221</v>
      </c>
      <c r="T417" t="s">
        <v>221</v>
      </c>
    </row>
    <row r="418" spans="1:20">
      <c r="A418" s="241">
        <v>44001</v>
      </c>
      <c r="B418" t="s">
        <v>2722</v>
      </c>
      <c r="C418" t="s">
        <v>671</v>
      </c>
      <c r="D418" t="s">
        <v>671</v>
      </c>
      <c r="E418" t="s">
        <v>1102</v>
      </c>
      <c r="F418" t="s">
        <v>314</v>
      </c>
      <c r="G418" t="s">
        <v>830</v>
      </c>
      <c r="H418" t="s">
        <v>239</v>
      </c>
      <c r="I418" t="s">
        <v>609</v>
      </c>
      <c r="J418" t="s">
        <v>850</v>
      </c>
      <c r="K418" t="s">
        <v>571</v>
      </c>
      <c r="L418">
        <v>0.86</v>
      </c>
      <c r="M418" t="s">
        <v>2723</v>
      </c>
      <c r="N418" t="s">
        <v>2724</v>
      </c>
      <c r="O418" t="s">
        <v>2725</v>
      </c>
      <c r="P418" t="s">
        <v>485</v>
      </c>
      <c r="Q418" t="s">
        <v>219</v>
      </c>
      <c r="R418" t="s">
        <v>220</v>
      </c>
      <c r="S418" t="s">
        <v>221</v>
      </c>
      <c r="T418" t="s">
        <v>221</v>
      </c>
    </row>
    <row r="419" spans="1:20">
      <c r="A419" s="241">
        <v>44001</v>
      </c>
      <c r="B419" t="s">
        <v>2726</v>
      </c>
      <c r="C419" t="s">
        <v>615</v>
      </c>
      <c r="D419" t="s">
        <v>1079</v>
      </c>
      <c r="E419" t="s">
        <v>1314</v>
      </c>
      <c r="F419" t="s">
        <v>926</v>
      </c>
      <c r="G419" t="s">
        <v>1068</v>
      </c>
      <c r="H419" t="s">
        <v>1069</v>
      </c>
      <c r="I419" t="s">
        <v>288</v>
      </c>
      <c r="J419" t="s">
        <v>289</v>
      </c>
      <c r="K419" t="s">
        <v>571</v>
      </c>
      <c r="L419">
        <v>0.86</v>
      </c>
      <c r="M419" t="s">
        <v>2727</v>
      </c>
      <c r="N419" t="s">
        <v>2728</v>
      </c>
      <c r="O419" t="s">
        <v>2729</v>
      </c>
      <c r="P419" t="s">
        <v>485</v>
      </c>
      <c r="Q419" t="s">
        <v>219</v>
      </c>
      <c r="R419" t="s">
        <v>220</v>
      </c>
      <c r="S419" t="s">
        <v>221</v>
      </c>
      <c r="T419" t="s">
        <v>221</v>
      </c>
    </row>
    <row r="420" spans="1:20">
      <c r="A420" s="241">
        <v>44001</v>
      </c>
      <c r="B420" t="s">
        <v>2730</v>
      </c>
      <c r="C420" t="s">
        <v>631</v>
      </c>
      <c r="D420" t="s">
        <v>2478</v>
      </c>
      <c r="E420" t="s">
        <v>2731</v>
      </c>
      <c r="F420" t="s">
        <v>314</v>
      </c>
      <c r="G420" t="s">
        <v>599</v>
      </c>
      <c r="H420" t="s">
        <v>2074</v>
      </c>
      <c r="I420" t="s">
        <v>609</v>
      </c>
      <c r="J420" t="s">
        <v>592</v>
      </c>
      <c r="K420" t="s">
        <v>1032</v>
      </c>
      <c r="L420">
        <v>0.86</v>
      </c>
      <c r="M420" t="s">
        <v>2732</v>
      </c>
      <c r="N420" t="s">
        <v>2733</v>
      </c>
      <c r="O420" t="s">
        <v>2734</v>
      </c>
      <c r="P420" t="s">
        <v>485</v>
      </c>
      <c r="Q420" t="s">
        <v>219</v>
      </c>
      <c r="R420" t="s">
        <v>220</v>
      </c>
      <c r="S420" t="s">
        <v>221</v>
      </c>
      <c r="T420" t="s">
        <v>221</v>
      </c>
    </row>
    <row r="421" spans="1:20">
      <c r="A421" s="241">
        <v>44001</v>
      </c>
      <c r="B421" t="s">
        <v>2735</v>
      </c>
      <c r="C421" t="s">
        <v>645</v>
      </c>
      <c r="D421" t="s">
        <v>2535</v>
      </c>
      <c r="E421" t="s">
        <v>304</v>
      </c>
      <c r="F421" t="s">
        <v>426</v>
      </c>
      <c r="G421" t="s">
        <v>1483</v>
      </c>
      <c r="H421" t="s">
        <v>1069</v>
      </c>
      <c r="I421" t="s">
        <v>1082</v>
      </c>
      <c r="J421" t="s">
        <v>601</v>
      </c>
      <c r="K421" t="s">
        <v>571</v>
      </c>
      <c r="L421">
        <v>0.86</v>
      </c>
      <c r="M421" t="s">
        <v>2736</v>
      </c>
      <c r="N421" t="s">
        <v>2737</v>
      </c>
      <c r="O421" t="s">
        <v>2738</v>
      </c>
      <c r="P421" t="s">
        <v>485</v>
      </c>
      <c r="Q421" t="s">
        <v>219</v>
      </c>
      <c r="R421" t="s">
        <v>220</v>
      </c>
      <c r="S421" t="s">
        <v>221</v>
      </c>
      <c r="T421" t="s">
        <v>221</v>
      </c>
    </row>
    <row r="422" spans="1:20">
      <c r="A422" s="241">
        <v>44001</v>
      </c>
      <c r="B422" t="s">
        <v>2739</v>
      </c>
      <c r="C422" t="s">
        <v>671</v>
      </c>
      <c r="D422" t="s">
        <v>631</v>
      </c>
      <c r="E422" t="s">
        <v>680</v>
      </c>
      <c r="F422" t="s">
        <v>1591</v>
      </c>
      <c r="G422" t="s">
        <v>1081</v>
      </c>
      <c r="H422" t="s">
        <v>608</v>
      </c>
      <c r="I422" t="s">
        <v>1082</v>
      </c>
      <c r="J422" t="s">
        <v>1812</v>
      </c>
      <c r="K422" t="s">
        <v>299</v>
      </c>
      <c r="L422">
        <v>0.86</v>
      </c>
      <c r="M422" t="s">
        <v>2740</v>
      </c>
      <c r="N422" t="s">
        <v>2741</v>
      </c>
      <c r="O422" t="s">
        <v>2742</v>
      </c>
      <c r="P422" t="s">
        <v>485</v>
      </c>
      <c r="Q422" t="s">
        <v>219</v>
      </c>
      <c r="R422" t="s">
        <v>220</v>
      </c>
      <c r="S422" t="s">
        <v>221</v>
      </c>
      <c r="T422" t="s">
        <v>221</v>
      </c>
    </row>
    <row r="423" spans="1:20">
      <c r="A423" s="241">
        <v>44001</v>
      </c>
      <c r="B423" t="s">
        <v>2743</v>
      </c>
      <c r="C423" t="s">
        <v>294</v>
      </c>
      <c r="D423" t="s">
        <v>208</v>
      </c>
      <c r="E423" t="s">
        <v>1049</v>
      </c>
      <c r="F423" t="s">
        <v>1511</v>
      </c>
      <c r="G423" t="s">
        <v>1477</v>
      </c>
      <c r="H423" t="s">
        <v>1050</v>
      </c>
      <c r="I423" t="s">
        <v>1501</v>
      </c>
      <c r="J423" t="s">
        <v>318</v>
      </c>
      <c r="K423" t="s">
        <v>579</v>
      </c>
      <c r="L423">
        <v>0.86</v>
      </c>
      <c r="M423" t="s">
        <v>2744</v>
      </c>
      <c r="N423" t="s">
        <v>2745</v>
      </c>
      <c r="O423" t="s">
        <v>2746</v>
      </c>
      <c r="P423" t="s">
        <v>485</v>
      </c>
      <c r="Q423" t="s">
        <v>219</v>
      </c>
      <c r="R423" t="s">
        <v>220</v>
      </c>
      <c r="S423" t="s">
        <v>221</v>
      </c>
      <c r="T423" t="s">
        <v>221</v>
      </c>
    </row>
    <row r="424" spans="1:20">
      <c r="A424" s="241">
        <v>44001</v>
      </c>
      <c r="B424" t="s">
        <v>2747</v>
      </c>
      <c r="C424" t="s">
        <v>679</v>
      </c>
      <c r="D424" t="s">
        <v>392</v>
      </c>
      <c r="E424" t="s">
        <v>646</v>
      </c>
      <c r="F424" t="s">
        <v>1109</v>
      </c>
      <c r="G424" t="s">
        <v>843</v>
      </c>
      <c r="H424" t="s">
        <v>1050</v>
      </c>
      <c r="I424" t="s">
        <v>317</v>
      </c>
      <c r="J424" t="s">
        <v>1484</v>
      </c>
      <c r="K424" t="s">
        <v>231</v>
      </c>
      <c r="L424">
        <v>0.86</v>
      </c>
      <c r="M424" t="s">
        <v>2748</v>
      </c>
      <c r="N424" t="s">
        <v>2749</v>
      </c>
      <c r="O424" t="s">
        <v>2750</v>
      </c>
      <c r="P424" t="s">
        <v>485</v>
      </c>
      <c r="Q424" t="s">
        <v>219</v>
      </c>
      <c r="R424" t="s">
        <v>220</v>
      </c>
      <c r="S424" t="s">
        <v>221</v>
      </c>
      <c r="T424" t="s">
        <v>221</v>
      </c>
    </row>
    <row r="425" spans="1:20">
      <c r="A425" s="241">
        <v>44001</v>
      </c>
      <c r="B425" t="s">
        <v>2751</v>
      </c>
      <c r="C425" t="s">
        <v>631</v>
      </c>
      <c r="D425" t="s">
        <v>392</v>
      </c>
      <c r="E425" t="s">
        <v>1102</v>
      </c>
      <c r="F425" t="s">
        <v>1493</v>
      </c>
      <c r="G425" t="s">
        <v>1841</v>
      </c>
      <c r="H425" t="s">
        <v>263</v>
      </c>
      <c r="I425" t="s">
        <v>1494</v>
      </c>
      <c r="J425" t="s">
        <v>1092</v>
      </c>
      <c r="K425" t="s">
        <v>571</v>
      </c>
      <c r="L425">
        <v>0.86</v>
      </c>
      <c r="M425" t="s">
        <v>2752</v>
      </c>
      <c r="N425" t="s">
        <v>2753</v>
      </c>
      <c r="O425" t="s">
        <v>2754</v>
      </c>
      <c r="P425" t="s">
        <v>485</v>
      </c>
      <c r="Q425" t="s">
        <v>219</v>
      </c>
      <c r="R425" t="s">
        <v>220</v>
      </c>
      <c r="S425" t="s">
        <v>221</v>
      </c>
      <c r="T425" t="s">
        <v>221</v>
      </c>
    </row>
    <row r="426" spans="1:20">
      <c r="A426" s="241">
        <v>44001</v>
      </c>
      <c r="B426" t="s">
        <v>2755</v>
      </c>
      <c r="C426" t="s">
        <v>2535</v>
      </c>
      <c r="D426" t="s">
        <v>392</v>
      </c>
      <c r="E426" t="s">
        <v>680</v>
      </c>
      <c r="F426" t="s">
        <v>887</v>
      </c>
      <c r="G426" t="s">
        <v>1500</v>
      </c>
      <c r="H426" t="s">
        <v>1080</v>
      </c>
      <c r="I426" t="s">
        <v>357</v>
      </c>
      <c r="J426" t="s">
        <v>337</v>
      </c>
      <c r="K426" t="s">
        <v>579</v>
      </c>
      <c r="L426">
        <v>0.86</v>
      </c>
      <c r="M426" t="s">
        <v>2756</v>
      </c>
      <c r="N426" t="s">
        <v>2757</v>
      </c>
      <c r="O426" t="s">
        <v>2758</v>
      </c>
      <c r="P426" t="s">
        <v>485</v>
      </c>
      <c r="Q426" t="s">
        <v>219</v>
      </c>
      <c r="R426" t="s">
        <v>220</v>
      </c>
      <c r="S426" t="s">
        <v>221</v>
      </c>
      <c r="T426" t="s">
        <v>221</v>
      </c>
    </row>
    <row r="427" spans="1:20">
      <c r="A427" s="241">
        <v>44001</v>
      </c>
      <c r="B427" t="s">
        <v>2759</v>
      </c>
      <c r="C427" t="s">
        <v>2478</v>
      </c>
      <c r="D427" t="s">
        <v>392</v>
      </c>
      <c r="E427" t="s">
        <v>2544</v>
      </c>
      <c r="F427" t="s">
        <v>647</v>
      </c>
      <c r="G427" t="s">
        <v>1292</v>
      </c>
      <c r="H427" t="s">
        <v>1056</v>
      </c>
      <c r="I427" t="s">
        <v>347</v>
      </c>
      <c r="J427" t="s">
        <v>1506</v>
      </c>
      <c r="K427" t="s">
        <v>579</v>
      </c>
      <c r="L427">
        <v>0.86</v>
      </c>
      <c r="M427" t="s">
        <v>2760</v>
      </c>
      <c r="N427" t="s">
        <v>2761</v>
      </c>
      <c r="O427" t="s">
        <v>2762</v>
      </c>
      <c r="P427" t="s">
        <v>485</v>
      </c>
      <c r="Q427" t="s">
        <v>219</v>
      </c>
      <c r="R427" t="s">
        <v>220</v>
      </c>
      <c r="S427" t="s">
        <v>221</v>
      </c>
      <c r="T427" t="s">
        <v>221</v>
      </c>
    </row>
    <row r="428" spans="1:20">
      <c r="A428" s="241">
        <v>44001</v>
      </c>
      <c r="B428" t="s">
        <v>2763</v>
      </c>
      <c r="C428" t="s">
        <v>1079</v>
      </c>
      <c r="D428" t="s">
        <v>2535</v>
      </c>
      <c r="E428" t="s">
        <v>1314</v>
      </c>
      <c r="F428" t="s">
        <v>445</v>
      </c>
      <c r="G428" t="s">
        <v>2764</v>
      </c>
      <c r="H428" t="s">
        <v>1769</v>
      </c>
      <c r="I428" t="s">
        <v>347</v>
      </c>
      <c r="J428" t="s">
        <v>1506</v>
      </c>
      <c r="K428" t="s">
        <v>579</v>
      </c>
      <c r="L428">
        <v>0.86</v>
      </c>
      <c r="M428" t="s">
        <v>2765</v>
      </c>
      <c r="N428" t="s">
        <v>2766</v>
      </c>
      <c r="O428" t="s">
        <v>2767</v>
      </c>
      <c r="P428" t="s">
        <v>485</v>
      </c>
      <c r="Q428" t="s">
        <v>219</v>
      </c>
      <c r="R428" t="s">
        <v>220</v>
      </c>
      <c r="S428" t="s">
        <v>221</v>
      </c>
      <c r="T428" t="s">
        <v>221</v>
      </c>
    </row>
    <row r="429" spans="1:20">
      <c r="A429" s="241">
        <v>44001</v>
      </c>
      <c r="B429" t="s">
        <v>2768</v>
      </c>
      <c r="C429" t="s">
        <v>631</v>
      </c>
      <c r="D429" t="s">
        <v>392</v>
      </c>
      <c r="E429" t="s">
        <v>2769</v>
      </c>
      <c r="F429" t="s">
        <v>1127</v>
      </c>
      <c r="G429" t="s">
        <v>648</v>
      </c>
      <c r="H429" t="s">
        <v>395</v>
      </c>
      <c r="I429" t="s">
        <v>656</v>
      </c>
      <c r="J429" t="s">
        <v>1868</v>
      </c>
      <c r="K429" t="s">
        <v>256</v>
      </c>
      <c r="L429">
        <v>0.86</v>
      </c>
      <c r="M429" t="s">
        <v>2770</v>
      </c>
      <c r="N429" t="s">
        <v>2771</v>
      </c>
      <c r="O429" t="s">
        <v>2772</v>
      </c>
      <c r="P429" t="s">
        <v>485</v>
      </c>
      <c r="Q429" t="s">
        <v>219</v>
      </c>
      <c r="R429" t="s">
        <v>220</v>
      </c>
      <c r="S429" t="s">
        <v>221</v>
      </c>
      <c r="T429" t="s">
        <v>221</v>
      </c>
    </row>
    <row r="430" spans="1:20">
      <c r="A430" s="241">
        <v>44001</v>
      </c>
      <c r="B430" t="s">
        <v>2773</v>
      </c>
      <c r="C430" t="s">
        <v>1079</v>
      </c>
      <c r="D430" t="s">
        <v>382</v>
      </c>
      <c r="E430" t="s">
        <v>1121</v>
      </c>
      <c r="F430" t="s">
        <v>672</v>
      </c>
      <c r="G430" t="s">
        <v>2774</v>
      </c>
      <c r="H430" t="s">
        <v>1291</v>
      </c>
      <c r="I430" t="s">
        <v>664</v>
      </c>
      <c r="J430" t="s">
        <v>1116</v>
      </c>
      <c r="K430" t="s">
        <v>299</v>
      </c>
      <c r="L430">
        <v>0.86</v>
      </c>
      <c r="M430" t="s">
        <v>2775</v>
      </c>
      <c r="N430" t="s">
        <v>2776</v>
      </c>
      <c r="O430" t="s">
        <v>2777</v>
      </c>
      <c r="P430" t="s">
        <v>485</v>
      </c>
      <c r="Q430" t="s">
        <v>219</v>
      </c>
      <c r="R430" t="s">
        <v>220</v>
      </c>
      <c r="S430" t="s">
        <v>221</v>
      </c>
      <c r="T430" t="s">
        <v>221</v>
      </c>
    </row>
    <row r="431" spans="1:20">
      <c r="A431" s="241">
        <v>44001</v>
      </c>
      <c r="B431" t="s">
        <v>2778</v>
      </c>
      <c r="C431" t="s">
        <v>2478</v>
      </c>
      <c r="D431" t="s">
        <v>392</v>
      </c>
      <c r="E431" t="s">
        <v>1314</v>
      </c>
      <c r="F431" t="s">
        <v>689</v>
      </c>
      <c r="G431" t="s">
        <v>2177</v>
      </c>
      <c r="H431" t="s">
        <v>598</v>
      </c>
      <c r="I431" t="s">
        <v>376</v>
      </c>
      <c r="J431" t="s">
        <v>899</v>
      </c>
      <c r="K431" t="s">
        <v>268</v>
      </c>
      <c r="L431">
        <v>0.86</v>
      </c>
      <c r="M431" t="s">
        <v>2779</v>
      </c>
      <c r="N431" t="s">
        <v>2780</v>
      </c>
      <c r="O431" t="s">
        <v>2781</v>
      </c>
      <c r="P431" t="s">
        <v>485</v>
      </c>
      <c r="Q431" t="s">
        <v>219</v>
      </c>
      <c r="R431" t="s">
        <v>220</v>
      </c>
      <c r="S431" t="s">
        <v>221</v>
      </c>
      <c r="T431" t="s">
        <v>221</v>
      </c>
    </row>
    <row r="432" spans="1:20">
      <c r="A432" s="241">
        <v>44001</v>
      </c>
      <c r="B432" t="s">
        <v>2782</v>
      </c>
      <c r="C432" t="s">
        <v>712</v>
      </c>
      <c r="D432" t="s">
        <v>402</v>
      </c>
      <c r="E432" t="s">
        <v>646</v>
      </c>
      <c r="F432" t="s">
        <v>917</v>
      </c>
      <c r="G432" t="s">
        <v>681</v>
      </c>
      <c r="H432" t="s">
        <v>626</v>
      </c>
      <c r="I432" t="s">
        <v>674</v>
      </c>
      <c r="J432" t="s">
        <v>368</v>
      </c>
      <c r="K432" t="s">
        <v>280</v>
      </c>
      <c r="L432">
        <v>0.86</v>
      </c>
      <c r="M432" t="s">
        <v>2783</v>
      </c>
      <c r="N432" t="s">
        <v>2784</v>
      </c>
      <c r="O432" t="s">
        <v>2785</v>
      </c>
      <c r="P432" t="s">
        <v>485</v>
      </c>
      <c r="Q432" t="s">
        <v>219</v>
      </c>
      <c r="R432" t="s">
        <v>220</v>
      </c>
      <c r="S432" t="s">
        <v>221</v>
      </c>
      <c r="T432" t="s">
        <v>221</v>
      </c>
    </row>
    <row r="433" spans="1:20">
      <c r="A433" s="241">
        <v>44001</v>
      </c>
      <c r="B433" t="s">
        <v>2786</v>
      </c>
      <c r="C433" t="s">
        <v>1079</v>
      </c>
      <c r="D433" t="s">
        <v>443</v>
      </c>
      <c r="E433" t="s">
        <v>1102</v>
      </c>
      <c r="F433" t="s">
        <v>924</v>
      </c>
      <c r="G433" t="s">
        <v>1122</v>
      </c>
      <c r="H433" t="s">
        <v>926</v>
      </c>
      <c r="I433" t="s">
        <v>683</v>
      </c>
      <c r="J433" t="s">
        <v>377</v>
      </c>
      <c r="K433" t="s">
        <v>256</v>
      </c>
      <c r="L433">
        <v>0.86</v>
      </c>
      <c r="M433" t="s">
        <v>2787</v>
      </c>
      <c r="N433" t="s">
        <v>2788</v>
      </c>
      <c r="O433" t="s">
        <v>2789</v>
      </c>
      <c r="P433" t="s">
        <v>485</v>
      </c>
      <c r="Q433" t="s">
        <v>219</v>
      </c>
      <c r="R433" t="s">
        <v>220</v>
      </c>
      <c r="S433" t="s">
        <v>221</v>
      </c>
      <c r="T433" t="s">
        <v>221</v>
      </c>
    </row>
    <row r="434" spans="1:20">
      <c r="A434" s="241">
        <v>44001</v>
      </c>
      <c r="B434" t="s">
        <v>2790</v>
      </c>
      <c r="C434" t="s">
        <v>402</v>
      </c>
      <c r="D434" t="s">
        <v>443</v>
      </c>
      <c r="E434" t="s">
        <v>812</v>
      </c>
      <c r="F434" t="s">
        <v>433</v>
      </c>
      <c r="G434" t="s">
        <v>681</v>
      </c>
      <c r="H434" t="s">
        <v>713</v>
      </c>
      <c r="I434" t="s">
        <v>911</v>
      </c>
      <c r="J434" t="s">
        <v>1298</v>
      </c>
      <c r="K434" t="s">
        <v>338</v>
      </c>
      <c r="L434">
        <v>0.86</v>
      </c>
      <c r="M434" t="s">
        <v>2791</v>
      </c>
      <c r="N434" t="s">
        <v>2792</v>
      </c>
      <c r="O434" t="s">
        <v>2793</v>
      </c>
      <c r="P434" t="s">
        <v>485</v>
      </c>
      <c r="Q434" t="s">
        <v>219</v>
      </c>
      <c r="R434" t="s">
        <v>220</v>
      </c>
      <c r="S434" t="s">
        <v>221</v>
      </c>
      <c r="T434" t="s">
        <v>221</v>
      </c>
    </row>
    <row r="435" spans="1:20">
      <c r="A435" s="241">
        <v>44001</v>
      </c>
      <c r="B435" t="s">
        <v>2794</v>
      </c>
      <c r="C435" t="s">
        <v>1079</v>
      </c>
      <c r="D435" t="s">
        <v>250</v>
      </c>
      <c r="E435" t="s">
        <v>680</v>
      </c>
      <c r="F435" t="s">
        <v>1584</v>
      </c>
      <c r="G435" t="s">
        <v>1585</v>
      </c>
      <c r="H435" t="s">
        <v>1493</v>
      </c>
      <c r="I435" t="s">
        <v>1579</v>
      </c>
      <c r="J435" t="s">
        <v>912</v>
      </c>
      <c r="K435" t="s">
        <v>338</v>
      </c>
      <c r="L435">
        <v>0.86</v>
      </c>
      <c r="M435" t="s">
        <v>2795</v>
      </c>
      <c r="N435" t="s">
        <v>2796</v>
      </c>
      <c r="O435" t="s">
        <v>2797</v>
      </c>
      <c r="P435" t="s">
        <v>485</v>
      </c>
      <c r="Q435" t="s">
        <v>219</v>
      </c>
      <c r="R435" t="s">
        <v>220</v>
      </c>
      <c r="S435" t="s">
        <v>221</v>
      </c>
      <c r="T435" t="s">
        <v>221</v>
      </c>
    </row>
    <row r="436" spans="1:20">
      <c r="A436" s="241">
        <v>44001</v>
      </c>
      <c r="B436" t="s">
        <v>2798</v>
      </c>
      <c r="C436" t="s">
        <v>443</v>
      </c>
      <c r="D436" t="s">
        <v>1139</v>
      </c>
      <c r="E436" t="s">
        <v>2731</v>
      </c>
      <c r="F436" t="s">
        <v>937</v>
      </c>
      <c r="G436" t="s">
        <v>697</v>
      </c>
      <c r="H436" t="s">
        <v>333</v>
      </c>
      <c r="I436" t="s">
        <v>1140</v>
      </c>
      <c r="J436" t="s">
        <v>1141</v>
      </c>
      <c r="K436" t="s">
        <v>327</v>
      </c>
      <c r="L436">
        <v>0.86</v>
      </c>
      <c r="M436" t="s">
        <v>2799</v>
      </c>
      <c r="N436" t="s">
        <v>2800</v>
      </c>
      <c r="O436" t="s">
        <v>2801</v>
      </c>
      <c r="P436" t="s">
        <v>485</v>
      </c>
      <c r="Q436" t="s">
        <v>219</v>
      </c>
      <c r="R436" t="s">
        <v>220</v>
      </c>
      <c r="S436" t="s">
        <v>221</v>
      </c>
      <c r="T436" t="s">
        <v>221</v>
      </c>
    </row>
    <row r="437" spans="1:20">
      <c r="A437" s="241">
        <v>44001</v>
      </c>
      <c r="B437" t="s">
        <v>2802</v>
      </c>
      <c r="C437" t="s">
        <v>679</v>
      </c>
      <c r="D437" t="s">
        <v>1079</v>
      </c>
      <c r="E437" t="s">
        <v>1121</v>
      </c>
      <c r="F437" t="s">
        <v>433</v>
      </c>
      <c r="G437" t="s">
        <v>697</v>
      </c>
      <c r="H437" t="s">
        <v>2652</v>
      </c>
      <c r="I437" t="s">
        <v>2803</v>
      </c>
      <c r="J437" t="s">
        <v>2804</v>
      </c>
      <c r="K437" t="s">
        <v>2805</v>
      </c>
      <c r="L437">
        <v>0.86</v>
      </c>
      <c r="M437" t="s">
        <v>2806</v>
      </c>
      <c r="N437" t="s">
        <v>2807</v>
      </c>
      <c r="O437" t="s">
        <v>2808</v>
      </c>
      <c r="P437" t="s">
        <v>485</v>
      </c>
      <c r="Q437" t="s">
        <v>219</v>
      </c>
      <c r="R437" t="s">
        <v>220</v>
      </c>
      <c r="S437" t="s">
        <v>221</v>
      </c>
      <c r="T437" t="s">
        <v>221</v>
      </c>
    </row>
    <row r="438" spans="1:20">
      <c r="A438" s="241">
        <v>44001</v>
      </c>
      <c r="B438" t="s">
        <v>2809</v>
      </c>
      <c r="C438" t="s">
        <v>2810</v>
      </c>
      <c r="D438" t="s">
        <v>2811</v>
      </c>
      <c r="E438" t="s">
        <v>294</v>
      </c>
      <c r="F438" t="s">
        <v>2812</v>
      </c>
      <c r="G438" t="s">
        <v>2813</v>
      </c>
      <c r="H438" t="s">
        <v>489</v>
      </c>
      <c r="I438" t="s">
        <v>2814</v>
      </c>
      <c r="J438" t="s">
        <v>2815</v>
      </c>
      <c r="K438" t="s">
        <v>2816</v>
      </c>
      <c r="L438">
        <v>0.89</v>
      </c>
      <c r="M438" t="s">
        <v>2817</v>
      </c>
      <c r="N438" t="s">
        <v>2818</v>
      </c>
      <c r="O438" t="s">
        <v>2819</v>
      </c>
      <c r="P438" t="s">
        <v>485</v>
      </c>
      <c r="Q438" t="s">
        <v>219</v>
      </c>
      <c r="R438" t="s">
        <v>220</v>
      </c>
      <c r="S438" t="s">
        <v>221</v>
      </c>
      <c r="T438" t="s">
        <v>221</v>
      </c>
    </row>
    <row r="439" spans="1:20">
      <c r="A439" s="241">
        <v>44001</v>
      </c>
      <c r="B439" t="s">
        <v>2820</v>
      </c>
      <c r="C439" t="s">
        <v>2644</v>
      </c>
      <c r="D439" t="s">
        <v>2821</v>
      </c>
      <c r="E439" t="s">
        <v>274</v>
      </c>
      <c r="F439" t="s">
        <v>476</v>
      </c>
      <c r="G439" t="s">
        <v>1197</v>
      </c>
      <c r="H439" t="s">
        <v>2822</v>
      </c>
      <c r="I439" t="s">
        <v>1987</v>
      </c>
      <c r="J439" t="s">
        <v>2823</v>
      </c>
      <c r="K439" t="s">
        <v>771</v>
      </c>
      <c r="L439">
        <v>0.89</v>
      </c>
      <c r="M439" t="s">
        <v>2824</v>
      </c>
      <c r="N439" t="s">
        <v>2825</v>
      </c>
      <c r="O439" t="s">
        <v>2826</v>
      </c>
      <c r="P439" t="s">
        <v>485</v>
      </c>
      <c r="Q439" t="s">
        <v>219</v>
      </c>
      <c r="R439" t="s">
        <v>220</v>
      </c>
      <c r="S439" t="s">
        <v>221</v>
      </c>
      <c r="T439" t="s">
        <v>221</v>
      </c>
    </row>
    <row r="440" spans="1:20">
      <c r="A440" s="241">
        <v>44001</v>
      </c>
      <c r="B440" t="s">
        <v>2827</v>
      </c>
      <c r="C440" t="s">
        <v>1665</v>
      </c>
      <c r="D440" t="s">
        <v>1377</v>
      </c>
      <c r="E440" t="s">
        <v>274</v>
      </c>
      <c r="F440" t="s">
        <v>2645</v>
      </c>
      <c r="G440" t="s">
        <v>2255</v>
      </c>
      <c r="H440" t="s">
        <v>758</v>
      </c>
      <c r="I440" t="s">
        <v>492</v>
      </c>
      <c r="J440" t="s">
        <v>1208</v>
      </c>
      <c r="K440" t="s">
        <v>771</v>
      </c>
      <c r="L440">
        <v>0.89</v>
      </c>
      <c r="M440" t="s">
        <v>2828</v>
      </c>
      <c r="N440" t="s">
        <v>2829</v>
      </c>
      <c r="O440" t="s">
        <v>2830</v>
      </c>
      <c r="P440" t="s">
        <v>485</v>
      </c>
      <c r="Q440" t="s">
        <v>219</v>
      </c>
      <c r="R440" t="s">
        <v>220</v>
      </c>
      <c r="S440" t="s">
        <v>221</v>
      </c>
      <c r="T440" t="s">
        <v>221</v>
      </c>
    </row>
    <row r="441" spans="1:20">
      <c r="A441" s="241">
        <v>44001</v>
      </c>
      <c r="B441" t="s">
        <v>2831</v>
      </c>
      <c r="C441" t="s">
        <v>679</v>
      </c>
      <c r="D441" t="s">
        <v>208</v>
      </c>
      <c r="E441" t="s">
        <v>606</v>
      </c>
      <c r="F441" t="s">
        <v>2324</v>
      </c>
      <c r="G441" t="s">
        <v>2016</v>
      </c>
      <c r="H441" t="s">
        <v>1390</v>
      </c>
      <c r="I441" t="s">
        <v>1680</v>
      </c>
      <c r="J441" t="s">
        <v>2832</v>
      </c>
      <c r="K441" t="s">
        <v>2458</v>
      </c>
      <c r="L441">
        <v>0.87</v>
      </c>
      <c r="M441" t="s">
        <v>2833</v>
      </c>
      <c r="N441" t="s">
        <v>2834</v>
      </c>
      <c r="O441" t="s">
        <v>2835</v>
      </c>
      <c r="P441" t="s">
        <v>485</v>
      </c>
      <c r="Q441" t="s">
        <v>219</v>
      </c>
      <c r="R441" t="s">
        <v>220</v>
      </c>
      <c r="S441" t="s">
        <v>221</v>
      </c>
      <c r="T441" t="s">
        <v>221</v>
      </c>
    </row>
    <row r="442" spans="1:20">
      <c r="A442" s="241">
        <v>44001</v>
      </c>
      <c r="B442" t="s">
        <v>2836</v>
      </c>
      <c r="C442" t="s">
        <v>671</v>
      </c>
      <c r="D442" t="s">
        <v>208</v>
      </c>
      <c r="E442" t="s">
        <v>1049</v>
      </c>
      <c r="F442" t="s">
        <v>539</v>
      </c>
      <c r="G442" t="s">
        <v>2463</v>
      </c>
      <c r="H442" t="s">
        <v>1225</v>
      </c>
      <c r="I442" t="s">
        <v>1010</v>
      </c>
      <c r="J442" t="s">
        <v>1687</v>
      </c>
      <c r="K442" t="s">
        <v>781</v>
      </c>
      <c r="L442">
        <v>0.86</v>
      </c>
      <c r="M442" t="s">
        <v>2837</v>
      </c>
      <c r="N442" t="s">
        <v>2838</v>
      </c>
      <c r="O442" t="s">
        <v>2839</v>
      </c>
      <c r="P442" t="s">
        <v>485</v>
      </c>
      <c r="Q442" t="s">
        <v>219</v>
      </c>
      <c r="R442" t="s">
        <v>220</v>
      </c>
      <c r="S442" t="s">
        <v>221</v>
      </c>
      <c r="T442" t="s">
        <v>221</v>
      </c>
    </row>
    <row r="443" spans="1:20">
      <c r="A443" s="241">
        <v>44001</v>
      </c>
      <c r="B443" t="s">
        <v>2840</v>
      </c>
      <c r="C443" t="s">
        <v>2535</v>
      </c>
      <c r="D443" t="s">
        <v>631</v>
      </c>
      <c r="E443" t="s">
        <v>1049</v>
      </c>
      <c r="F443" t="s">
        <v>608</v>
      </c>
      <c r="G443" t="s">
        <v>1725</v>
      </c>
      <c r="H443" t="s">
        <v>776</v>
      </c>
      <c r="I443" t="s">
        <v>532</v>
      </c>
      <c r="J443" t="s">
        <v>1710</v>
      </c>
      <c r="K443" t="s">
        <v>1406</v>
      </c>
      <c r="L443">
        <v>0.86</v>
      </c>
      <c r="M443" t="s">
        <v>2841</v>
      </c>
      <c r="N443" t="s">
        <v>2842</v>
      </c>
      <c r="O443" t="s">
        <v>2843</v>
      </c>
      <c r="P443" t="s">
        <v>485</v>
      </c>
      <c r="Q443" t="s">
        <v>219</v>
      </c>
      <c r="R443" t="s">
        <v>220</v>
      </c>
      <c r="S443" t="s">
        <v>221</v>
      </c>
      <c r="T443" t="s">
        <v>221</v>
      </c>
    </row>
    <row r="444" spans="1:20">
      <c r="A444" s="241">
        <v>44001</v>
      </c>
      <c r="B444" t="s">
        <v>2844</v>
      </c>
      <c r="C444" t="s">
        <v>645</v>
      </c>
      <c r="D444" t="s">
        <v>208</v>
      </c>
      <c r="E444" t="s">
        <v>2731</v>
      </c>
      <c r="F444" t="s">
        <v>1231</v>
      </c>
      <c r="G444" t="s">
        <v>1715</v>
      </c>
      <c r="H444" t="s">
        <v>531</v>
      </c>
      <c r="I444" t="s">
        <v>522</v>
      </c>
      <c r="J444" t="s">
        <v>1405</v>
      </c>
      <c r="K444" t="s">
        <v>1234</v>
      </c>
      <c r="L444">
        <v>0.86</v>
      </c>
      <c r="M444" t="s">
        <v>2845</v>
      </c>
      <c r="N444" t="s">
        <v>2846</v>
      </c>
      <c r="O444" t="s">
        <v>2847</v>
      </c>
      <c r="P444" t="s">
        <v>485</v>
      </c>
      <c r="Q444" t="s">
        <v>219</v>
      </c>
      <c r="R444" t="s">
        <v>220</v>
      </c>
      <c r="S444" t="s">
        <v>221</v>
      </c>
      <c r="T444" t="s">
        <v>221</v>
      </c>
    </row>
    <row r="445" spans="1:20">
      <c r="A445" s="241">
        <v>44001</v>
      </c>
      <c r="B445" t="s">
        <v>2848</v>
      </c>
      <c r="C445" t="s">
        <v>208</v>
      </c>
      <c r="D445" t="s">
        <v>631</v>
      </c>
      <c r="E445" t="s">
        <v>1314</v>
      </c>
      <c r="F445" t="s">
        <v>226</v>
      </c>
      <c r="G445" t="s">
        <v>2314</v>
      </c>
      <c r="H445" t="s">
        <v>2305</v>
      </c>
      <c r="I445" t="s">
        <v>793</v>
      </c>
      <c r="J445" t="s">
        <v>2473</v>
      </c>
      <c r="K445" t="s">
        <v>1003</v>
      </c>
      <c r="L445">
        <v>0.86</v>
      </c>
      <c r="M445" t="s">
        <v>2849</v>
      </c>
      <c r="N445" t="s">
        <v>2850</v>
      </c>
      <c r="O445" t="s">
        <v>2851</v>
      </c>
      <c r="P445" t="s">
        <v>485</v>
      </c>
      <c r="Q445" t="s">
        <v>219</v>
      </c>
      <c r="R445" t="s">
        <v>220</v>
      </c>
      <c r="S445" t="s">
        <v>221</v>
      </c>
      <c r="T445" t="s">
        <v>221</v>
      </c>
    </row>
    <row r="446" spans="1:20">
      <c r="A446" s="241">
        <v>44001</v>
      </c>
      <c r="B446" t="s">
        <v>2852</v>
      </c>
      <c r="C446" t="s">
        <v>679</v>
      </c>
      <c r="D446" t="s">
        <v>402</v>
      </c>
      <c r="E446" t="s">
        <v>2769</v>
      </c>
      <c r="F446" t="s">
        <v>335</v>
      </c>
      <c r="G446" t="s">
        <v>2314</v>
      </c>
      <c r="H446" t="s">
        <v>1746</v>
      </c>
      <c r="I446" t="s">
        <v>1427</v>
      </c>
      <c r="J446" t="s">
        <v>1026</v>
      </c>
      <c r="K446" t="s">
        <v>781</v>
      </c>
      <c r="L446">
        <v>0.86</v>
      </c>
      <c r="M446" t="s">
        <v>2853</v>
      </c>
      <c r="N446" t="s">
        <v>2854</v>
      </c>
      <c r="O446" t="s">
        <v>2855</v>
      </c>
      <c r="P446" t="s">
        <v>485</v>
      </c>
      <c r="Q446" t="s">
        <v>219</v>
      </c>
      <c r="R446" t="s">
        <v>220</v>
      </c>
      <c r="S446" t="s">
        <v>221</v>
      </c>
      <c r="T446" t="s">
        <v>221</v>
      </c>
    </row>
    <row r="447" spans="1:20">
      <c r="A447" s="241">
        <v>44001</v>
      </c>
      <c r="B447" t="s">
        <v>2856</v>
      </c>
      <c r="C447" t="s">
        <v>679</v>
      </c>
      <c r="D447" t="s">
        <v>2549</v>
      </c>
      <c r="E447" t="s">
        <v>2544</v>
      </c>
      <c r="F447" t="s">
        <v>822</v>
      </c>
      <c r="G447" t="s">
        <v>1433</v>
      </c>
      <c r="H447" t="s">
        <v>1746</v>
      </c>
      <c r="I447" t="s">
        <v>1427</v>
      </c>
      <c r="J447" t="s">
        <v>543</v>
      </c>
      <c r="K447" t="s">
        <v>1234</v>
      </c>
      <c r="L447">
        <v>0.86</v>
      </c>
      <c r="M447" t="s">
        <v>2857</v>
      </c>
      <c r="N447" t="s">
        <v>2858</v>
      </c>
      <c r="O447" t="s">
        <v>2859</v>
      </c>
      <c r="P447" t="s">
        <v>485</v>
      </c>
      <c r="Q447" t="s">
        <v>219</v>
      </c>
      <c r="R447" t="s">
        <v>220</v>
      </c>
      <c r="S447" t="s">
        <v>221</v>
      </c>
      <c r="T447" t="s">
        <v>221</v>
      </c>
    </row>
    <row r="448" spans="1:20">
      <c r="A448" s="241">
        <v>44001</v>
      </c>
      <c r="B448" t="s">
        <v>2860</v>
      </c>
      <c r="C448" t="s">
        <v>631</v>
      </c>
      <c r="D448" t="s">
        <v>208</v>
      </c>
      <c r="E448" t="s">
        <v>2544</v>
      </c>
      <c r="F448" t="s">
        <v>1050</v>
      </c>
      <c r="G448" t="s">
        <v>1745</v>
      </c>
      <c r="H448" t="s">
        <v>2861</v>
      </c>
      <c r="I448" t="s">
        <v>1421</v>
      </c>
      <c r="J448" t="s">
        <v>2044</v>
      </c>
      <c r="K448" t="s">
        <v>1003</v>
      </c>
      <c r="L448">
        <v>0.86</v>
      </c>
      <c r="M448" t="s">
        <v>2862</v>
      </c>
      <c r="N448" t="s">
        <v>2863</v>
      </c>
      <c r="O448" t="s">
        <v>2864</v>
      </c>
      <c r="P448" t="s">
        <v>485</v>
      </c>
      <c r="Q448" t="s">
        <v>219</v>
      </c>
      <c r="R448" t="s">
        <v>220</v>
      </c>
      <c r="S448" t="s">
        <v>221</v>
      </c>
      <c r="T448" t="s">
        <v>221</v>
      </c>
    </row>
    <row r="449" spans="1:20">
      <c r="A449" s="241">
        <v>44001</v>
      </c>
      <c r="B449" t="s">
        <v>2865</v>
      </c>
      <c r="C449" t="s">
        <v>2549</v>
      </c>
      <c r="D449" t="s">
        <v>392</v>
      </c>
      <c r="E449" t="s">
        <v>2584</v>
      </c>
      <c r="F449" t="s">
        <v>618</v>
      </c>
      <c r="G449" t="s">
        <v>1433</v>
      </c>
      <c r="H449" t="s">
        <v>1038</v>
      </c>
      <c r="I449" t="s">
        <v>550</v>
      </c>
      <c r="J449" t="s">
        <v>533</v>
      </c>
      <c r="K449" t="s">
        <v>1406</v>
      </c>
      <c r="L449">
        <v>0.86</v>
      </c>
      <c r="M449" t="s">
        <v>2866</v>
      </c>
      <c r="N449" t="s">
        <v>2867</v>
      </c>
      <c r="O449" t="s">
        <v>2868</v>
      </c>
      <c r="P449" t="s">
        <v>485</v>
      </c>
      <c r="Q449" t="s">
        <v>219</v>
      </c>
      <c r="R449" t="s">
        <v>220</v>
      </c>
      <c r="S449" t="s">
        <v>221</v>
      </c>
      <c r="T449" t="s">
        <v>221</v>
      </c>
    </row>
    <row r="450" spans="1:20">
      <c r="A450" s="241">
        <v>44001</v>
      </c>
      <c r="B450" t="s">
        <v>2869</v>
      </c>
      <c r="C450" t="s">
        <v>1139</v>
      </c>
      <c r="D450" t="s">
        <v>343</v>
      </c>
      <c r="E450" t="s">
        <v>2870</v>
      </c>
      <c r="F450" t="s">
        <v>335</v>
      </c>
      <c r="G450" t="s">
        <v>814</v>
      </c>
      <c r="H450" t="s">
        <v>1426</v>
      </c>
      <c r="I450" t="s">
        <v>212</v>
      </c>
      <c r="J450" t="s">
        <v>1428</v>
      </c>
      <c r="K450" t="s">
        <v>1406</v>
      </c>
      <c r="L450">
        <v>0.86</v>
      </c>
      <c r="M450" t="s">
        <v>2871</v>
      </c>
      <c r="N450" t="s">
        <v>2872</v>
      </c>
      <c r="O450" t="s">
        <v>2873</v>
      </c>
      <c r="P450" t="s">
        <v>485</v>
      </c>
      <c r="Q450" t="s">
        <v>219</v>
      </c>
      <c r="R450" t="s">
        <v>220</v>
      </c>
      <c r="S450" t="s">
        <v>221</v>
      </c>
      <c r="T450" t="s">
        <v>221</v>
      </c>
    </row>
    <row r="451" spans="1:20">
      <c r="A451" s="241">
        <v>44001</v>
      </c>
      <c r="B451" t="s">
        <v>2874</v>
      </c>
      <c r="C451" t="s">
        <v>679</v>
      </c>
      <c r="D451" t="s">
        <v>443</v>
      </c>
      <c r="E451" t="s">
        <v>2875</v>
      </c>
      <c r="F451" t="s">
        <v>356</v>
      </c>
      <c r="G451" t="s">
        <v>240</v>
      </c>
      <c r="H451" t="s">
        <v>1704</v>
      </c>
      <c r="I451" t="s">
        <v>242</v>
      </c>
      <c r="J451" t="s">
        <v>1039</v>
      </c>
      <c r="K451" t="s">
        <v>1234</v>
      </c>
      <c r="L451">
        <v>0.86</v>
      </c>
      <c r="M451" t="s">
        <v>2876</v>
      </c>
      <c r="N451" t="s">
        <v>2877</v>
      </c>
      <c r="O451" t="s">
        <v>2878</v>
      </c>
      <c r="P451" t="s">
        <v>485</v>
      </c>
      <c r="Q451" t="s">
        <v>219</v>
      </c>
      <c r="R451" t="s">
        <v>220</v>
      </c>
      <c r="S451" t="s">
        <v>221</v>
      </c>
      <c r="T451" t="s">
        <v>221</v>
      </c>
    </row>
    <row r="452" spans="1:20">
      <c r="A452" s="241">
        <v>44001</v>
      </c>
      <c r="B452" t="s">
        <v>2879</v>
      </c>
      <c r="C452" t="s">
        <v>2478</v>
      </c>
      <c r="D452" t="s">
        <v>208</v>
      </c>
      <c r="E452" t="s">
        <v>2880</v>
      </c>
      <c r="F452" t="s">
        <v>576</v>
      </c>
      <c r="G452" t="s">
        <v>227</v>
      </c>
      <c r="H452" t="s">
        <v>1726</v>
      </c>
      <c r="I452" t="s">
        <v>806</v>
      </c>
      <c r="J452" t="s">
        <v>2881</v>
      </c>
      <c r="K452" t="s">
        <v>1406</v>
      </c>
      <c r="L452">
        <v>0.86</v>
      </c>
      <c r="M452" t="s">
        <v>2882</v>
      </c>
      <c r="N452" t="s">
        <v>2883</v>
      </c>
      <c r="O452" t="s">
        <v>2884</v>
      </c>
      <c r="P452" t="s">
        <v>485</v>
      </c>
      <c r="Q452" t="s">
        <v>2885</v>
      </c>
      <c r="R452" t="s">
        <v>2886</v>
      </c>
      <c r="S452" t="s">
        <v>2885</v>
      </c>
      <c r="T452" t="s">
        <v>2886</v>
      </c>
    </row>
    <row r="453" spans="1:20">
      <c r="A453" s="241">
        <v>44001</v>
      </c>
      <c r="B453" t="s">
        <v>2887</v>
      </c>
      <c r="C453" t="s">
        <v>2535</v>
      </c>
      <c r="D453" t="s">
        <v>2535</v>
      </c>
      <c r="E453" t="s">
        <v>2888</v>
      </c>
      <c r="F453" t="s">
        <v>590</v>
      </c>
      <c r="G453" t="s">
        <v>1442</v>
      </c>
      <c r="H453" t="s">
        <v>1257</v>
      </c>
      <c r="I453" t="s">
        <v>242</v>
      </c>
      <c r="J453" t="s">
        <v>1039</v>
      </c>
      <c r="K453" t="s">
        <v>1234</v>
      </c>
      <c r="L453">
        <v>0.86</v>
      </c>
      <c r="M453" t="s">
        <v>2889</v>
      </c>
      <c r="N453" t="s">
        <v>2890</v>
      </c>
      <c r="O453" t="s">
        <v>2891</v>
      </c>
      <c r="P453" t="s">
        <v>485</v>
      </c>
      <c r="Q453" t="s">
        <v>2885</v>
      </c>
      <c r="R453" t="s">
        <v>2886</v>
      </c>
      <c r="S453" t="s">
        <v>2885</v>
      </c>
      <c r="T453" t="s">
        <v>2886</v>
      </c>
    </row>
    <row r="454" spans="1:20">
      <c r="A454" s="241">
        <v>44001</v>
      </c>
      <c r="B454" t="s">
        <v>2892</v>
      </c>
      <c r="C454" t="s">
        <v>1079</v>
      </c>
      <c r="D454" t="s">
        <v>556</v>
      </c>
      <c r="E454" t="s">
        <v>2893</v>
      </c>
      <c r="F454" t="s">
        <v>626</v>
      </c>
      <c r="G454" t="s">
        <v>276</v>
      </c>
      <c r="H454" t="s">
        <v>805</v>
      </c>
      <c r="I454" t="s">
        <v>254</v>
      </c>
      <c r="J454" t="s">
        <v>1245</v>
      </c>
      <c r="K454" t="s">
        <v>1234</v>
      </c>
      <c r="L454">
        <v>0.86</v>
      </c>
      <c r="M454" t="s">
        <v>2894</v>
      </c>
      <c r="N454" t="s">
        <v>2895</v>
      </c>
      <c r="O454" t="s">
        <v>2896</v>
      </c>
      <c r="P454" t="s">
        <v>485</v>
      </c>
      <c r="Q454" t="s">
        <v>2885</v>
      </c>
      <c r="R454" t="s">
        <v>2886</v>
      </c>
      <c r="S454" t="s">
        <v>2885</v>
      </c>
      <c r="T454" t="s">
        <v>2886</v>
      </c>
    </row>
    <row r="455" spans="1:20">
      <c r="A455" s="241">
        <v>44001</v>
      </c>
      <c r="B455" t="s">
        <v>2897</v>
      </c>
      <c r="C455" t="s">
        <v>2478</v>
      </c>
      <c r="D455" t="s">
        <v>343</v>
      </c>
      <c r="E455" t="s">
        <v>2888</v>
      </c>
      <c r="F455" t="s">
        <v>835</v>
      </c>
      <c r="G455" t="s">
        <v>252</v>
      </c>
      <c r="H455" t="s">
        <v>1017</v>
      </c>
      <c r="I455" t="s">
        <v>242</v>
      </c>
      <c r="J455" t="s">
        <v>1039</v>
      </c>
      <c r="K455" t="s">
        <v>1234</v>
      </c>
      <c r="L455">
        <v>0.86</v>
      </c>
      <c r="M455" t="s">
        <v>2898</v>
      </c>
      <c r="N455" t="s">
        <v>2899</v>
      </c>
      <c r="O455" t="s">
        <v>2900</v>
      </c>
      <c r="P455" t="s">
        <v>485</v>
      </c>
      <c r="Q455" t="s">
        <v>2885</v>
      </c>
      <c r="R455" t="s">
        <v>2886</v>
      </c>
      <c r="S455" t="s">
        <v>2885</v>
      </c>
      <c r="T455" t="s">
        <v>2886</v>
      </c>
    </row>
    <row r="456" spans="1:20">
      <c r="A456" s="241">
        <v>44001</v>
      </c>
      <c r="B456" t="s">
        <v>2901</v>
      </c>
      <c r="C456" t="s">
        <v>2535</v>
      </c>
      <c r="D456" t="s">
        <v>402</v>
      </c>
      <c r="E456" t="s">
        <v>2769</v>
      </c>
      <c r="F456" t="s">
        <v>590</v>
      </c>
      <c r="G456" t="s">
        <v>1775</v>
      </c>
      <c r="H456" t="s">
        <v>1453</v>
      </c>
      <c r="I456" t="s">
        <v>569</v>
      </c>
      <c r="J456" t="s">
        <v>243</v>
      </c>
      <c r="K456" t="s">
        <v>1234</v>
      </c>
      <c r="L456">
        <v>0.86</v>
      </c>
      <c r="M456" t="s">
        <v>2902</v>
      </c>
      <c r="N456" t="s">
        <v>2903</v>
      </c>
      <c r="O456" t="s">
        <v>2904</v>
      </c>
      <c r="P456" t="s">
        <v>485</v>
      </c>
      <c r="Q456" t="s">
        <v>2885</v>
      </c>
      <c r="R456" t="s">
        <v>2886</v>
      </c>
      <c r="S456" t="s">
        <v>2885</v>
      </c>
      <c r="T456" t="s">
        <v>2886</v>
      </c>
    </row>
    <row r="457" spans="1:20">
      <c r="A457" s="241">
        <v>44001</v>
      </c>
      <c r="B457" t="s">
        <v>2905</v>
      </c>
      <c r="C457" t="s">
        <v>2549</v>
      </c>
      <c r="D457" t="s">
        <v>556</v>
      </c>
      <c r="E457" t="s">
        <v>2893</v>
      </c>
      <c r="F457" t="s">
        <v>1056</v>
      </c>
      <c r="G457" t="s">
        <v>1263</v>
      </c>
      <c r="H457" t="s">
        <v>1704</v>
      </c>
      <c r="I457" t="s">
        <v>254</v>
      </c>
      <c r="J457" t="s">
        <v>243</v>
      </c>
      <c r="K457" t="s">
        <v>1012</v>
      </c>
      <c r="L457">
        <v>0.86</v>
      </c>
      <c r="M457" t="s">
        <v>2906</v>
      </c>
      <c r="N457" t="s">
        <v>2907</v>
      </c>
      <c r="O457" t="s">
        <v>2908</v>
      </c>
      <c r="P457" t="s">
        <v>485</v>
      </c>
      <c r="Q457" t="s">
        <v>2885</v>
      </c>
      <c r="R457" t="s">
        <v>2886</v>
      </c>
      <c r="S457" t="s">
        <v>2885</v>
      </c>
      <c r="T457" t="s">
        <v>2886</v>
      </c>
    </row>
    <row r="458" spans="1:20">
      <c r="A458" s="241">
        <v>44001</v>
      </c>
      <c r="B458" t="s">
        <v>2909</v>
      </c>
      <c r="C458" t="s">
        <v>343</v>
      </c>
      <c r="D458" t="s">
        <v>343</v>
      </c>
      <c r="E458" t="s">
        <v>2731</v>
      </c>
      <c r="F458" t="s">
        <v>1080</v>
      </c>
      <c r="G458" t="s">
        <v>1068</v>
      </c>
      <c r="H458" t="s">
        <v>2910</v>
      </c>
      <c r="I458" t="s">
        <v>266</v>
      </c>
      <c r="J458" t="s">
        <v>1770</v>
      </c>
      <c r="K458" t="s">
        <v>1234</v>
      </c>
      <c r="L458">
        <v>0.86</v>
      </c>
      <c r="M458" t="s">
        <v>2911</v>
      </c>
      <c r="N458" t="s">
        <v>2912</v>
      </c>
      <c r="O458" t="s">
        <v>2913</v>
      </c>
      <c r="P458" t="s">
        <v>485</v>
      </c>
      <c r="Q458" t="s">
        <v>2885</v>
      </c>
      <c r="R458" t="s">
        <v>2886</v>
      </c>
      <c r="S458" t="s">
        <v>2885</v>
      </c>
      <c r="T458" t="s">
        <v>2886</v>
      </c>
    </row>
    <row r="459" spans="1:20">
      <c r="A459" s="241">
        <v>44001</v>
      </c>
      <c r="B459" t="s">
        <v>2914</v>
      </c>
      <c r="C459" t="s">
        <v>1079</v>
      </c>
      <c r="D459" t="s">
        <v>556</v>
      </c>
      <c r="E459" t="s">
        <v>2893</v>
      </c>
      <c r="F459" t="s">
        <v>626</v>
      </c>
      <c r="G459" t="s">
        <v>1263</v>
      </c>
      <c r="H459" t="s">
        <v>585</v>
      </c>
      <c r="I459" t="s">
        <v>278</v>
      </c>
      <c r="J459" t="s">
        <v>255</v>
      </c>
      <c r="K459" t="s">
        <v>1012</v>
      </c>
      <c r="L459">
        <v>0.86</v>
      </c>
      <c r="M459" t="s">
        <v>2915</v>
      </c>
      <c r="N459" t="s">
        <v>2916</v>
      </c>
      <c r="O459" t="s">
        <v>2917</v>
      </c>
      <c r="P459" t="s">
        <v>485</v>
      </c>
      <c r="Q459" t="s">
        <v>2885</v>
      </c>
      <c r="R459" t="s">
        <v>2886</v>
      </c>
      <c r="S459" t="s">
        <v>2885</v>
      </c>
      <c r="T459" t="s">
        <v>2886</v>
      </c>
    </row>
    <row r="460" spans="1:20">
      <c r="A460" s="241">
        <v>44001</v>
      </c>
      <c r="B460" t="s">
        <v>2918</v>
      </c>
      <c r="C460" t="s">
        <v>343</v>
      </c>
      <c r="D460" t="s">
        <v>382</v>
      </c>
      <c r="E460" t="s">
        <v>1102</v>
      </c>
      <c r="F460" t="s">
        <v>295</v>
      </c>
      <c r="G460" t="s">
        <v>1068</v>
      </c>
      <c r="H460" t="s">
        <v>529</v>
      </c>
      <c r="I460" t="s">
        <v>1264</v>
      </c>
      <c r="J460" t="s">
        <v>267</v>
      </c>
      <c r="K460" t="s">
        <v>515</v>
      </c>
      <c r="L460">
        <v>0.86</v>
      </c>
      <c r="M460" t="s">
        <v>2919</v>
      </c>
      <c r="N460" t="s">
        <v>2920</v>
      </c>
      <c r="O460" t="s">
        <v>2921</v>
      </c>
      <c r="P460" t="s">
        <v>485</v>
      </c>
      <c r="Q460" t="s">
        <v>2885</v>
      </c>
      <c r="R460" t="s">
        <v>2886</v>
      </c>
      <c r="S460" t="s">
        <v>2885</v>
      </c>
      <c r="T460" t="s">
        <v>2886</v>
      </c>
    </row>
    <row r="461" spans="1:20">
      <c r="A461" s="241">
        <v>44001</v>
      </c>
      <c r="B461" t="s">
        <v>2922</v>
      </c>
      <c r="C461" t="s">
        <v>1079</v>
      </c>
      <c r="D461" t="s">
        <v>343</v>
      </c>
      <c r="E461" t="s">
        <v>2769</v>
      </c>
      <c r="F461" t="s">
        <v>1467</v>
      </c>
      <c r="G461" t="s">
        <v>1462</v>
      </c>
      <c r="H461" t="s">
        <v>608</v>
      </c>
      <c r="I461" t="s">
        <v>1264</v>
      </c>
      <c r="J461" t="s">
        <v>1786</v>
      </c>
      <c r="K461" t="s">
        <v>524</v>
      </c>
      <c r="L461">
        <v>0.86</v>
      </c>
      <c r="M461" t="s">
        <v>2923</v>
      </c>
      <c r="N461" t="s">
        <v>2924</v>
      </c>
      <c r="O461" t="s">
        <v>2925</v>
      </c>
      <c r="P461" t="s">
        <v>485</v>
      </c>
      <c r="Q461" t="s">
        <v>2885</v>
      </c>
      <c r="R461" t="s">
        <v>2886</v>
      </c>
      <c r="S461" t="s">
        <v>2885</v>
      </c>
      <c r="T461" t="s">
        <v>2886</v>
      </c>
    </row>
    <row r="462" spans="1:20">
      <c r="A462" s="241">
        <v>44001</v>
      </c>
      <c r="B462" t="s">
        <v>2926</v>
      </c>
      <c r="C462" t="s">
        <v>208</v>
      </c>
      <c r="D462" t="s">
        <v>443</v>
      </c>
      <c r="E462" t="s">
        <v>2769</v>
      </c>
      <c r="F462" t="s">
        <v>1291</v>
      </c>
      <c r="G462" t="s">
        <v>1483</v>
      </c>
      <c r="H462" t="s">
        <v>2927</v>
      </c>
      <c r="I462" t="s">
        <v>849</v>
      </c>
      <c r="J462" t="s">
        <v>279</v>
      </c>
      <c r="K462" t="s">
        <v>515</v>
      </c>
      <c r="L462">
        <v>0.86</v>
      </c>
      <c r="M462" t="s">
        <v>2928</v>
      </c>
      <c r="N462" t="s">
        <v>2929</v>
      </c>
      <c r="O462" t="s">
        <v>2930</v>
      </c>
      <c r="P462" t="s">
        <v>485</v>
      </c>
      <c r="Q462" t="s">
        <v>2885</v>
      </c>
      <c r="R462" t="s">
        <v>2886</v>
      </c>
      <c r="S462" t="s">
        <v>2885</v>
      </c>
      <c r="T462" t="s">
        <v>2886</v>
      </c>
    </row>
    <row r="463" spans="1:20">
      <c r="A463" s="241">
        <v>44001</v>
      </c>
      <c r="B463" t="s">
        <v>2931</v>
      </c>
      <c r="C463" t="s">
        <v>2478</v>
      </c>
      <c r="D463" t="s">
        <v>2549</v>
      </c>
      <c r="E463" t="s">
        <v>2932</v>
      </c>
      <c r="F463" t="s">
        <v>926</v>
      </c>
      <c r="G463" t="s">
        <v>1483</v>
      </c>
      <c r="H463" t="s">
        <v>1478</v>
      </c>
      <c r="I463" t="s">
        <v>297</v>
      </c>
      <c r="J463" t="s">
        <v>1070</v>
      </c>
      <c r="K463" t="s">
        <v>524</v>
      </c>
      <c r="L463">
        <v>0.86</v>
      </c>
      <c r="M463" t="s">
        <v>2933</v>
      </c>
      <c r="N463" t="s">
        <v>2934</v>
      </c>
      <c r="O463" t="s">
        <v>2935</v>
      </c>
      <c r="P463" t="s">
        <v>485</v>
      </c>
      <c r="Q463" t="s">
        <v>2885</v>
      </c>
      <c r="R463" t="s">
        <v>2886</v>
      </c>
      <c r="S463" t="s">
        <v>2885</v>
      </c>
      <c r="T463" t="s">
        <v>2886</v>
      </c>
    </row>
    <row r="464" spans="1:20">
      <c r="A464" s="241">
        <v>44001</v>
      </c>
      <c r="B464" t="s">
        <v>2936</v>
      </c>
      <c r="C464" t="s">
        <v>402</v>
      </c>
      <c r="D464" t="s">
        <v>2549</v>
      </c>
      <c r="E464" t="s">
        <v>2880</v>
      </c>
      <c r="F464" t="s">
        <v>2151</v>
      </c>
      <c r="G464" t="s">
        <v>345</v>
      </c>
      <c r="H464" t="s">
        <v>608</v>
      </c>
      <c r="I464" t="s">
        <v>863</v>
      </c>
      <c r="J464" t="s">
        <v>298</v>
      </c>
      <c r="K464" t="s">
        <v>1032</v>
      </c>
      <c r="L464">
        <v>0.86</v>
      </c>
      <c r="M464" t="s">
        <v>2937</v>
      </c>
      <c r="N464" t="s">
        <v>2938</v>
      </c>
      <c r="O464" t="s">
        <v>2939</v>
      </c>
      <c r="P464" t="s">
        <v>485</v>
      </c>
      <c r="Q464" t="s">
        <v>2885</v>
      </c>
      <c r="R464" t="s">
        <v>2886</v>
      </c>
      <c r="S464" t="s">
        <v>2885</v>
      </c>
      <c r="T464" t="s">
        <v>2886</v>
      </c>
    </row>
    <row r="465" spans="1:20">
      <c r="A465" s="241">
        <v>44001</v>
      </c>
      <c r="B465" t="s">
        <v>2940</v>
      </c>
      <c r="C465" t="s">
        <v>2535</v>
      </c>
      <c r="D465" t="s">
        <v>556</v>
      </c>
      <c r="E465" t="s">
        <v>2880</v>
      </c>
      <c r="F465" t="s">
        <v>2151</v>
      </c>
      <c r="G465" t="s">
        <v>1500</v>
      </c>
      <c r="H465" t="s">
        <v>335</v>
      </c>
      <c r="I465" t="s">
        <v>1087</v>
      </c>
      <c r="J465" t="s">
        <v>309</v>
      </c>
      <c r="K465" t="s">
        <v>534</v>
      </c>
      <c r="L465">
        <v>0.86</v>
      </c>
      <c r="M465" t="s">
        <v>2941</v>
      </c>
      <c r="N465" t="s">
        <v>2942</v>
      </c>
      <c r="O465" t="s">
        <v>2943</v>
      </c>
      <c r="P465" t="s">
        <v>485</v>
      </c>
      <c r="Q465" t="s">
        <v>2885</v>
      </c>
      <c r="R465" t="s">
        <v>2886</v>
      </c>
      <c r="S465" t="s">
        <v>2885</v>
      </c>
      <c r="T465" t="s">
        <v>2886</v>
      </c>
    </row>
    <row r="466" spans="1:20">
      <c r="A466" s="241">
        <v>44001</v>
      </c>
      <c r="B466" t="s">
        <v>2944</v>
      </c>
      <c r="C466" t="s">
        <v>2535</v>
      </c>
      <c r="D466" t="s">
        <v>208</v>
      </c>
      <c r="E466" t="s">
        <v>2875</v>
      </c>
      <c r="F466" t="s">
        <v>682</v>
      </c>
      <c r="G466" t="s">
        <v>1517</v>
      </c>
      <c r="H466" t="s">
        <v>1231</v>
      </c>
      <c r="I466" t="s">
        <v>863</v>
      </c>
      <c r="J466" t="s">
        <v>592</v>
      </c>
      <c r="K466" t="s">
        <v>1012</v>
      </c>
      <c r="L466">
        <v>0.86</v>
      </c>
      <c r="M466" t="s">
        <v>2945</v>
      </c>
      <c r="N466" t="s">
        <v>2946</v>
      </c>
      <c r="O466" t="s">
        <v>2947</v>
      </c>
      <c r="P466" t="s">
        <v>485</v>
      </c>
      <c r="Q466" t="s">
        <v>2885</v>
      </c>
      <c r="R466" t="s">
        <v>2886</v>
      </c>
      <c r="S466" t="s">
        <v>2885</v>
      </c>
      <c r="T466" t="s">
        <v>2886</v>
      </c>
    </row>
    <row r="467" spans="1:20">
      <c r="A467" s="241">
        <v>44001</v>
      </c>
      <c r="B467" t="s">
        <v>2948</v>
      </c>
      <c r="C467" t="s">
        <v>631</v>
      </c>
      <c r="D467" t="s">
        <v>443</v>
      </c>
      <c r="E467" t="s">
        <v>2875</v>
      </c>
      <c r="F467" t="s">
        <v>682</v>
      </c>
      <c r="G467" t="s">
        <v>1110</v>
      </c>
      <c r="H467" t="s">
        <v>868</v>
      </c>
      <c r="I467" t="s">
        <v>1811</v>
      </c>
      <c r="J467" t="s">
        <v>601</v>
      </c>
      <c r="K467" t="s">
        <v>231</v>
      </c>
      <c r="L467">
        <v>0.86</v>
      </c>
      <c r="M467" t="s">
        <v>2949</v>
      </c>
      <c r="N467" t="s">
        <v>2950</v>
      </c>
      <c r="O467" t="s">
        <v>2951</v>
      </c>
      <c r="P467" t="s">
        <v>485</v>
      </c>
      <c r="Q467" t="s">
        <v>2885</v>
      </c>
      <c r="R467" t="s">
        <v>2886</v>
      </c>
      <c r="S467" t="s">
        <v>2885</v>
      </c>
      <c r="T467" t="s">
        <v>2886</v>
      </c>
    </row>
    <row r="468" spans="1:20">
      <c r="A468" s="241">
        <v>44001</v>
      </c>
      <c r="B468" t="s">
        <v>2952</v>
      </c>
      <c r="C468" t="s">
        <v>2549</v>
      </c>
      <c r="D468" t="s">
        <v>343</v>
      </c>
      <c r="E468" t="s">
        <v>2769</v>
      </c>
      <c r="F468" t="s">
        <v>706</v>
      </c>
      <c r="G468" t="s">
        <v>2160</v>
      </c>
      <c r="H468" t="s">
        <v>316</v>
      </c>
      <c r="I468" t="s">
        <v>619</v>
      </c>
      <c r="J468" t="s">
        <v>601</v>
      </c>
      <c r="K468" t="s">
        <v>1032</v>
      </c>
      <c r="L468">
        <v>0.86</v>
      </c>
      <c r="M468" t="s">
        <v>2953</v>
      </c>
      <c r="N468" t="s">
        <v>2954</v>
      </c>
      <c r="O468" t="s">
        <v>2955</v>
      </c>
      <c r="P468" t="s">
        <v>485</v>
      </c>
      <c r="Q468" t="s">
        <v>2885</v>
      </c>
      <c r="R468" t="s">
        <v>2886</v>
      </c>
      <c r="S468" t="s">
        <v>2885</v>
      </c>
      <c r="T468" t="s">
        <v>2886</v>
      </c>
    </row>
    <row r="469" spans="1:20">
      <c r="A469" s="241">
        <v>44001</v>
      </c>
      <c r="B469" t="s">
        <v>2956</v>
      </c>
      <c r="C469" t="s">
        <v>332</v>
      </c>
      <c r="D469" t="s">
        <v>382</v>
      </c>
      <c r="E469" t="s">
        <v>2731</v>
      </c>
      <c r="F469" t="s">
        <v>305</v>
      </c>
      <c r="G469" t="s">
        <v>617</v>
      </c>
      <c r="H469" t="s">
        <v>1769</v>
      </c>
      <c r="I469" t="s">
        <v>317</v>
      </c>
      <c r="J469" t="s">
        <v>309</v>
      </c>
      <c r="K469" t="s">
        <v>515</v>
      </c>
      <c r="L469">
        <v>0.86</v>
      </c>
      <c r="M469" t="s">
        <v>2957</v>
      </c>
      <c r="N469" t="s">
        <v>2958</v>
      </c>
      <c r="O469" t="s">
        <v>2959</v>
      </c>
      <c r="P469" t="s">
        <v>485</v>
      </c>
      <c r="Q469" t="s">
        <v>2885</v>
      </c>
      <c r="R469" t="s">
        <v>2886</v>
      </c>
      <c r="S469" t="s">
        <v>2885</v>
      </c>
      <c r="T469" t="s">
        <v>2886</v>
      </c>
    </row>
    <row r="470" spans="1:20">
      <c r="A470" s="241">
        <v>44001</v>
      </c>
      <c r="B470" t="s">
        <v>2960</v>
      </c>
      <c r="C470" t="s">
        <v>343</v>
      </c>
      <c r="D470" t="s">
        <v>238</v>
      </c>
      <c r="E470" t="s">
        <v>1314</v>
      </c>
      <c r="F470" t="s">
        <v>405</v>
      </c>
      <c r="G470" t="s">
        <v>1104</v>
      </c>
      <c r="H470" t="s">
        <v>251</v>
      </c>
      <c r="I470" t="s">
        <v>869</v>
      </c>
      <c r="J470" t="s">
        <v>1484</v>
      </c>
      <c r="K470" t="s">
        <v>214</v>
      </c>
      <c r="L470">
        <v>0.86</v>
      </c>
      <c r="M470" t="s">
        <v>2961</v>
      </c>
      <c r="N470" t="s">
        <v>2962</v>
      </c>
      <c r="O470" t="s">
        <v>2963</v>
      </c>
      <c r="P470" t="s">
        <v>485</v>
      </c>
      <c r="Q470" t="s">
        <v>2885</v>
      </c>
      <c r="R470" t="s">
        <v>2886</v>
      </c>
      <c r="S470" t="s">
        <v>2885</v>
      </c>
      <c r="T470" t="s">
        <v>2886</v>
      </c>
    </row>
    <row r="471" spans="1:20">
      <c r="A471" s="241">
        <v>44001</v>
      </c>
      <c r="B471" t="s">
        <v>2964</v>
      </c>
      <c r="C471" t="s">
        <v>392</v>
      </c>
      <c r="D471" t="s">
        <v>332</v>
      </c>
      <c r="E471" t="s">
        <v>2870</v>
      </c>
      <c r="F471" t="s">
        <v>633</v>
      </c>
      <c r="G471" t="s">
        <v>375</v>
      </c>
      <c r="H471" t="s">
        <v>649</v>
      </c>
      <c r="I471" t="s">
        <v>1097</v>
      </c>
      <c r="J471" t="s">
        <v>318</v>
      </c>
      <c r="K471" t="s">
        <v>515</v>
      </c>
      <c r="L471">
        <v>0.86</v>
      </c>
      <c r="M471" t="s">
        <v>2965</v>
      </c>
      <c r="N471" t="s">
        <v>2966</v>
      </c>
      <c r="O471" t="s">
        <v>2967</v>
      </c>
      <c r="P471" t="s">
        <v>485</v>
      </c>
      <c r="Q471" t="s">
        <v>2885</v>
      </c>
      <c r="R471" t="s">
        <v>2886</v>
      </c>
      <c r="S471" t="s">
        <v>2885</v>
      </c>
      <c r="T471" t="s">
        <v>2886</v>
      </c>
    </row>
    <row r="472" spans="1:20">
      <c r="A472" s="241">
        <v>44001</v>
      </c>
      <c r="B472" t="s">
        <v>2968</v>
      </c>
      <c r="C472" t="s">
        <v>402</v>
      </c>
      <c r="D472" t="s">
        <v>343</v>
      </c>
      <c r="E472" t="s">
        <v>2731</v>
      </c>
      <c r="F472" t="s">
        <v>1511</v>
      </c>
      <c r="G472" t="s">
        <v>2160</v>
      </c>
      <c r="H472" t="s">
        <v>1050</v>
      </c>
      <c r="I472" t="s">
        <v>1501</v>
      </c>
      <c r="J472" t="s">
        <v>870</v>
      </c>
      <c r="K472" t="s">
        <v>231</v>
      </c>
      <c r="L472">
        <v>0.86</v>
      </c>
      <c r="M472" t="s">
        <v>2969</v>
      </c>
      <c r="N472" t="s">
        <v>2970</v>
      </c>
      <c r="O472" t="s">
        <v>2971</v>
      </c>
      <c r="P472" t="s">
        <v>485</v>
      </c>
      <c r="Q472" t="s">
        <v>2885</v>
      </c>
      <c r="R472" t="s">
        <v>2886</v>
      </c>
      <c r="S472" t="s">
        <v>2885</v>
      </c>
      <c r="T472" t="s">
        <v>2886</v>
      </c>
    </row>
    <row r="473" spans="1:20">
      <c r="A473" s="241">
        <v>44001</v>
      </c>
      <c r="B473" t="s">
        <v>2972</v>
      </c>
      <c r="C473" t="s">
        <v>556</v>
      </c>
      <c r="D473" t="s">
        <v>2535</v>
      </c>
      <c r="E473" t="s">
        <v>2932</v>
      </c>
      <c r="F473" t="s">
        <v>333</v>
      </c>
      <c r="G473" t="s">
        <v>375</v>
      </c>
      <c r="H473" t="s">
        <v>275</v>
      </c>
      <c r="I473" t="s">
        <v>1097</v>
      </c>
      <c r="J473" t="s">
        <v>1092</v>
      </c>
      <c r="K473" t="s">
        <v>1032</v>
      </c>
      <c r="L473">
        <v>0.86</v>
      </c>
      <c r="M473" t="s">
        <v>2973</v>
      </c>
      <c r="N473" t="s">
        <v>2974</v>
      </c>
      <c r="O473" t="s">
        <v>2975</v>
      </c>
      <c r="P473" t="s">
        <v>485</v>
      </c>
      <c r="Q473" t="s">
        <v>2885</v>
      </c>
      <c r="R473" t="s">
        <v>2886</v>
      </c>
      <c r="S473" t="s">
        <v>2885</v>
      </c>
      <c r="T473" t="s">
        <v>2886</v>
      </c>
    </row>
    <row r="474" spans="1:20">
      <c r="A474" s="241">
        <v>44001</v>
      </c>
      <c r="B474" t="s">
        <v>2976</v>
      </c>
      <c r="C474" t="s">
        <v>443</v>
      </c>
      <c r="D474" t="s">
        <v>332</v>
      </c>
      <c r="E474" t="s">
        <v>2870</v>
      </c>
      <c r="F474" t="s">
        <v>333</v>
      </c>
      <c r="G474" t="s">
        <v>1115</v>
      </c>
      <c r="H474" t="s">
        <v>1769</v>
      </c>
      <c r="I474" t="s">
        <v>336</v>
      </c>
      <c r="J474" t="s">
        <v>1827</v>
      </c>
      <c r="K474" t="s">
        <v>515</v>
      </c>
      <c r="L474">
        <v>0.86</v>
      </c>
      <c r="M474" t="s">
        <v>2977</v>
      </c>
      <c r="N474" t="s">
        <v>2978</v>
      </c>
      <c r="O474" t="s">
        <v>2979</v>
      </c>
      <c r="P474" t="s">
        <v>485</v>
      </c>
      <c r="Q474" t="s">
        <v>2885</v>
      </c>
      <c r="R474" t="s">
        <v>2886</v>
      </c>
      <c r="S474" t="s">
        <v>2885</v>
      </c>
      <c r="T474" t="s">
        <v>2886</v>
      </c>
    </row>
    <row r="475" spans="1:20">
      <c r="A475" s="241">
        <v>44001</v>
      </c>
      <c r="B475" t="s">
        <v>2980</v>
      </c>
      <c r="C475" t="s">
        <v>2535</v>
      </c>
      <c r="D475" t="s">
        <v>2549</v>
      </c>
      <c r="E475" t="s">
        <v>2981</v>
      </c>
      <c r="F475" t="s">
        <v>454</v>
      </c>
      <c r="G475" t="s">
        <v>2774</v>
      </c>
      <c r="H475" t="s">
        <v>1467</v>
      </c>
      <c r="I475" t="s">
        <v>1518</v>
      </c>
      <c r="J475" t="s">
        <v>326</v>
      </c>
      <c r="K475" t="s">
        <v>571</v>
      </c>
      <c r="L475">
        <v>0.86</v>
      </c>
      <c r="M475" t="s">
        <v>2982</v>
      </c>
      <c r="N475" t="s">
        <v>2983</v>
      </c>
      <c r="O475" t="s">
        <v>2984</v>
      </c>
      <c r="P475" t="s">
        <v>485</v>
      </c>
      <c r="Q475" t="s">
        <v>2885</v>
      </c>
      <c r="R475" t="s">
        <v>2886</v>
      </c>
      <c r="S475" t="s">
        <v>2885</v>
      </c>
      <c r="T475" t="s">
        <v>2886</v>
      </c>
    </row>
    <row r="476" spans="1:20">
      <c r="A476" s="241">
        <v>44001</v>
      </c>
      <c r="B476" t="s">
        <v>2985</v>
      </c>
      <c r="C476" t="s">
        <v>382</v>
      </c>
      <c r="D476" t="s">
        <v>250</v>
      </c>
      <c r="E476" t="s">
        <v>2584</v>
      </c>
      <c r="F476" t="s">
        <v>897</v>
      </c>
      <c r="G476" t="s">
        <v>1115</v>
      </c>
      <c r="H476" t="s">
        <v>1769</v>
      </c>
      <c r="I476" t="s">
        <v>1518</v>
      </c>
      <c r="J476" t="s">
        <v>634</v>
      </c>
      <c r="K476" t="s">
        <v>534</v>
      </c>
      <c r="L476">
        <v>0.86</v>
      </c>
      <c r="M476" t="s">
        <v>2986</v>
      </c>
      <c r="N476" t="s">
        <v>2987</v>
      </c>
      <c r="O476" t="s">
        <v>2988</v>
      </c>
      <c r="P476" t="s">
        <v>485</v>
      </c>
      <c r="Q476" t="s">
        <v>2885</v>
      </c>
      <c r="R476" t="s">
        <v>2886</v>
      </c>
      <c r="S476" t="s">
        <v>2885</v>
      </c>
      <c r="T476" t="s">
        <v>2886</v>
      </c>
    </row>
    <row r="477" spans="1:20">
      <c r="A477" s="241">
        <v>44001</v>
      </c>
      <c r="B477" t="s">
        <v>2989</v>
      </c>
      <c r="C477" t="s">
        <v>2549</v>
      </c>
      <c r="D477" t="s">
        <v>402</v>
      </c>
      <c r="E477" t="s">
        <v>2888</v>
      </c>
      <c r="F477" t="s">
        <v>1511</v>
      </c>
      <c r="G477" t="s">
        <v>1590</v>
      </c>
      <c r="H477" t="s">
        <v>366</v>
      </c>
      <c r="I477" t="s">
        <v>1097</v>
      </c>
      <c r="J477" t="s">
        <v>634</v>
      </c>
      <c r="K477" t="s">
        <v>579</v>
      </c>
      <c r="L477">
        <v>0.86</v>
      </c>
      <c r="M477" t="s">
        <v>2990</v>
      </c>
      <c r="N477" t="s">
        <v>2991</v>
      </c>
      <c r="O477" t="s">
        <v>2992</v>
      </c>
      <c r="P477" t="s">
        <v>485</v>
      </c>
      <c r="Q477" t="s">
        <v>2885</v>
      </c>
      <c r="R477" t="s">
        <v>2886</v>
      </c>
      <c r="S477" t="s">
        <v>2885</v>
      </c>
      <c r="T477" t="s">
        <v>2886</v>
      </c>
    </row>
    <row r="478" spans="1:20">
      <c r="A478" s="241">
        <v>44001</v>
      </c>
      <c r="B478" t="s">
        <v>2993</v>
      </c>
      <c r="C478" t="s">
        <v>2549</v>
      </c>
      <c r="D478" t="s">
        <v>382</v>
      </c>
      <c r="E478" t="s">
        <v>2932</v>
      </c>
      <c r="F478" t="s">
        <v>364</v>
      </c>
      <c r="G478" t="s">
        <v>1115</v>
      </c>
      <c r="H478" t="s">
        <v>616</v>
      </c>
      <c r="I478" t="s">
        <v>888</v>
      </c>
      <c r="J478" t="s">
        <v>326</v>
      </c>
      <c r="K478" t="s">
        <v>1032</v>
      </c>
      <c r="L478">
        <v>0.86</v>
      </c>
      <c r="M478" t="s">
        <v>2994</v>
      </c>
      <c r="N478" t="s">
        <v>2995</v>
      </c>
      <c r="O478" t="s">
        <v>2996</v>
      </c>
      <c r="P478" t="s">
        <v>485</v>
      </c>
      <c r="Q478" t="s">
        <v>2885</v>
      </c>
      <c r="R478" t="s">
        <v>2886</v>
      </c>
      <c r="S478" t="s">
        <v>2885</v>
      </c>
      <c r="T478" t="s">
        <v>2886</v>
      </c>
    </row>
    <row r="479" spans="1:20">
      <c r="A479" s="241">
        <v>44001</v>
      </c>
      <c r="B479" t="s">
        <v>2997</v>
      </c>
      <c r="C479" t="s">
        <v>2535</v>
      </c>
      <c r="D479" t="s">
        <v>332</v>
      </c>
      <c r="E479" t="s">
        <v>2888</v>
      </c>
      <c r="F479" t="s">
        <v>364</v>
      </c>
      <c r="G479" t="s">
        <v>1590</v>
      </c>
      <c r="H479" t="s">
        <v>356</v>
      </c>
      <c r="I479" t="s">
        <v>1518</v>
      </c>
      <c r="J479" t="s">
        <v>326</v>
      </c>
      <c r="K479" t="s">
        <v>231</v>
      </c>
      <c r="L479">
        <v>0.86</v>
      </c>
      <c r="M479" t="s">
        <v>2998</v>
      </c>
      <c r="N479" t="s">
        <v>2999</v>
      </c>
      <c r="O479" t="s">
        <v>3000</v>
      </c>
      <c r="P479" t="s">
        <v>485</v>
      </c>
      <c r="Q479" t="s">
        <v>2885</v>
      </c>
      <c r="R479" t="s">
        <v>2886</v>
      </c>
      <c r="S479" t="s">
        <v>2885</v>
      </c>
      <c r="T479" t="s">
        <v>2886</v>
      </c>
    </row>
    <row r="480" spans="1:20">
      <c r="A480" s="241">
        <v>44001</v>
      </c>
      <c r="B480" t="s">
        <v>3001</v>
      </c>
      <c r="C480" t="s">
        <v>402</v>
      </c>
      <c r="D480" t="s">
        <v>304</v>
      </c>
      <c r="E480" t="s">
        <v>2880</v>
      </c>
      <c r="F480" t="s">
        <v>909</v>
      </c>
      <c r="G480" t="s">
        <v>1562</v>
      </c>
      <c r="H480" t="s">
        <v>1056</v>
      </c>
      <c r="I480" t="s">
        <v>1859</v>
      </c>
      <c r="J480" t="s">
        <v>337</v>
      </c>
      <c r="K480" t="s">
        <v>231</v>
      </c>
      <c r="L480">
        <v>0.86</v>
      </c>
      <c r="M480" t="s">
        <v>3002</v>
      </c>
      <c r="N480" t="s">
        <v>3003</v>
      </c>
      <c r="O480" t="s">
        <v>3004</v>
      </c>
      <c r="P480" t="s">
        <v>485</v>
      </c>
      <c r="Q480" t="s">
        <v>2885</v>
      </c>
      <c r="R480" t="s">
        <v>2886</v>
      </c>
      <c r="S480" t="s">
        <v>2885</v>
      </c>
      <c r="T480" t="s">
        <v>2886</v>
      </c>
    </row>
    <row r="481" spans="1:20">
      <c r="A481" s="241">
        <v>44001</v>
      </c>
      <c r="B481" t="s">
        <v>3005</v>
      </c>
      <c r="C481" t="s">
        <v>402</v>
      </c>
      <c r="D481" t="s">
        <v>424</v>
      </c>
      <c r="E481" t="s">
        <v>3006</v>
      </c>
      <c r="F481" t="s">
        <v>1127</v>
      </c>
      <c r="G481" t="s">
        <v>673</v>
      </c>
      <c r="H481" t="s">
        <v>1080</v>
      </c>
      <c r="I481" t="s">
        <v>656</v>
      </c>
      <c r="J481" t="s">
        <v>2372</v>
      </c>
      <c r="K481" t="s">
        <v>571</v>
      </c>
      <c r="L481">
        <v>0.86</v>
      </c>
      <c r="M481" t="s">
        <v>3007</v>
      </c>
      <c r="N481" t="s">
        <v>3008</v>
      </c>
      <c r="O481" t="s">
        <v>3009</v>
      </c>
      <c r="P481" t="s">
        <v>485</v>
      </c>
      <c r="Q481" t="s">
        <v>2885</v>
      </c>
      <c r="R481" t="s">
        <v>2886</v>
      </c>
      <c r="S481" t="s">
        <v>2885</v>
      </c>
      <c r="T481" t="s">
        <v>2886</v>
      </c>
    </row>
    <row r="482" spans="1:20">
      <c r="A482" s="241">
        <v>44001</v>
      </c>
      <c r="B482" t="s">
        <v>3010</v>
      </c>
      <c r="C482" t="s">
        <v>208</v>
      </c>
      <c r="D482" t="s">
        <v>343</v>
      </c>
      <c r="E482" t="s">
        <v>3011</v>
      </c>
      <c r="F482" t="s">
        <v>2579</v>
      </c>
      <c r="G482" t="s">
        <v>1585</v>
      </c>
      <c r="H482" t="s">
        <v>314</v>
      </c>
      <c r="I482" t="s">
        <v>386</v>
      </c>
      <c r="J482" t="s">
        <v>665</v>
      </c>
      <c r="K482" t="s">
        <v>579</v>
      </c>
      <c r="L482">
        <v>0.86</v>
      </c>
      <c r="M482" t="s">
        <v>3012</v>
      </c>
      <c r="N482" t="s">
        <v>3013</v>
      </c>
      <c r="O482" t="s">
        <v>3014</v>
      </c>
      <c r="P482" t="s">
        <v>485</v>
      </c>
      <c r="Q482" t="s">
        <v>2885</v>
      </c>
      <c r="R482" t="s">
        <v>2886</v>
      </c>
      <c r="S482" t="s">
        <v>2885</v>
      </c>
      <c r="T482" t="s">
        <v>2886</v>
      </c>
    </row>
    <row r="483" spans="1:20">
      <c r="A483" s="241">
        <v>44001</v>
      </c>
      <c r="B483" t="s">
        <v>3015</v>
      </c>
      <c r="C483" t="s">
        <v>208</v>
      </c>
      <c r="D483" t="s">
        <v>382</v>
      </c>
      <c r="E483" t="s">
        <v>2888</v>
      </c>
      <c r="F483" t="s">
        <v>909</v>
      </c>
      <c r="G483" t="s">
        <v>681</v>
      </c>
      <c r="H483" t="s">
        <v>855</v>
      </c>
      <c r="I483" t="s">
        <v>1547</v>
      </c>
      <c r="J483" t="s">
        <v>1116</v>
      </c>
      <c r="K483" t="s">
        <v>244</v>
      </c>
      <c r="L483">
        <v>0.86</v>
      </c>
      <c r="M483" t="s">
        <v>3016</v>
      </c>
      <c r="N483" t="s">
        <v>3017</v>
      </c>
      <c r="O483" t="s">
        <v>3018</v>
      </c>
      <c r="P483" t="s">
        <v>485</v>
      </c>
      <c r="Q483" t="s">
        <v>2885</v>
      </c>
      <c r="R483" t="s">
        <v>2886</v>
      </c>
      <c r="S483" t="s">
        <v>2885</v>
      </c>
      <c r="T483" t="s">
        <v>2886</v>
      </c>
    </row>
    <row r="484" spans="1:20">
      <c r="A484" s="241">
        <v>44001</v>
      </c>
      <c r="B484" t="s">
        <v>3019</v>
      </c>
      <c r="C484" t="s">
        <v>343</v>
      </c>
      <c r="D484" t="s">
        <v>343</v>
      </c>
      <c r="E484" t="s">
        <v>2932</v>
      </c>
      <c r="F484" t="s">
        <v>2574</v>
      </c>
      <c r="G484" t="s">
        <v>2393</v>
      </c>
      <c r="H484" t="s">
        <v>926</v>
      </c>
      <c r="I484" t="s">
        <v>376</v>
      </c>
      <c r="J484" t="s">
        <v>1116</v>
      </c>
      <c r="K484" t="s">
        <v>579</v>
      </c>
      <c r="L484">
        <v>0.86</v>
      </c>
      <c r="M484" t="s">
        <v>3020</v>
      </c>
      <c r="N484" t="s">
        <v>3021</v>
      </c>
      <c r="O484" t="s">
        <v>3022</v>
      </c>
      <c r="P484" t="s">
        <v>485</v>
      </c>
      <c r="Q484" t="s">
        <v>2885</v>
      </c>
      <c r="R484" t="s">
        <v>2886</v>
      </c>
      <c r="S484" t="s">
        <v>2885</v>
      </c>
      <c r="T484" t="s">
        <v>2886</v>
      </c>
    </row>
    <row r="485" spans="1:20">
      <c r="A485" s="241">
        <v>44001</v>
      </c>
      <c r="B485" t="s">
        <v>3023</v>
      </c>
      <c r="C485" t="s">
        <v>2535</v>
      </c>
      <c r="D485" t="s">
        <v>238</v>
      </c>
      <c r="E485" t="s">
        <v>3006</v>
      </c>
      <c r="F485" t="s">
        <v>403</v>
      </c>
      <c r="G485" t="s">
        <v>925</v>
      </c>
      <c r="H485" t="s">
        <v>314</v>
      </c>
      <c r="I485" t="s">
        <v>396</v>
      </c>
      <c r="J485" t="s">
        <v>387</v>
      </c>
      <c r="K485" t="s">
        <v>579</v>
      </c>
      <c r="L485">
        <v>0.86</v>
      </c>
      <c r="M485" t="s">
        <v>3024</v>
      </c>
      <c r="N485" t="s">
        <v>3025</v>
      </c>
      <c r="O485" t="s">
        <v>3026</v>
      </c>
      <c r="P485" t="s">
        <v>485</v>
      </c>
      <c r="Q485" t="s">
        <v>2885</v>
      </c>
      <c r="R485" t="s">
        <v>2886</v>
      </c>
      <c r="S485" t="s">
        <v>2885</v>
      </c>
      <c r="T485" t="s">
        <v>2886</v>
      </c>
    </row>
    <row r="486" spans="1:20">
      <c r="A486" s="241">
        <v>44001</v>
      </c>
      <c r="B486" t="s">
        <v>3027</v>
      </c>
      <c r="C486" t="s">
        <v>208</v>
      </c>
      <c r="D486" t="s">
        <v>696</v>
      </c>
      <c r="E486" t="s">
        <v>3006</v>
      </c>
      <c r="F486" t="s">
        <v>403</v>
      </c>
      <c r="G486" t="s">
        <v>2393</v>
      </c>
      <c r="H486" t="s">
        <v>426</v>
      </c>
      <c r="I486" t="s">
        <v>683</v>
      </c>
      <c r="J486" t="s">
        <v>665</v>
      </c>
      <c r="K486" t="s">
        <v>571</v>
      </c>
      <c r="L486">
        <v>0.86</v>
      </c>
      <c r="M486" t="s">
        <v>3028</v>
      </c>
      <c r="N486" t="s">
        <v>3029</v>
      </c>
      <c r="O486" t="s">
        <v>3030</v>
      </c>
      <c r="P486" t="s">
        <v>485</v>
      </c>
      <c r="Q486" t="s">
        <v>2885</v>
      </c>
      <c r="R486" t="s">
        <v>2886</v>
      </c>
      <c r="S486" t="s">
        <v>2885</v>
      </c>
      <c r="T486" t="s">
        <v>2886</v>
      </c>
    </row>
    <row r="487" spans="1:20">
      <c r="A487" s="241">
        <v>44001</v>
      </c>
      <c r="B487" t="s">
        <v>3031</v>
      </c>
      <c r="C487" t="s">
        <v>382</v>
      </c>
      <c r="D487" t="s">
        <v>424</v>
      </c>
      <c r="E487" t="s">
        <v>2544</v>
      </c>
      <c r="F487" t="s">
        <v>433</v>
      </c>
      <c r="G487" t="s">
        <v>425</v>
      </c>
      <c r="H487" t="s">
        <v>682</v>
      </c>
      <c r="I487" t="s">
        <v>683</v>
      </c>
      <c r="J487" t="s">
        <v>377</v>
      </c>
      <c r="K487" t="s">
        <v>256</v>
      </c>
      <c r="L487">
        <v>0.86</v>
      </c>
      <c r="M487" t="s">
        <v>3032</v>
      </c>
      <c r="N487" t="s">
        <v>3033</v>
      </c>
      <c r="O487" t="s">
        <v>3034</v>
      </c>
      <c r="P487" t="s">
        <v>485</v>
      </c>
      <c r="Q487" t="s">
        <v>2885</v>
      </c>
      <c r="R487" t="s">
        <v>2886</v>
      </c>
      <c r="S487" t="s">
        <v>2885</v>
      </c>
      <c r="T487" t="s">
        <v>2886</v>
      </c>
    </row>
    <row r="488" spans="1:20">
      <c r="A488" s="241">
        <v>44001</v>
      </c>
      <c r="B488" t="s">
        <v>3035</v>
      </c>
      <c r="C488" t="s">
        <v>238</v>
      </c>
      <c r="D488" t="s">
        <v>250</v>
      </c>
      <c r="E488" t="s">
        <v>2584</v>
      </c>
      <c r="F488" t="s">
        <v>403</v>
      </c>
      <c r="G488" t="s">
        <v>414</v>
      </c>
      <c r="H488" t="s">
        <v>682</v>
      </c>
      <c r="I488" t="s">
        <v>911</v>
      </c>
      <c r="J488" t="s">
        <v>377</v>
      </c>
      <c r="K488" t="s">
        <v>231</v>
      </c>
      <c r="L488">
        <v>0.86</v>
      </c>
      <c r="M488" t="s">
        <v>3036</v>
      </c>
      <c r="N488" t="s">
        <v>3037</v>
      </c>
      <c r="O488" t="s">
        <v>3038</v>
      </c>
      <c r="P488" t="s">
        <v>485</v>
      </c>
      <c r="Q488" t="s">
        <v>2885</v>
      </c>
      <c r="R488" t="s">
        <v>2886</v>
      </c>
      <c r="S488" t="s">
        <v>2885</v>
      </c>
      <c r="T488" t="s">
        <v>2886</v>
      </c>
    </row>
    <row r="489" spans="1:20">
      <c r="A489" s="241">
        <v>44001</v>
      </c>
      <c r="B489" t="s">
        <v>3039</v>
      </c>
      <c r="C489" t="s">
        <v>208</v>
      </c>
      <c r="D489" t="s">
        <v>332</v>
      </c>
      <c r="E489" t="s">
        <v>3040</v>
      </c>
      <c r="F489" t="s">
        <v>689</v>
      </c>
      <c r="G489" t="s">
        <v>414</v>
      </c>
      <c r="H489" t="s">
        <v>405</v>
      </c>
      <c r="I489" t="s">
        <v>396</v>
      </c>
      <c r="J489" t="s">
        <v>387</v>
      </c>
      <c r="K489" t="s">
        <v>299</v>
      </c>
      <c r="L489">
        <v>0.86</v>
      </c>
      <c r="M489" t="s">
        <v>3041</v>
      </c>
      <c r="N489" t="s">
        <v>3042</v>
      </c>
      <c r="O489" t="s">
        <v>3043</v>
      </c>
      <c r="P489" t="s">
        <v>485</v>
      </c>
      <c r="Q489" t="s">
        <v>2885</v>
      </c>
      <c r="R489" t="s">
        <v>2886</v>
      </c>
      <c r="S489" t="s">
        <v>2885</v>
      </c>
      <c r="T489" t="s">
        <v>2886</v>
      </c>
    </row>
    <row r="490" spans="1:20">
      <c r="A490" s="241">
        <v>44001</v>
      </c>
      <c r="B490" t="s">
        <v>3044</v>
      </c>
      <c r="C490" t="s">
        <v>382</v>
      </c>
      <c r="D490" t="s">
        <v>443</v>
      </c>
      <c r="E490" t="s">
        <v>3045</v>
      </c>
      <c r="F490" t="s">
        <v>403</v>
      </c>
      <c r="G490" t="s">
        <v>425</v>
      </c>
      <c r="H490" t="s">
        <v>415</v>
      </c>
      <c r="I490" t="s">
        <v>396</v>
      </c>
      <c r="J490" t="s">
        <v>1128</v>
      </c>
      <c r="K490" t="s">
        <v>244</v>
      </c>
      <c r="L490">
        <v>0.86</v>
      </c>
      <c r="M490" t="s">
        <v>3046</v>
      </c>
      <c r="N490" t="s">
        <v>3047</v>
      </c>
      <c r="O490" t="s">
        <v>3048</v>
      </c>
      <c r="P490" t="s">
        <v>485</v>
      </c>
      <c r="Q490" t="s">
        <v>2885</v>
      </c>
      <c r="R490" t="s">
        <v>2886</v>
      </c>
      <c r="S490" t="s">
        <v>2885</v>
      </c>
      <c r="T490" t="s">
        <v>2886</v>
      </c>
    </row>
    <row r="491" spans="1:20">
      <c r="A491" s="241">
        <v>44001</v>
      </c>
      <c r="B491" t="s">
        <v>3049</v>
      </c>
      <c r="C491" t="s">
        <v>343</v>
      </c>
      <c r="D491" t="s">
        <v>696</v>
      </c>
      <c r="E491" t="s">
        <v>2880</v>
      </c>
      <c r="F491" t="s">
        <v>924</v>
      </c>
      <c r="G491" t="s">
        <v>728</v>
      </c>
      <c r="H491" t="s">
        <v>426</v>
      </c>
      <c r="I491" t="s">
        <v>1579</v>
      </c>
      <c r="J491" t="s">
        <v>684</v>
      </c>
      <c r="K491" t="s">
        <v>244</v>
      </c>
      <c r="L491">
        <v>0.86</v>
      </c>
      <c r="M491" t="s">
        <v>3050</v>
      </c>
      <c r="N491" t="s">
        <v>3051</v>
      </c>
      <c r="O491" t="s">
        <v>3052</v>
      </c>
      <c r="P491" t="s">
        <v>485</v>
      </c>
      <c r="Q491" t="s">
        <v>2885</v>
      </c>
      <c r="R491" t="s">
        <v>2886</v>
      </c>
      <c r="S491" t="s">
        <v>2885</v>
      </c>
      <c r="T491" t="s">
        <v>2886</v>
      </c>
    </row>
    <row r="492" spans="1:20">
      <c r="A492" s="241">
        <v>44001</v>
      </c>
      <c r="B492" t="s">
        <v>3053</v>
      </c>
      <c r="C492" t="s">
        <v>443</v>
      </c>
      <c r="D492" t="s">
        <v>696</v>
      </c>
      <c r="E492" t="s">
        <v>3054</v>
      </c>
      <c r="F492" t="s">
        <v>952</v>
      </c>
      <c r="G492" t="s">
        <v>938</v>
      </c>
      <c r="H492" t="s">
        <v>435</v>
      </c>
      <c r="I492" t="s">
        <v>932</v>
      </c>
      <c r="J492" t="s">
        <v>912</v>
      </c>
      <c r="K492" t="s">
        <v>571</v>
      </c>
      <c r="L492">
        <v>0.86</v>
      </c>
      <c r="M492" t="s">
        <v>3055</v>
      </c>
      <c r="N492" t="s">
        <v>3056</v>
      </c>
      <c r="O492" t="s">
        <v>3057</v>
      </c>
      <c r="P492" t="s">
        <v>485</v>
      </c>
      <c r="Q492" t="s">
        <v>2885</v>
      </c>
      <c r="R492" t="s">
        <v>2886</v>
      </c>
      <c r="S492" t="s">
        <v>2885</v>
      </c>
      <c r="T492" t="s">
        <v>2886</v>
      </c>
    </row>
    <row r="493" spans="1:20">
      <c r="A493" s="241">
        <v>44001</v>
      </c>
      <c r="B493" t="s">
        <v>3058</v>
      </c>
      <c r="C493" t="s">
        <v>332</v>
      </c>
      <c r="D493" t="s">
        <v>343</v>
      </c>
      <c r="E493" t="s">
        <v>2584</v>
      </c>
      <c r="F493" t="s">
        <v>727</v>
      </c>
      <c r="G493" t="s">
        <v>1157</v>
      </c>
      <c r="H493" t="s">
        <v>1109</v>
      </c>
      <c r="I493" t="s">
        <v>932</v>
      </c>
      <c r="J493" t="s">
        <v>1141</v>
      </c>
      <c r="K493" t="s">
        <v>280</v>
      </c>
      <c r="L493">
        <v>0.86</v>
      </c>
      <c r="M493" t="s">
        <v>3059</v>
      </c>
      <c r="N493" t="s">
        <v>3060</v>
      </c>
      <c r="O493" t="s">
        <v>3061</v>
      </c>
      <c r="P493" t="s">
        <v>485</v>
      </c>
      <c r="Q493" t="s">
        <v>2885</v>
      </c>
      <c r="R493" t="s">
        <v>2886</v>
      </c>
      <c r="S493" t="s">
        <v>2885</v>
      </c>
      <c r="T493" t="s">
        <v>2886</v>
      </c>
    </row>
    <row r="494" spans="1:20">
      <c r="A494" s="241">
        <v>44001</v>
      </c>
      <c r="B494" t="s">
        <v>3062</v>
      </c>
      <c r="C494" t="s">
        <v>556</v>
      </c>
      <c r="D494" t="s">
        <v>556</v>
      </c>
      <c r="E494" t="s">
        <v>2893</v>
      </c>
      <c r="F494" t="s">
        <v>413</v>
      </c>
      <c r="G494" t="s">
        <v>434</v>
      </c>
      <c r="H494" t="s">
        <v>426</v>
      </c>
      <c r="I494" t="s">
        <v>698</v>
      </c>
      <c r="J494" t="s">
        <v>912</v>
      </c>
      <c r="K494" t="s">
        <v>268</v>
      </c>
      <c r="L494">
        <v>0.86</v>
      </c>
      <c r="M494" t="s">
        <v>3063</v>
      </c>
      <c r="N494" t="s">
        <v>3064</v>
      </c>
      <c r="O494" t="s">
        <v>3065</v>
      </c>
      <c r="P494" t="s">
        <v>485</v>
      </c>
      <c r="Q494" t="s">
        <v>2885</v>
      </c>
      <c r="R494" t="s">
        <v>2886</v>
      </c>
      <c r="S494" t="s">
        <v>2885</v>
      </c>
      <c r="T494" t="s">
        <v>2886</v>
      </c>
    </row>
    <row r="495" spans="1:20">
      <c r="A495" s="241">
        <v>44001</v>
      </c>
      <c r="B495" t="s">
        <v>3066</v>
      </c>
      <c r="C495" t="s">
        <v>2535</v>
      </c>
      <c r="D495" t="s">
        <v>812</v>
      </c>
      <c r="E495" t="s">
        <v>3006</v>
      </c>
      <c r="F495" t="s">
        <v>727</v>
      </c>
      <c r="G495" t="s">
        <v>2617</v>
      </c>
      <c r="H495" t="s">
        <v>1103</v>
      </c>
      <c r="I495" t="s">
        <v>436</v>
      </c>
      <c r="J495" t="s">
        <v>1304</v>
      </c>
      <c r="K495" t="s">
        <v>651</v>
      </c>
      <c r="L495">
        <v>0.86</v>
      </c>
      <c r="M495" t="s">
        <v>3067</v>
      </c>
      <c r="N495" t="s">
        <v>3068</v>
      </c>
      <c r="O495" t="s">
        <v>3069</v>
      </c>
      <c r="P495" t="s">
        <v>485</v>
      </c>
      <c r="Q495" t="s">
        <v>2885</v>
      </c>
      <c r="R495" t="s">
        <v>2886</v>
      </c>
      <c r="S495" t="s">
        <v>2885</v>
      </c>
      <c r="T495" t="s">
        <v>2886</v>
      </c>
    </row>
    <row r="496" spans="1:20">
      <c r="A496" s="241">
        <v>44001</v>
      </c>
      <c r="B496" t="s">
        <v>3070</v>
      </c>
      <c r="C496" t="s">
        <v>225</v>
      </c>
      <c r="D496" t="s">
        <v>812</v>
      </c>
      <c r="E496" t="s">
        <v>3071</v>
      </c>
      <c r="F496" t="s">
        <v>1338</v>
      </c>
      <c r="G496" t="s">
        <v>3072</v>
      </c>
      <c r="H496" t="s">
        <v>2410</v>
      </c>
      <c r="I496" t="s">
        <v>416</v>
      </c>
      <c r="J496" t="s">
        <v>1141</v>
      </c>
      <c r="K496" t="s">
        <v>244</v>
      </c>
      <c r="L496">
        <v>0.86</v>
      </c>
      <c r="M496" t="s">
        <v>3073</v>
      </c>
      <c r="N496" t="s">
        <v>3074</v>
      </c>
      <c r="O496" t="s">
        <v>3075</v>
      </c>
      <c r="P496" t="s">
        <v>485</v>
      </c>
      <c r="Q496" t="s">
        <v>2885</v>
      </c>
      <c r="R496" t="s">
        <v>2886</v>
      </c>
      <c r="S496" t="s">
        <v>2885</v>
      </c>
      <c r="T496" t="s">
        <v>2886</v>
      </c>
    </row>
    <row r="497" spans="1:20">
      <c r="A497" s="241">
        <v>44001</v>
      </c>
      <c r="B497" t="s">
        <v>3076</v>
      </c>
      <c r="C497" t="s">
        <v>332</v>
      </c>
      <c r="D497" t="s">
        <v>1121</v>
      </c>
      <c r="E497" t="s">
        <v>3045</v>
      </c>
      <c r="F497" t="s">
        <v>3077</v>
      </c>
      <c r="G497" t="s">
        <v>3072</v>
      </c>
      <c r="H497" t="s">
        <v>374</v>
      </c>
      <c r="I497" t="s">
        <v>1165</v>
      </c>
      <c r="J497" t="s">
        <v>919</v>
      </c>
      <c r="K497" t="s">
        <v>214</v>
      </c>
      <c r="L497">
        <v>0.86</v>
      </c>
      <c r="M497" t="s">
        <v>3078</v>
      </c>
      <c r="N497" t="s">
        <v>3079</v>
      </c>
      <c r="O497" t="s">
        <v>3080</v>
      </c>
      <c r="P497" t="s">
        <v>485</v>
      </c>
      <c r="Q497" t="s">
        <v>2885</v>
      </c>
      <c r="R497" t="s">
        <v>2886</v>
      </c>
      <c r="S497" t="s">
        <v>2885</v>
      </c>
      <c r="T497" t="s">
        <v>2886</v>
      </c>
    </row>
    <row r="498" spans="1:20">
      <c r="A498" s="241">
        <v>44001</v>
      </c>
      <c r="B498" t="s">
        <v>3081</v>
      </c>
      <c r="C498" t="s">
        <v>680</v>
      </c>
      <c r="D498" t="s">
        <v>632</v>
      </c>
      <c r="E498" t="s">
        <v>3011</v>
      </c>
      <c r="F498" t="s">
        <v>1338</v>
      </c>
      <c r="G498" t="s">
        <v>1339</v>
      </c>
      <c r="H498" t="s">
        <v>1536</v>
      </c>
      <c r="I498" t="s">
        <v>1158</v>
      </c>
      <c r="J498" t="s">
        <v>919</v>
      </c>
      <c r="K498" t="s">
        <v>571</v>
      </c>
      <c r="L498">
        <v>0.86</v>
      </c>
      <c r="M498" t="s">
        <v>3082</v>
      </c>
      <c r="N498" t="s">
        <v>3083</v>
      </c>
      <c r="O498" t="s">
        <v>3084</v>
      </c>
      <c r="P498" t="s">
        <v>485</v>
      </c>
      <c r="Q498" t="s">
        <v>2885</v>
      </c>
      <c r="R498" t="s">
        <v>2886</v>
      </c>
      <c r="S498" t="s">
        <v>2885</v>
      </c>
      <c r="T498" t="s">
        <v>2886</v>
      </c>
    </row>
    <row r="499" spans="1:20">
      <c r="A499" s="241">
        <v>44001</v>
      </c>
      <c r="B499" t="s">
        <v>3085</v>
      </c>
      <c r="C499" t="s">
        <v>597</v>
      </c>
      <c r="D499" t="s">
        <v>1049</v>
      </c>
      <c r="E499" t="s">
        <v>2875</v>
      </c>
      <c r="F499" t="s">
        <v>3086</v>
      </c>
      <c r="G499" t="s">
        <v>3087</v>
      </c>
      <c r="H499" t="s">
        <v>897</v>
      </c>
      <c r="I499" t="s">
        <v>1165</v>
      </c>
      <c r="J499" t="s">
        <v>407</v>
      </c>
      <c r="K499" t="s">
        <v>244</v>
      </c>
      <c r="L499">
        <v>0.86</v>
      </c>
      <c r="M499" t="s">
        <v>3088</v>
      </c>
      <c r="N499" t="s">
        <v>3089</v>
      </c>
      <c r="O499" t="s">
        <v>3090</v>
      </c>
      <c r="P499" t="s">
        <v>485</v>
      </c>
      <c r="Q499" t="s">
        <v>2885</v>
      </c>
      <c r="R499" t="s">
        <v>2886</v>
      </c>
      <c r="S499" t="s">
        <v>2885</v>
      </c>
      <c r="T499" t="s">
        <v>2886</v>
      </c>
    </row>
    <row r="500" spans="1:20">
      <c r="A500" s="241">
        <v>44001</v>
      </c>
      <c r="B500" t="s">
        <v>3091</v>
      </c>
      <c r="C500" t="s">
        <v>597</v>
      </c>
      <c r="D500" t="s">
        <v>632</v>
      </c>
      <c r="E500" t="s">
        <v>3071</v>
      </c>
      <c r="F500" t="s">
        <v>3092</v>
      </c>
      <c r="G500" t="s">
        <v>3087</v>
      </c>
      <c r="H500" t="s">
        <v>383</v>
      </c>
      <c r="I500" t="s">
        <v>947</v>
      </c>
      <c r="J500" t="s">
        <v>417</v>
      </c>
      <c r="K500" t="s">
        <v>579</v>
      </c>
      <c r="L500">
        <v>0.86</v>
      </c>
      <c r="M500" t="s">
        <v>3093</v>
      </c>
      <c r="N500" t="s">
        <v>3094</v>
      </c>
      <c r="O500" t="s">
        <v>3095</v>
      </c>
      <c r="P500" t="s">
        <v>485</v>
      </c>
      <c r="Q500" t="s">
        <v>2885</v>
      </c>
      <c r="R500" t="s">
        <v>2886</v>
      </c>
      <c r="S500" t="s">
        <v>2885</v>
      </c>
      <c r="T500" t="s">
        <v>2886</v>
      </c>
    </row>
    <row r="501" spans="1:20">
      <c r="A501" s="241">
        <v>44001</v>
      </c>
      <c r="B501" t="s">
        <v>3096</v>
      </c>
      <c r="C501" t="s">
        <v>238</v>
      </c>
      <c r="D501" t="s">
        <v>304</v>
      </c>
      <c r="E501" t="s">
        <v>3097</v>
      </c>
      <c r="F501" t="s">
        <v>3077</v>
      </c>
      <c r="G501" t="s">
        <v>1339</v>
      </c>
      <c r="H501" t="s">
        <v>454</v>
      </c>
      <c r="I501" t="s">
        <v>446</v>
      </c>
      <c r="J501" t="s">
        <v>1304</v>
      </c>
      <c r="K501" t="s">
        <v>244</v>
      </c>
      <c r="L501">
        <v>0.86</v>
      </c>
      <c r="M501" t="s">
        <v>3098</v>
      </c>
      <c r="N501" t="s">
        <v>3099</v>
      </c>
      <c r="O501" t="s">
        <v>3100</v>
      </c>
      <c r="P501" t="s">
        <v>485</v>
      </c>
      <c r="Q501" t="s">
        <v>2885</v>
      </c>
      <c r="R501" t="s">
        <v>2886</v>
      </c>
      <c r="S501" t="s">
        <v>2885</v>
      </c>
      <c r="T501" t="s">
        <v>2886</v>
      </c>
    </row>
    <row r="502" spans="1:20">
      <c r="A502" s="241">
        <v>44001</v>
      </c>
      <c r="B502" t="s">
        <v>3101</v>
      </c>
      <c r="C502" t="s">
        <v>597</v>
      </c>
      <c r="D502" t="s">
        <v>304</v>
      </c>
      <c r="E502" t="s">
        <v>3071</v>
      </c>
      <c r="F502" t="s">
        <v>727</v>
      </c>
      <c r="G502" t="s">
        <v>3102</v>
      </c>
      <c r="H502" t="s">
        <v>3103</v>
      </c>
      <c r="I502" t="s">
        <v>721</v>
      </c>
      <c r="J502" t="s">
        <v>1309</v>
      </c>
      <c r="K502" t="s">
        <v>299</v>
      </c>
      <c r="L502">
        <v>0.86</v>
      </c>
      <c r="M502" t="s">
        <v>3104</v>
      </c>
      <c r="N502" t="s">
        <v>3105</v>
      </c>
      <c r="O502" t="s">
        <v>3106</v>
      </c>
      <c r="P502" t="s">
        <v>485</v>
      </c>
      <c r="Q502" t="s">
        <v>2885</v>
      </c>
      <c r="R502" t="s">
        <v>2886</v>
      </c>
      <c r="S502" t="s">
        <v>2885</v>
      </c>
      <c r="T502" t="s">
        <v>2886</v>
      </c>
    </row>
    <row r="503" spans="1:20">
      <c r="A503" s="241">
        <v>44001</v>
      </c>
      <c r="B503" t="s">
        <v>3107</v>
      </c>
      <c r="C503" t="s">
        <v>2821</v>
      </c>
      <c r="D503" t="s">
        <v>463</v>
      </c>
      <c r="E503" t="s">
        <v>671</v>
      </c>
      <c r="F503" t="s">
        <v>3108</v>
      </c>
      <c r="G503" t="s">
        <v>3109</v>
      </c>
      <c r="H503" t="s">
        <v>3110</v>
      </c>
      <c r="I503" t="s">
        <v>3111</v>
      </c>
      <c r="J503" t="s">
        <v>3112</v>
      </c>
      <c r="K503" t="s">
        <v>3113</v>
      </c>
      <c r="L503">
        <v>0.89</v>
      </c>
      <c r="M503" t="s">
        <v>3114</v>
      </c>
      <c r="N503" t="s">
        <v>3115</v>
      </c>
      <c r="O503" t="s">
        <v>3116</v>
      </c>
      <c r="P503" t="s">
        <v>485</v>
      </c>
      <c r="Q503" t="s">
        <v>2885</v>
      </c>
      <c r="R503" t="s">
        <v>2886</v>
      </c>
      <c r="S503" t="s">
        <v>2885</v>
      </c>
      <c r="T503" t="s">
        <v>2886</v>
      </c>
    </row>
    <row r="504" spans="1:20">
      <c r="A504" s="241">
        <v>44001</v>
      </c>
      <c r="B504" t="s">
        <v>3117</v>
      </c>
      <c r="C504" t="s">
        <v>747</v>
      </c>
      <c r="D504" t="s">
        <v>1176</v>
      </c>
      <c r="E504" t="s">
        <v>224</v>
      </c>
      <c r="F504" t="s">
        <v>3118</v>
      </c>
      <c r="G504" t="s">
        <v>3119</v>
      </c>
      <c r="H504" t="s">
        <v>3120</v>
      </c>
      <c r="I504" t="s">
        <v>3121</v>
      </c>
      <c r="J504" t="s">
        <v>3122</v>
      </c>
      <c r="K504" t="s">
        <v>2816</v>
      </c>
      <c r="L504">
        <v>0.89</v>
      </c>
      <c r="M504" t="s">
        <v>3123</v>
      </c>
      <c r="N504" t="s">
        <v>3124</v>
      </c>
      <c r="O504" t="s">
        <v>3125</v>
      </c>
      <c r="P504" t="s">
        <v>485</v>
      </c>
      <c r="Q504" t="s">
        <v>2885</v>
      </c>
      <c r="R504" t="s">
        <v>2886</v>
      </c>
      <c r="S504" t="s">
        <v>2885</v>
      </c>
      <c r="T504" t="s">
        <v>2886</v>
      </c>
    </row>
    <row r="505" spans="1:20">
      <c r="A505" s="241">
        <v>44001</v>
      </c>
      <c r="B505" t="s">
        <v>3126</v>
      </c>
      <c r="C505" t="s">
        <v>1986</v>
      </c>
      <c r="D505" t="s">
        <v>1877</v>
      </c>
      <c r="E505" t="s">
        <v>631</v>
      </c>
      <c r="F505" t="s">
        <v>3127</v>
      </c>
      <c r="G505" t="s">
        <v>3128</v>
      </c>
      <c r="H505" t="s">
        <v>1969</v>
      </c>
      <c r="I505" t="s">
        <v>3129</v>
      </c>
      <c r="J505" t="s">
        <v>3130</v>
      </c>
      <c r="K505" t="s">
        <v>3131</v>
      </c>
      <c r="L505">
        <v>0.89</v>
      </c>
      <c r="M505" t="s">
        <v>3132</v>
      </c>
      <c r="N505" t="s">
        <v>3133</v>
      </c>
      <c r="O505" t="s">
        <v>3134</v>
      </c>
      <c r="P505" t="s">
        <v>485</v>
      </c>
      <c r="Q505" t="s">
        <v>2885</v>
      </c>
      <c r="R505" t="s">
        <v>2886</v>
      </c>
      <c r="S505" t="s">
        <v>2885</v>
      </c>
      <c r="T505" t="s">
        <v>2886</v>
      </c>
    </row>
    <row r="506" spans="1:20">
      <c r="A506" s="241">
        <v>44001</v>
      </c>
      <c r="B506" t="s">
        <v>3135</v>
      </c>
      <c r="C506" t="s">
        <v>3136</v>
      </c>
      <c r="D506" t="s">
        <v>1877</v>
      </c>
      <c r="E506" t="s">
        <v>2478</v>
      </c>
      <c r="F506" t="s">
        <v>1378</v>
      </c>
      <c r="G506" t="s">
        <v>3137</v>
      </c>
      <c r="H506" t="s">
        <v>3138</v>
      </c>
      <c r="I506" t="s">
        <v>3139</v>
      </c>
      <c r="J506" t="s">
        <v>3140</v>
      </c>
      <c r="K506" t="s">
        <v>761</v>
      </c>
      <c r="L506">
        <v>0.89</v>
      </c>
      <c r="M506" t="s">
        <v>3141</v>
      </c>
      <c r="N506" t="s">
        <v>3142</v>
      </c>
      <c r="O506" t="s">
        <v>3143</v>
      </c>
      <c r="P506" t="s">
        <v>485</v>
      </c>
      <c r="Q506" t="s">
        <v>2885</v>
      </c>
      <c r="R506" t="s">
        <v>2886</v>
      </c>
      <c r="S506" t="s">
        <v>2885</v>
      </c>
      <c r="T506" t="s">
        <v>2886</v>
      </c>
    </row>
    <row r="507" spans="1:20">
      <c r="A507" s="241">
        <v>44001</v>
      </c>
      <c r="B507" t="s">
        <v>3144</v>
      </c>
      <c r="C507" t="s">
        <v>2535</v>
      </c>
      <c r="D507" t="s">
        <v>680</v>
      </c>
      <c r="E507" t="s">
        <v>2769</v>
      </c>
      <c r="F507" t="s">
        <v>3145</v>
      </c>
      <c r="G507" t="s">
        <v>777</v>
      </c>
      <c r="H507" t="s">
        <v>2275</v>
      </c>
      <c r="I507" t="s">
        <v>3146</v>
      </c>
      <c r="J507" t="s">
        <v>3147</v>
      </c>
      <c r="K507" t="s">
        <v>3148</v>
      </c>
      <c r="L507">
        <v>0.86</v>
      </c>
      <c r="M507" t="s">
        <v>3149</v>
      </c>
      <c r="N507" t="s">
        <v>3150</v>
      </c>
      <c r="O507" t="s">
        <v>3151</v>
      </c>
      <c r="P507" t="s">
        <v>485</v>
      </c>
      <c r="Q507" t="s">
        <v>2885</v>
      </c>
      <c r="R507" t="s">
        <v>2886</v>
      </c>
      <c r="S507" t="s">
        <v>2885</v>
      </c>
      <c r="T507" t="s">
        <v>2886</v>
      </c>
    </row>
    <row r="508" spans="1:20">
      <c r="A508" s="241">
        <v>44001</v>
      </c>
      <c r="B508" t="s">
        <v>3152</v>
      </c>
      <c r="C508" t="s">
        <v>556</v>
      </c>
      <c r="D508" t="s">
        <v>424</v>
      </c>
      <c r="E508" t="s">
        <v>2544</v>
      </c>
      <c r="F508" t="s">
        <v>1069</v>
      </c>
      <c r="G508" t="s">
        <v>511</v>
      </c>
      <c r="H508" t="s">
        <v>2663</v>
      </c>
      <c r="I508" t="s">
        <v>3153</v>
      </c>
      <c r="J508" t="s">
        <v>3154</v>
      </c>
      <c r="K508" t="s">
        <v>3155</v>
      </c>
      <c r="L508">
        <v>0.86</v>
      </c>
      <c r="M508" t="s">
        <v>3156</v>
      </c>
      <c r="N508" t="s">
        <v>3157</v>
      </c>
      <c r="O508" t="s">
        <v>3158</v>
      </c>
      <c r="P508" t="s">
        <v>485</v>
      </c>
      <c r="Q508" t="s">
        <v>2885</v>
      </c>
      <c r="R508" t="s">
        <v>2886</v>
      </c>
      <c r="S508" t="s">
        <v>2885</v>
      </c>
      <c r="T508" t="s">
        <v>2886</v>
      </c>
    </row>
    <row r="509" spans="1:20">
      <c r="A509" s="241">
        <v>44001</v>
      </c>
      <c r="B509" t="s">
        <v>3159</v>
      </c>
      <c r="C509" t="s">
        <v>343</v>
      </c>
      <c r="D509" t="s">
        <v>402</v>
      </c>
      <c r="E509" t="s">
        <v>2769</v>
      </c>
      <c r="F509" t="s">
        <v>1069</v>
      </c>
      <c r="G509" t="s">
        <v>3160</v>
      </c>
      <c r="H509" t="s">
        <v>3161</v>
      </c>
      <c r="I509" t="s">
        <v>3153</v>
      </c>
      <c r="J509" t="s">
        <v>780</v>
      </c>
      <c r="K509" t="s">
        <v>3162</v>
      </c>
      <c r="L509">
        <v>0.86</v>
      </c>
      <c r="M509" t="s">
        <v>3163</v>
      </c>
      <c r="N509" t="s">
        <v>3164</v>
      </c>
      <c r="O509" t="s">
        <v>3165</v>
      </c>
      <c r="P509" t="s">
        <v>485</v>
      </c>
      <c r="Q509" t="s">
        <v>2885</v>
      </c>
      <c r="R509" t="s">
        <v>2886</v>
      </c>
      <c r="S509" t="s">
        <v>2885</v>
      </c>
      <c r="T509" t="s">
        <v>2886</v>
      </c>
    </row>
    <row r="510" spans="1:20">
      <c r="A510" s="241">
        <v>44001</v>
      </c>
      <c r="B510" t="s">
        <v>3166</v>
      </c>
      <c r="C510" t="s">
        <v>332</v>
      </c>
      <c r="D510" t="s">
        <v>332</v>
      </c>
      <c r="E510" t="s">
        <v>2731</v>
      </c>
      <c r="F510" t="s">
        <v>805</v>
      </c>
      <c r="G510" t="s">
        <v>520</v>
      </c>
      <c r="H510" t="s">
        <v>2305</v>
      </c>
      <c r="I510" t="s">
        <v>2011</v>
      </c>
      <c r="J510" t="s">
        <v>1681</v>
      </c>
      <c r="K510" t="s">
        <v>3162</v>
      </c>
      <c r="L510">
        <v>0.86</v>
      </c>
      <c r="M510" t="s">
        <v>3167</v>
      </c>
      <c r="N510" t="s">
        <v>3168</v>
      </c>
      <c r="O510" t="s">
        <v>3169</v>
      </c>
      <c r="P510" t="s">
        <v>485</v>
      </c>
      <c r="Q510" t="s">
        <v>2885</v>
      </c>
      <c r="R510" t="s">
        <v>2886</v>
      </c>
      <c r="S510" t="s">
        <v>2885</v>
      </c>
      <c r="T510" t="s">
        <v>2886</v>
      </c>
    </row>
    <row r="511" spans="1:20">
      <c r="A511" s="241">
        <v>44001</v>
      </c>
      <c r="B511" t="s">
        <v>3170</v>
      </c>
      <c r="C511" t="s">
        <v>443</v>
      </c>
      <c r="D511" t="s">
        <v>238</v>
      </c>
      <c r="E511" t="s">
        <v>2870</v>
      </c>
      <c r="F511" t="s">
        <v>2074</v>
      </c>
      <c r="G511" t="s">
        <v>2686</v>
      </c>
      <c r="H511" t="s">
        <v>1404</v>
      </c>
      <c r="I511" t="s">
        <v>1019</v>
      </c>
      <c r="J511" t="s">
        <v>1687</v>
      </c>
      <c r="K511" t="s">
        <v>3171</v>
      </c>
      <c r="L511">
        <v>0.86</v>
      </c>
      <c r="M511" t="s">
        <v>3172</v>
      </c>
      <c r="N511" t="s">
        <v>3173</v>
      </c>
      <c r="O511" t="s">
        <v>3174</v>
      </c>
      <c r="P511" t="s">
        <v>485</v>
      </c>
      <c r="Q511" t="s">
        <v>2885</v>
      </c>
      <c r="R511" t="s">
        <v>2886</v>
      </c>
      <c r="S511" t="s">
        <v>2885</v>
      </c>
      <c r="T511" t="s">
        <v>2886</v>
      </c>
    </row>
    <row r="512" spans="1:20">
      <c r="A512" s="241">
        <v>44001</v>
      </c>
      <c r="B512" t="s">
        <v>3175</v>
      </c>
      <c r="C512" t="s">
        <v>208</v>
      </c>
      <c r="D512" t="s">
        <v>250</v>
      </c>
      <c r="E512" t="s">
        <v>2932</v>
      </c>
      <c r="F512" t="s">
        <v>1057</v>
      </c>
      <c r="G512" t="s">
        <v>520</v>
      </c>
      <c r="H512" t="s">
        <v>1404</v>
      </c>
      <c r="I512" t="s">
        <v>513</v>
      </c>
      <c r="J512" t="s">
        <v>1216</v>
      </c>
      <c r="K512" t="s">
        <v>3155</v>
      </c>
      <c r="L512">
        <v>0.86</v>
      </c>
      <c r="M512" t="s">
        <v>3176</v>
      </c>
      <c r="N512" t="s">
        <v>3177</v>
      </c>
      <c r="O512" t="s">
        <v>3178</v>
      </c>
      <c r="P512" t="s">
        <v>485</v>
      </c>
      <c r="Q512" t="s">
        <v>2885</v>
      </c>
      <c r="R512" t="s">
        <v>2886</v>
      </c>
      <c r="S512" t="s">
        <v>2885</v>
      </c>
      <c r="T512" t="s">
        <v>2886</v>
      </c>
    </row>
    <row r="513" spans="1:20">
      <c r="A513" s="241">
        <v>44001</v>
      </c>
      <c r="B513" t="s">
        <v>3179</v>
      </c>
      <c r="C513" t="s">
        <v>2535</v>
      </c>
      <c r="D513" t="s">
        <v>225</v>
      </c>
      <c r="E513" t="s">
        <v>3180</v>
      </c>
      <c r="F513" t="s">
        <v>1231</v>
      </c>
      <c r="G513" t="s">
        <v>540</v>
      </c>
      <c r="H513" t="s">
        <v>1746</v>
      </c>
      <c r="I513" t="s">
        <v>2472</v>
      </c>
      <c r="J513" t="s">
        <v>1011</v>
      </c>
      <c r="K513" t="s">
        <v>2668</v>
      </c>
      <c r="L513">
        <v>0.86</v>
      </c>
      <c r="M513" t="s">
        <v>3181</v>
      </c>
      <c r="N513" t="s">
        <v>3182</v>
      </c>
      <c r="O513" t="s">
        <v>3183</v>
      </c>
      <c r="P513" t="s">
        <v>485</v>
      </c>
      <c r="Q513" t="s">
        <v>2885</v>
      </c>
      <c r="R513" t="s">
        <v>2886</v>
      </c>
      <c r="S513" t="s">
        <v>2885</v>
      </c>
      <c r="T513" t="s">
        <v>2886</v>
      </c>
    </row>
    <row r="514" spans="1:20">
      <c r="A514" s="241">
        <v>44001</v>
      </c>
      <c r="B514" t="s">
        <v>3184</v>
      </c>
      <c r="C514" t="s">
        <v>225</v>
      </c>
      <c r="D514" t="s">
        <v>343</v>
      </c>
      <c r="E514" t="s">
        <v>2880</v>
      </c>
      <c r="F514" t="s">
        <v>618</v>
      </c>
      <c r="G514" t="s">
        <v>792</v>
      </c>
      <c r="H514" t="s">
        <v>549</v>
      </c>
      <c r="I514" t="s">
        <v>2024</v>
      </c>
      <c r="J514" t="s">
        <v>1011</v>
      </c>
      <c r="K514" t="s">
        <v>2668</v>
      </c>
      <c r="L514">
        <v>0.86</v>
      </c>
      <c r="M514" t="s">
        <v>3185</v>
      </c>
      <c r="N514" t="s">
        <v>3186</v>
      </c>
      <c r="O514" t="s">
        <v>3187</v>
      </c>
      <c r="P514" t="s">
        <v>485</v>
      </c>
      <c r="Q514" t="s">
        <v>2885</v>
      </c>
      <c r="R514" t="s">
        <v>2886</v>
      </c>
      <c r="S514" t="s">
        <v>2885</v>
      </c>
      <c r="T514" t="s">
        <v>2886</v>
      </c>
    </row>
    <row r="515" spans="1:20">
      <c r="A515" s="241">
        <v>44001</v>
      </c>
      <c r="B515" t="s">
        <v>3188</v>
      </c>
      <c r="C515" t="s">
        <v>250</v>
      </c>
      <c r="D515" t="s">
        <v>680</v>
      </c>
      <c r="E515" t="s">
        <v>2880</v>
      </c>
      <c r="F515" t="s">
        <v>2074</v>
      </c>
      <c r="G515" t="s">
        <v>1420</v>
      </c>
      <c r="H515" t="s">
        <v>1716</v>
      </c>
      <c r="I515" t="s">
        <v>1226</v>
      </c>
      <c r="J515" t="s">
        <v>1699</v>
      </c>
      <c r="K515" t="s">
        <v>3189</v>
      </c>
      <c r="L515">
        <v>0.86</v>
      </c>
      <c r="M515" t="s">
        <v>3190</v>
      </c>
      <c r="N515" t="s">
        <v>3191</v>
      </c>
      <c r="O515" t="s">
        <v>3192</v>
      </c>
      <c r="P515" t="s">
        <v>485</v>
      </c>
      <c r="Q515" t="s">
        <v>2885</v>
      </c>
      <c r="R515" t="s">
        <v>2886</v>
      </c>
      <c r="S515" t="s">
        <v>2885</v>
      </c>
      <c r="T515" t="s">
        <v>2886</v>
      </c>
    </row>
    <row r="516" spans="1:20">
      <c r="A516" s="241">
        <v>44001</v>
      </c>
      <c r="B516" t="s">
        <v>3193</v>
      </c>
      <c r="C516" t="s">
        <v>343</v>
      </c>
      <c r="D516" t="s">
        <v>238</v>
      </c>
      <c r="E516" t="s">
        <v>3006</v>
      </c>
      <c r="F516" t="s">
        <v>608</v>
      </c>
      <c r="G516" t="s">
        <v>804</v>
      </c>
      <c r="H516" t="s">
        <v>815</v>
      </c>
      <c r="I516" t="s">
        <v>1232</v>
      </c>
      <c r="J516" t="s">
        <v>1020</v>
      </c>
      <c r="K516" t="s">
        <v>3155</v>
      </c>
      <c r="L516">
        <v>0.86</v>
      </c>
      <c r="M516" t="s">
        <v>3194</v>
      </c>
      <c r="N516" t="s">
        <v>3195</v>
      </c>
      <c r="O516" t="s">
        <v>3196</v>
      </c>
      <c r="P516" t="s">
        <v>485</v>
      </c>
      <c r="Q516" t="s">
        <v>2885</v>
      </c>
      <c r="R516" t="s">
        <v>2886</v>
      </c>
      <c r="S516" t="s">
        <v>2885</v>
      </c>
      <c r="T516" t="s">
        <v>2886</v>
      </c>
    </row>
    <row r="517" spans="1:20">
      <c r="A517" s="241">
        <v>44001</v>
      </c>
      <c r="B517" t="s">
        <v>3197</v>
      </c>
      <c r="C517" t="s">
        <v>556</v>
      </c>
      <c r="D517" t="s">
        <v>238</v>
      </c>
      <c r="E517" t="s">
        <v>2932</v>
      </c>
      <c r="F517" t="s">
        <v>239</v>
      </c>
      <c r="G517" t="s">
        <v>548</v>
      </c>
      <c r="H517" t="s">
        <v>2861</v>
      </c>
      <c r="I517" t="s">
        <v>793</v>
      </c>
      <c r="J517" t="s">
        <v>1405</v>
      </c>
      <c r="K517" t="s">
        <v>3155</v>
      </c>
      <c r="L517">
        <v>0.86</v>
      </c>
      <c r="M517" t="s">
        <v>3198</v>
      </c>
      <c r="N517" t="s">
        <v>3199</v>
      </c>
      <c r="O517" t="s">
        <v>3200</v>
      </c>
      <c r="P517" t="s">
        <v>485</v>
      </c>
      <c r="Q517" t="s">
        <v>2885</v>
      </c>
      <c r="R517" t="s">
        <v>2886</v>
      </c>
      <c r="S517" t="s">
        <v>2885</v>
      </c>
      <c r="T517" t="s">
        <v>2886</v>
      </c>
    </row>
    <row r="518" spans="1:20">
      <c r="A518" s="241">
        <v>44001</v>
      </c>
      <c r="B518" t="s">
        <v>3201</v>
      </c>
      <c r="C518" t="s">
        <v>2549</v>
      </c>
      <c r="D518" t="s">
        <v>238</v>
      </c>
      <c r="E518" t="s">
        <v>3202</v>
      </c>
      <c r="F518" t="s">
        <v>2074</v>
      </c>
      <c r="G518" t="s">
        <v>1037</v>
      </c>
      <c r="H518" t="s">
        <v>1017</v>
      </c>
      <c r="I518" t="s">
        <v>1427</v>
      </c>
      <c r="J518" t="s">
        <v>1233</v>
      </c>
      <c r="K518" t="s">
        <v>2668</v>
      </c>
      <c r="L518">
        <v>0.86</v>
      </c>
      <c r="M518" t="s">
        <v>3203</v>
      </c>
      <c r="N518" t="s">
        <v>3204</v>
      </c>
      <c r="O518" t="s">
        <v>3205</v>
      </c>
      <c r="P518" t="s">
        <v>485</v>
      </c>
      <c r="Q518" t="s">
        <v>2885</v>
      </c>
      <c r="R518" t="s">
        <v>2886</v>
      </c>
      <c r="S518" t="s">
        <v>2885</v>
      </c>
      <c r="T518" t="s">
        <v>2886</v>
      </c>
    </row>
    <row r="519" spans="1:20">
      <c r="A519" s="241">
        <v>44001</v>
      </c>
      <c r="B519" t="s">
        <v>3206</v>
      </c>
      <c r="C519" t="s">
        <v>250</v>
      </c>
      <c r="D519" t="s">
        <v>238</v>
      </c>
      <c r="E519" t="s">
        <v>2870</v>
      </c>
      <c r="F519" t="s">
        <v>356</v>
      </c>
      <c r="G519" t="s">
        <v>804</v>
      </c>
      <c r="H519" t="s">
        <v>241</v>
      </c>
      <c r="I519" t="s">
        <v>1031</v>
      </c>
      <c r="J519" t="s">
        <v>2044</v>
      </c>
      <c r="K519" t="s">
        <v>2668</v>
      </c>
      <c r="L519">
        <v>0.86</v>
      </c>
      <c r="M519" t="s">
        <v>3207</v>
      </c>
      <c r="N519" t="s">
        <v>3208</v>
      </c>
      <c r="O519" t="s">
        <v>3209</v>
      </c>
      <c r="P519" t="s">
        <v>485</v>
      </c>
      <c r="Q519" t="s">
        <v>2885</v>
      </c>
      <c r="R519" t="s">
        <v>2886</v>
      </c>
      <c r="S519" t="s">
        <v>2885</v>
      </c>
      <c r="T519" t="s">
        <v>2886</v>
      </c>
    </row>
    <row r="520" spans="1:20">
      <c r="A520" s="241">
        <v>44001</v>
      </c>
      <c r="B520" t="s">
        <v>3210</v>
      </c>
      <c r="C520" t="s">
        <v>304</v>
      </c>
      <c r="D520" t="s">
        <v>424</v>
      </c>
      <c r="E520" t="s">
        <v>3054</v>
      </c>
      <c r="F520" t="s">
        <v>275</v>
      </c>
      <c r="G520" t="s">
        <v>264</v>
      </c>
      <c r="H520" t="s">
        <v>1051</v>
      </c>
      <c r="I520" t="s">
        <v>1747</v>
      </c>
      <c r="J520" t="s">
        <v>543</v>
      </c>
      <c r="K520" t="s">
        <v>2458</v>
      </c>
      <c r="L520">
        <v>0.86</v>
      </c>
      <c r="M520" t="s">
        <v>3211</v>
      </c>
      <c r="N520" t="s">
        <v>3212</v>
      </c>
      <c r="O520" t="s">
        <v>3213</v>
      </c>
      <c r="P520" t="s">
        <v>485</v>
      </c>
      <c r="Q520" t="s">
        <v>2885</v>
      </c>
      <c r="R520" t="s">
        <v>2886</v>
      </c>
      <c r="S520" t="s">
        <v>2885</v>
      </c>
      <c r="T520" t="s">
        <v>2886</v>
      </c>
    </row>
    <row r="521" spans="1:20">
      <c r="A521" s="241">
        <v>44001</v>
      </c>
      <c r="B521" t="s">
        <v>3214</v>
      </c>
      <c r="C521" t="s">
        <v>343</v>
      </c>
      <c r="D521" t="s">
        <v>424</v>
      </c>
      <c r="E521" t="s">
        <v>2981</v>
      </c>
      <c r="F521" t="s">
        <v>251</v>
      </c>
      <c r="G521" t="s">
        <v>264</v>
      </c>
      <c r="H521" t="s">
        <v>1746</v>
      </c>
      <c r="I521" t="s">
        <v>1421</v>
      </c>
      <c r="J521" t="s">
        <v>533</v>
      </c>
      <c r="K521" t="s">
        <v>781</v>
      </c>
      <c r="L521">
        <v>0.86</v>
      </c>
      <c r="M521" t="s">
        <v>3215</v>
      </c>
      <c r="N521" t="s">
        <v>3216</v>
      </c>
      <c r="O521" t="s">
        <v>3217</v>
      </c>
      <c r="P521" t="s">
        <v>485</v>
      </c>
      <c r="Q521" t="s">
        <v>2885</v>
      </c>
      <c r="R521" t="s">
        <v>2886</v>
      </c>
      <c r="S521" t="s">
        <v>2885</v>
      </c>
      <c r="T521" t="s">
        <v>2886</v>
      </c>
    </row>
    <row r="522" spans="1:20">
      <c r="A522" s="241">
        <v>44001</v>
      </c>
      <c r="B522" t="s">
        <v>3218</v>
      </c>
      <c r="C522" t="s">
        <v>556</v>
      </c>
      <c r="D522" t="s">
        <v>696</v>
      </c>
      <c r="E522" t="s">
        <v>3006</v>
      </c>
      <c r="F522" t="s">
        <v>1050</v>
      </c>
      <c r="G522" t="s">
        <v>1447</v>
      </c>
      <c r="H522" t="s">
        <v>568</v>
      </c>
      <c r="I522" t="s">
        <v>816</v>
      </c>
      <c r="J522" t="s">
        <v>551</v>
      </c>
      <c r="K522" t="s">
        <v>2277</v>
      </c>
      <c r="L522">
        <v>0.86</v>
      </c>
      <c r="M522" t="s">
        <v>3219</v>
      </c>
      <c r="N522" t="s">
        <v>3220</v>
      </c>
      <c r="O522" t="s">
        <v>3221</v>
      </c>
      <c r="P522" t="s">
        <v>485</v>
      </c>
      <c r="Q522" t="s">
        <v>2885</v>
      </c>
      <c r="R522" t="s">
        <v>2886</v>
      </c>
      <c r="S522" t="s">
        <v>2885</v>
      </c>
      <c r="T522" t="s">
        <v>2886</v>
      </c>
    </row>
    <row r="523" spans="1:20">
      <c r="A523" s="241">
        <v>44001</v>
      </c>
      <c r="B523" t="s">
        <v>3222</v>
      </c>
      <c r="C523" t="s">
        <v>424</v>
      </c>
      <c r="D523" t="s">
        <v>556</v>
      </c>
      <c r="E523" t="s">
        <v>3223</v>
      </c>
      <c r="F523" t="s">
        <v>835</v>
      </c>
      <c r="G523" t="s">
        <v>567</v>
      </c>
      <c r="H523" t="s">
        <v>287</v>
      </c>
      <c r="I523" t="s">
        <v>560</v>
      </c>
      <c r="J523" t="s">
        <v>1240</v>
      </c>
      <c r="K523" t="s">
        <v>2458</v>
      </c>
      <c r="L523">
        <v>0.86</v>
      </c>
      <c r="M523" t="s">
        <v>3224</v>
      </c>
      <c r="N523" t="s">
        <v>3225</v>
      </c>
      <c r="O523" t="s">
        <v>3226</v>
      </c>
      <c r="P523" t="s">
        <v>485</v>
      </c>
      <c r="Q523" t="s">
        <v>2885</v>
      </c>
      <c r="R523" t="s">
        <v>2886</v>
      </c>
      <c r="S523" t="s">
        <v>2885</v>
      </c>
      <c r="T523" t="s">
        <v>2886</v>
      </c>
    </row>
    <row r="524" spans="1:20">
      <c r="A524" s="241">
        <v>44001</v>
      </c>
      <c r="B524" t="s">
        <v>3227</v>
      </c>
      <c r="C524" t="s">
        <v>250</v>
      </c>
      <c r="D524" t="s">
        <v>424</v>
      </c>
      <c r="E524" t="s">
        <v>3045</v>
      </c>
      <c r="F524" t="s">
        <v>1452</v>
      </c>
      <c r="G524" t="s">
        <v>1781</v>
      </c>
      <c r="H524" t="s">
        <v>2910</v>
      </c>
      <c r="I524" t="s">
        <v>242</v>
      </c>
      <c r="J524" t="s">
        <v>1240</v>
      </c>
      <c r="K524" t="s">
        <v>2668</v>
      </c>
      <c r="L524">
        <v>0.86</v>
      </c>
      <c r="M524" t="s">
        <v>3228</v>
      </c>
      <c r="N524" t="s">
        <v>3229</v>
      </c>
      <c r="O524" t="s">
        <v>3230</v>
      </c>
      <c r="P524" t="s">
        <v>485</v>
      </c>
      <c r="Q524" t="s">
        <v>2885</v>
      </c>
      <c r="R524" t="s">
        <v>2886</v>
      </c>
      <c r="S524" t="s">
        <v>2885</v>
      </c>
      <c r="T524" t="s">
        <v>2886</v>
      </c>
    </row>
    <row r="525" spans="1:20">
      <c r="A525" s="241">
        <v>44001</v>
      </c>
      <c r="B525" t="s">
        <v>3231</v>
      </c>
      <c r="C525" t="s">
        <v>250</v>
      </c>
      <c r="D525" t="s">
        <v>343</v>
      </c>
      <c r="E525" t="s">
        <v>3045</v>
      </c>
      <c r="F525" t="s">
        <v>275</v>
      </c>
      <c r="G525" t="s">
        <v>567</v>
      </c>
      <c r="H525" t="s">
        <v>837</v>
      </c>
      <c r="I525" t="s">
        <v>242</v>
      </c>
      <c r="J525" t="s">
        <v>1240</v>
      </c>
      <c r="K525" t="s">
        <v>2668</v>
      </c>
      <c r="L525">
        <v>0.86</v>
      </c>
      <c r="M525" t="s">
        <v>3232</v>
      </c>
      <c r="N525" t="s">
        <v>3233</v>
      </c>
      <c r="O525" t="s">
        <v>3234</v>
      </c>
      <c r="P525" t="s">
        <v>485</v>
      </c>
      <c r="Q525" t="s">
        <v>2885</v>
      </c>
      <c r="R525" t="s">
        <v>2886</v>
      </c>
      <c r="S525" t="s">
        <v>2885</v>
      </c>
      <c r="T525" t="s">
        <v>2886</v>
      </c>
    </row>
    <row r="526" spans="1:20">
      <c r="A526" s="241">
        <v>44001</v>
      </c>
      <c r="B526" t="s">
        <v>3235</v>
      </c>
      <c r="C526" t="s">
        <v>304</v>
      </c>
      <c r="D526" t="s">
        <v>304</v>
      </c>
      <c r="E526" t="s">
        <v>2932</v>
      </c>
      <c r="F526" t="s">
        <v>275</v>
      </c>
      <c r="G526" t="s">
        <v>567</v>
      </c>
      <c r="H526" t="s">
        <v>277</v>
      </c>
      <c r="I526" t="s">
        <v>1250</v>
      </c>
      <c r="J526" t="s">
        <v>2881</v>
      </c>
      <c r="K526" t="s">
        <v>2668</v>
      </c>
      <c r="L526">
        <v>0.86</v>
      </c>
      <c r="M526" t="s">
        <v>3236</v>
      </c>
      <c r="N526" t="s">
        <v>3237</v>
      </c>
      <c r="O526" t="s">
        <v>3238</v>
      </c>
      <c r="P526" t="s">
        <v>485</v>
      </c>
      <c r="Q526" t="s">
        <v>2885</v>
      </c>
      <c r="R526" t="s">
        <v>2886</v>
      </c>
      <c r="S526" t="s">
        <v>2885</v>
      </c>
      <c r="T526" t="s">
        <v>2886</v>
      </c>
    </row>
    <row r="527" spans="1:20">
      <c r="A527" s="241">
        <v>44001</v>
      </c>
      <c r="B527" t="s">
        <v>3239</v>
      </c>
      <c r="C527" t="s">
        <v>556</v>
      </c>
      <c r="D527" t="s">
        <v>238</v>
      </c>
      <c r="E527" t="s">
        <v>3011</v>
      </c>
      <c r="F527" t="s">
        <v>590</v>
      </c>
      <c r="G527" t="s">
        <v>1775</v>
      </c>
      <c r="H527" t="s">
        <v>209</v>
      </c>
      <c r="I527" t="s">
        <v>254</v>
      </c>
      <c r="J527" t="s">
        <v>1039</v>
      </c>
      <c r="K527" t="s">
        <v>2458</v>
      </c>
      <c r="L527">
        <v>0.86</v>
      </c>
      <c r="M527" t="s">
        <v>3240</v>
      </c>
      <c r="N527" t="s">
        <v>3241</v>
      </c>
      <c r="O527" t="s">
        <v>3242</v>
      </c>
      <c r="P527" t="s">
        <v>485</v>
      </c>
      <c r="Q527" t="s">
        <v>2885</v>
      </c>
      <c r="R527" t="s">
        <v>2886</v>
      </c>
      <c r="S527" t="s">
        <v>2885</v>
      </c>
      <c r="T527" t="s">
        <v>2886</v>
      </c>
    </row>
    <row r="528" spans="1:20">
      <c r="A528" s="241">
        <v>44001</v>
      </c>
      <c r="B528" t="s">
        <v>3243</v>
      </c>
      <c r="C528" t="s">
        <v>238</v>
      </c>
      <c r="D528" t="s">
        <v>304</v>
      </c>
      <c r="E528" t="s">
        <v>2932</v>
      </c>
      <c r="F528" t="s">
        <v>1056</v>
      </c>
      <c r="G528" t="s">
        <v>296</v>
      </c>
      <c r="H528" t="s">
        <v>585</v>
      </c>
      <c r="I528" t="s">
        <v>824</v>
      </c>
      <c r="J528" t="s">
        <v>807</v>
      </c>
      <c r="K528" t="s">
        <v>1406</v>
      </c>
      <c r="L528">
        <v>0.86</v>
      </c>
      <c r="M528" t="s">
        <v>3244</v>
      </c>
      <c r="N528" t="s">
        <v>3245</v>
      </c>
      <c r="O528" t="s">
        <v>3246</v>
      </c>
      <c r="P528" t="s">
        <v>485</v>
      </c>
      <c r="Q528" t="s">
        <v>2885</v>
      </c>
      <c r="R528" t="s">
        <v>2886</v>
      </c>
      <c r="S528" t="s">
        <v>2885</v>
      </c>
      <c r="T528" t="s">
        <v>2886</v>
      </c>
    </row>
    <row r="529" spans="1:20">
      <c r="A529" s="241">
        <v>44001</v>
      </c>
      <c r="B529" t="s">
        <v>3247</v>
      </c>
      <c r="C529" t="s">
        <v>304</v>
      </c>
      <c r="D529" t="s">
        <v>680</v>
      </c>
      <c r="E529" t="s">
        <v>2880</v>
      </c>
      <c r="F529" t="s">
        <v>385</v>
      </c>
      <c r="G529" t="s">
        <v>1068</v>
      </c>
      <c r="H529" t="s">
        <v>307</v>
      </c>
      <c r="I529" t="s">
        <v>2329</v>
      </c>
      <c r="J529" t="s">
        <v>230</v>
      </c>
      <c r="K529" t="s">
        <v>1399</v>
      </c>
      <c r="L529">
        <v>0.86</v>
      </c>
      <c r="M529" t="s">
        <v>3248</v>
      </c>
      <c r="N529" t="s">
        <v>3249</v>
      </c>
      <c r="O529" t="s">
        <v>3250</v>
      </c>
      <c r="P529" t="s">
        <v>485</v>
      </c>
      <c r="Q529" t="s">
        <v>2885</v>
      </c>
      <c r="R529" t="s">
        <v>2886</v>
      </c>
      <c r="S529" t="s">
        <v>2885</v>
      </c>
      <c r="T529" t="s">
        <v>2886</v>
      </c>
    </row>
    <row r="530" spans="1:20">
      <c r="A530" s="241">
        <v>44001</v>
      </c>
      <c r="B530" t="s">
        <v>3251</v>
      </c>
      <c r="C530" t="s">
        <v>250</v>
      </c>
      <c r="D530" t="s">
        <v>696</v>
      </c>
      <c r="E530" t="s">
        <v>3071</v>
      </c>
      <c r="F530" t="s">
        <v>395</v>
      </c>
      <c r="G530" t="s">
        <v>1263</v>
      </c>
      <c r="H530" t="s">
        <v>608</v>
      </c>
      <c r="I530" t="s">
        <v>838</v>
      </c>
      <c r="J530" t="s">
        <v>1770</v>
      </c>
      <c r="K530" t="s">
        <v>2277</v>
      </c>
      <c r="L530">
        <v>0.86</v>
      </c>
      <c r="M530" t="s">
        <v>3252</v>
      </c>
      <c r="N530" t="s">
        <v>3253</v>
      </c>
      <c r="O530" t="s">
        <v>3254</v>
      </c>
      <c r="P530" t="s">
        <v>485</v>
      </c>
      <c r="Q530" t="s">
        <v>2885</v>
      </c>
      <c r="R530" t="s">
        <v>2886</v>
      </c>
      <c r="S530" t="s">
        <v>2885</v>
      </c>
      <c r="T530" t="s">
        <v>2886</v>
      </c>
    </row>
    <row r="531" spans="1:20">
      <c r="A531" s="241">
        <v>44001</v>
      </c>
      <c r="B531" t="s">
        <v>3255</v>
      </c>
      <c r="C531" t="s">
        <v>424</v>
      </c>
      <c r="D531" t="s">
        <v>632</v>
      </c>
      <c r="E531" t="s">
        <v>3006</v>
      </c>
      <c r="F531" t="s">
        <v>1080</v>
      </c>
      <c r="G531" t="s">
        <v>836</v>
      </c>
      <c r="H531" t="s">
        <v>1231</v>
      </c>
      <c r="I531" t="s">
        <v>266</v>
      </c>
      <c r="J531" t="s">
        <v>230</v>
      </c>
      <c r="K531" t="s">
        <v>1003</v>
      </c>
      <c r="L531">
        <v>0.86</v>
      </c>
      <c r="M531" t="s">
        <v>3256</v>
      </c>
      <c r="N531" t="s">
        <v>3257</v>
      </c>
      <c r="O531" t="s">
        <v>3258</v>
      </c>
      <c r="P531" t="s">
        <v>485</v>
      </c>
      <c r="Q531" t="s">
        <v>2885</v>
      </c>
      <c r="R531" t="s">
        <v>2886</v>
      </c>
      <c r="S531" t="s">
        <v>2885</v>
      </c>
      <c r="T531" t="s">
        <v>2886</v>
      </c>
    </row>
    <row r="532" spans="1:20">
      <c r="A532" s="241">
        <v>44001</v>
      </c>
      <c r="B532" t="s">
        <v>3259</v>
      </c>
      <c r="C532" t="s">
        <v>556</v>
      </c>
      <c r="D532" t="s">
        <v>238</v>
      </c>
      <c r="E532" t="s">
        <v>3045</v>
      </c>
      <c r="F532" t="s">
        <v>1552</v>
      </c>
      <c r="G532" t="s">
        <v>1068</v>
      </c>
      <c r="H532" t="s">
        <v>2927</v>
      </c>
      <c r="I532" t="s">
        <v>838</v>
      </c>
      <c r="J532" t="s">
        <v>570</v>
      </c>
      <c r="K532" t="s">
        <v>1003</v>
      </c>
      <c r="L532">
        <v>0.86</v>
      </c>
      <c r="M532" t="s">
        <v>3260</v>
      </c>
      <c r="N532" t="s">
        <v>3261</v>
      </c>
      <c r="O532" t="s">
        <v>3262</v>
      </c>
      <c r="P532" t="s">
        <v>485</v>
      </c>
      <c r="Q532" t="s">
        <v>2885</v>
      </c>
      <c r="R532" t="s">
        <v>2886</v>
      </c>
      <c r="S532" t="s">
        <v>2885</v>
      </c>
      <c r="T532" t="s">
        <v>2886</v>
      </c>
    </row>
    <row r="533" spans="1:20">
      <c r="A533" s="241">
        <v>44001</v>
      </c>
      <c r="B533" t="s">
        <v>3263</v>
      </c>
      <c r="C533" t="s">
        <v>225</v>
      </c>
      <c r="D533" t="s">
        <v>238</v>
      </c>
      <c r="E533" t="s">
        <v>3180</v>
      </c>
      <c r="F533" t="s">
        <v>305</v>
      </c>
      <c r="G533" t="s">
        <v>836</v>
      </c>
      <c r="H533" t="s">
        <v>1818</v>
      </c>
      <c r="I533" t="s">
        <v>1264</v>
      </c>
      <c r="J533" t="s">
        <v>2330</v>
      </c>
      <c r="K533" t="s">
        <v>1003</v>
      </c>
      <c r="L533">
        <v>0.86</v>
      </c>
      <c r="M533" t="s">
        <v>3264</v>
      </c>
      <c r="N533" t="s">
        <v>3265</v>
      </c>
      <c r="O533" t="s">
        <v>3266</v>
      </c>
      <c r="P533" t="s">
        <v>485</v>
      </c>
      <c r="Q533" t="s">
        <v>2885</v>
      </c>
      <c r="R533" t="s">
        <v>2886</v>
      </c>
      <c r="S533" t="s">
        <v>2885</v>
      </c>
      <c r="T533" t="s">
        <v>2886</v>
      </c>
    </row>
    <row r="534" spans="1:20">
      <c r="A534" s="241">
        <v>44001</v>
      </c>
      <c r="B534" t="s">
        <v>3267</v>
      </c>
      <c r="C534" t="s">
        <v>238</v>
      </c>
      <c r="D534" t="s">
        <v>238</v>
      </c>
      <c r="E534" t="s">
        <v>2981</v>
      </c>
      <c r="F534" t="s">
        <v>926</v>
      </c>
      <c r="G534" t="s">
        <v>599</v>
      </c>
      <c r="H534" t="s">
        <v>226</v>
      </c>
      <c r="I534" t="s">
        <v>1264</v>
      </c>
      <c r="J534" t="s">
        <v>2330</v>
      </c>
      <c r="K534" t="s">
        <v>1003</v>
      </c>
      <c r="L534">
        <v>0.86</v>
      </c>
      <c r="M534" t="s">
        <v>3268</v>
      </c>
      <c r="N534" t="s">
        <v>3269</v>
      </c>
      <c r="O534" t="s">
        <v>3270</v>
      </c>
      <c r="P534" t="s">
        <v>485</v>
      </c>
      <c r="Q534" t="s">
        <v>2885</v>
      </c>
      <c r="R534" t="s">
        <v>2886</v>
      </c>
      <c r="S534" t="s">
        <v>2885</v>
      </c>
      <c r="T534" t="s">
        <v>2886</v>
      </c>
    </row>
    <row r="535" spans="1:20">
      <c r="A535" s="241">
        <v>44001</v>
      </c>
      <c r="B535" t="s">
        <v>3271</v>
      </c>
      <c r="C535" t="s">
        <v>304</v>
      </c>
      <c r="D535" t="s">
        <v>424</v>
      </c>
      <c r="E535" t="s">
        <v>3040</v>
      </c>
      <c r="F535" t="s">
        <v>855</v>
      </c>
      <c r="G535" t="s">
        <v>2142</v>
      </c>
      <c r="H535" t="s">
        <v>1478</v>
      </c>
      <c r="I535" t="s">
        <v>278</v>
      </c>
      <c r="J535" t="s">
        <v>570</v>
      </c>
      <c r="K535" t="s">
        <v>1399</v>
      </c>
      <c r="L535">
        <v>0.86</v>
      </c>
      <c r="M535" t="s">
        <v>3272</v>
      </c>
      <c r="N535" t="s">
        <v>3273</v>
      </c>
      <c r="O535" t="s">
        <v>3274</v>
      </c>
      <c r="P535" t="s">
        <v>485</v>
      </c>
      <c r="Q535" t="s">
        <v>2885</v>
      </c>
      <c r="R535" t="s">
        <v>2886</v>
      </c>
      <c r="S535" t="s">
        <v>2885</v>
      </c>
      <c r="T535" t="s">
        <v>2886</v>
      </c>
    </row>
    <row r="536" spans="1:20">
      <c r="A536" s="241">
        <v>44001</v>
      </c>
      <c r="B536" t="s">
        <v>3275</v>
      </c>
      <c r="C536" t="s">
        <v>424</v>
      </c>
      <c r="D536" t="s">
        <v>632</v>
      </c>
      <c r="E536" t="s">
        <v>3006</v>
      </c>
      <c r="F536" t="s">
        <v>314</v>
      </c>
      <c r="G536" t="s">
        <v>591</v>
      </c>
      <c r="H536" t="s">
        <v>1818</v>
      </c>
      <c r="I536" t="s">
        <v>849</v>
      </c>
      <c r="J536" t="s">
        <v>1786</v>
      </c>
      <c r="K536" t="s">
        <v>1003</v>
      </c>
      <c r="L536">
        <v>0.86</v>
      </c>
      <c r="M536" t="s">
        <v>3276</v>
      </c>
      <c r="N536" t="s">
        <v>3277</v>
      </c>
      <c r="O536" t="s">
        <v>3278</v>
      </c>
      <c r="P536" t="s">
        <v>485</v>
      </c>
      <c r="Q536" t="s">
        <v>2885</v>
      </c>
      <c r="R536" t="s">
        <v>2886</v>
      </c>
      <c r="S536" t="s">
        <v>2885</v>
      </c>
      <c r="T536" t="s">
        <v>2886</v>
      </c>
    </row>
    <row r="537" spans="1:20">
      <c r="A537" s="241">
        <v>44001</v>
      </c>
      <c r="B537" t="s">
        <v>3279</v>
      </c>
      <c r="C537" t="s">
        <v>304</v>
      </c>
      <c r="D537" t="s">
        <v>250</v>
      </c>
      <c r="E537" t="s">
        <v>2875</v>
      </c>
      <c r="F537" t="s">
        <v>1817</v>
      </c>
      <c r="G537" t="s">
        <v>306</v>
      </c>
      <c r="H537" t="s">
        <v>1255</v>
      </c>
      <c r="I537" t="s">
        <v>288</v>
      </c>
      <c r="J537" t="s">
        <v>1786</v>
      </c>
      <c r="K537" t="s">
        <v>1399</v>
      </c>
      <c r="L537">
        <v>0.86</v>
      </c>
      <c r="M537" t="s">
        <v>3280</v>
      </c>
      <c r="N537" t="s">
        <v>3281</v>
      </c>
      <c r="O537" t="s">
        <v>3282</v>
      </c>
      <c r="P537" t="s">
        <v>485</v>
      </c>
      <c r="Q537" t="s">
        <v>2885</v>
      </c>
      <c r="R537" t="s">
        <v>2886</v>
      </c>
      <c r="S537" t="s">
        <v>2885</v>
      </c>
      <c r="T537" t="s">
        <v>2886</v>
      </c>
    </row>
    <row r="538" spans="1:20">
      <c r="A538" s="241">
        <v>44001</v>
      </c>
      <c r="B538" t="s">
        <v>3283</v>
      </c>
      <c r="C538" t="s">
        <v>343</v>
      </c>
      <c r="D538" t="s">
        <v>1121</v>
      </c>
      <c r="E538" t="s">
        <v>2875</v>
      </c>
      <c r="F538" t="s">
        <v>1493</v>
      </c>
      <c r="G538" t="s">
        <v>3284</v>
      </c>
      <c r="H538" t="s">
        <v>251</v>
      </c>
      <c r="I538" t="s">
        <v>1082</v>
      </c>
      <c r="J538" t="s">
        <v>592</v>
      </c>
      <c r="K538" t="s">
        <v>1399</v>
      </c>
      <c r="L538">
        <v>0.86</v>
      </c>
      <c r="M538" t="s">
        <v>3285</v>
      </c>
      <c r="N538" t="s">
        <v>3286</v>
      </c>
      <c r="O538" t="s">
        <v>3287</v>
      </c>
      <c r="P538" t="s">
        <v>485</v>
      </c>
      <c r="Q538" t="s">
        <v>2885</v>
      </c>
      <c r="R538" t="s">
        <v>2886</v>
      </c>
      <c r="S538" t="s">
        <v>2885</v>
      </c>
      <c r="T538" t="s">
        <v>2886</v>
      </c>
    </row>
    <row r="539" spans="1:20">
      <c r="A539" s="241">
        <v>44001</v>
      </c>
      <c r="B539" t="s">
        <v>3288</v>
      </c>
      <c r="C539" t="s">
        <v>556</v>
      </c>
      <c r="D539" t="s">
        <v>304</v>
      </c>
      <c r="E539" t="s">
        <v>2870</v>
      </c>
      <c r="F539" t="s">
        <v>2151</v>
      </c>
      <c r="G539" t="s">
        <v>324</v>
      </c>
      <c r="H539" t="s">
        <v>226</v>
      </c>
      <c r="I539" t="s">
        <v>308</v>
      </c>
      <c r="J539" t="s">
        <v>1070</v>
      </c>
      <c r="K539" t="s">
        <v>1234</v>
      </c>
      <c r="L539">
        <v>0.86</v>
      </c>
      <c r="M539" t="s">
        <v>3289</v>
      </c>
      <c r="N539" t="s">
        <v>3290</v>
      </c>
      <c r="O539" t="s">
        <v>3291</v>
      </c>
      <c r="P539" t="s">
        <v>485</v>
      </c>
      <c r="Q539" t="s">
        <v>2885</v>
      </c>
      <c r="R539" t="s">
        <v>2886</v>
      </c>
      <c r="S539" t="s">
        <v>2885</v>
      </c>
      <c r="T539" t="s">
        <v>2886</v>
      </c>
    </row>
    <row r="540" spans="1:20">
      <c r="A540" s="241">
        <v>44001</v>
      </c>
      <c r="B540" t="s">
        <v>3292</v>
      </c>
      <c r="C540" t="s">
        <v>343</v>
      </c>
      <c r="D540" t="s">
        <v>556</v>
      </c>
      <c r="E540" t="s">
        <v>2870</v>
      </c>
      <c r="F540" t="s">
        <v>323</v>
      </c>
      <c r="G540" t="s">
        <v>1832</v>
      </c>
      <c r="H540" t="s">
        <v>1255</v>
      </c>
      <c r="I540" t="s">
        <v>619</v>
      </c>
      <c r="J540" t="s">
        <v>298</v>
      </c>
      <c r="K540" t="s">
        <v>1012</v>
      </c>
      <c r="L540">
        <v>0.86</v>
      </c>
      <c r="M540" t="s">
        <v>3293</v>
      </c>
      <c r="N540" t="s">
        <v>3294</v>
      </c>
      <c r="O540" t="s">
        <v>3295</v>
      </c>
      <c r="P540" t="s">
        <v>485</v>
      </c>
      <c r="Q540" t="s">
        <v>2885</v>
      </c>
      <c r="R540" t="s">
        <v>2886</v>
      </c>
      <c r="S540" t="s">
        <v>2885</v>
      </c>
      <c r="T540" t="s">
        <v>2886</v>
      </c>
    </row>
    <row r="541" spans="1:20">
      <c r="A541" s="241">
        <v>44001</v>
      </c>
      <c r="B541" t="s">
        <v>3296</v>
      </c>
      <c r="C541" t="s">
        <v>443</v>
      </c>
      <c r="D541" t="s">
        <v>250</v>
      </c>
      <c r="E541" t="s">
        <v>3071</v>
      </c>
      <c r="F541" t="s">
        <v>713</v>
      </c>
      <c r="G541" t="s">
        <v>2764</v>
      </c>
      <c r="H541" t="s">
        <v>881</v>
      </c>
      <c r="I541" t="s">
        <v>869</v>
      </c>
      <c r="J541" t="s">
        <v>601</v>
      </c>
      <c r="K541" t="s">
        <v>1234</v>
      </c>
      <c r="L541">
        <v>0.86</v>
      </c>
      <c r="M541" t="s">
        <v>3297</v>
      </c>
      <c r="N541" t="s">
        <v>3298</v>
      </c>
      <c r="O541" t="s">
        <v>3299</v>
      </c>
      <c r="P541" t="s">
        <v>485</v>
      </c>
      <c r="Q541" t="s">
        <v>2885</v>
      </c>
      <c r="R541" t="s">
        <v>2886</v>
      </c>
      <c r="S541" t="s">
        <v>2885</v>
      </c>
      <c r="T541" t="s">
        <v>2886</v>
      </c>
    </row>
    <row r="542" spans="1:20">
      <c r="A542" s="241">
        <v>44001</v>
      </c>
      <c r="B542" t="s">
        <v>3300</v>
      </c>
      <c r="C542" t="s">
        <v>402</v>
      </c>
      <c r="D542" t="s">
        <v>238</v>
      </c>
      <c r="E542" t="s">
        <v>3006</v>
      </c>
      <c r="F542" t="s">
        <v>426</v>
      </c>
      <c r="G542" t="s">
        <v>355</v>
      </c>
      <c r="H542" t="s">
        <v>876</v>
      </c>
      <c r="I542" t="s">
        <v>619</v>
      </c>
      <c r="J542" t="s">
        <v>857</v>
      </c>
      <c r="K542" t="s">
        <v>515</v>
      </c>
      <c r="L542">
        <v>0.86</v>
      </c>
      <c r="M542" t="s">
        <v>3301</v>
      </c>
      <c r="N542" t="s">
        <v>3302</v>
      </c>
      <c r="O542" t="s">
        <v>3303</v>
      </c>
      <c r="P542" t="s">
        <v>485</v>
      </c>
      <c r="Q542" t="s">
        <v>2885</v>
      </c>
      <c r="R542" t="s">
        <v>2886</v>
      </c>
      <c r="S542" t="s">
        <v>2885</v>
      </c>
      <c r="T542" t="s">
        <v>2886</v>
      </c>
    </row>
    <row r="543" spans="1:20">
      <c r="A543" s="241">
        <v>44001</v>
      </c>
      <c r="B543" t="s">
        <v>3304</v>
      </c>
      <c r="C543" t="s">
        <v>402</v>
      </c>
      <c r="D543" t="s">
        <v>332</v>
      </c>
      <c r="E543" t="s">
        <v>3006</v>
      </c>
      <c r="F543" t="s">
        <v>639</v>
      </c>
      <c r="G543" t="s">
        <v>2764</v>
      </c>
      <c r="H543" t="s">
        <v>566</v>
      </c>
      <c r="I543" t="s">
        <v>869</v>
      </c>
      <c r="J543" t="s">
        <v>1812</v>
      </c>
      <c r="K543" t="s">
        <v>534</v>
      </c>
      <c r="L543">
        <v>0.86</v>
      </c>
      <c r="M543" t="s">
        <v>3305</v>
      </c>
      <c r="N543" t="s">
        <v>3306</v>
      </c>
      <c r="O543" t="s">
        <v>3307</v>
      </c>
      <c r="P543" t="s">
        <v>485</v>
      </c>
      <c r="Q543" t="s">
        <v>2885</v>
      </c>
      <c r="R543" t="s">
        <v>2886</v>
      </c>
      <c r="S543" t="s">
        <v>2885</v>
      </c>
      <c r="T543" t="s">
        <v>2886</v>
      </c>
    </row>
    <row r="544" spans="1:20">
      <c r="A544" s="241">
        <v>44001</v>
      </c>
      <c r="B544" t="s">
        <v>3308</v>
      </c>
      <c r="C544" t="s">
        <v>443</v>
      </c>
      <c r="D544" t="s">
        <v>696</v>
      </c>
      <c r="E544" t="s">
        <v>2870</v>
      </c>
      <c r="F544" t="s">
        <v>1620</v>
      </c>
      <c r="G544" t="s">
        <v>1110</v>
      </c>
      <c r="H544" t="s">
        <v>356</v>
      </c>
      <c r="I544" t="s">
        <v>325</v>
      </c>
      <c r="J544" t="s">
        <v>870</v>
      </c>
      <c r="K544" t="s">
        <v>515</v>
      </c>
      <c r="L544">
        <v>0.86</v>
      </c>
      <c r="M544" t="s">
        <v>3309</v>
      </c>
      <c r="N544" t="s">
        <v>3310</v>
      </c>
      <c r="O544" t="s">
        <v>3311</v>
      </c>
      <c r="P544" t="s">
        <v>485</v>
      </c>
      <c r="Q544" t="s">
        <v>2885</v>
      </c>
      <c r="R544" t="s">
        <v>2886</v>
      </c>
      <c r="S544" t="s">
        <v>2885</v>
      </c>
      <c r="T544" t="s">
        <v>2886</v>
      </c>
    </row>
    <row r="545" spans="1:20">
      <c r="A545" s="241">
        <v>44001</v>
      </c>
      <c r="B545" t="s">
        <v>3312</v>
      </c>
      <c r="C545" t="s">
        <v>343</v>
      </c>
      <c r="D545" t="s">
        <v>597</v>
      </c>
      <c r="E545" t="s">
        <v>2888</v>
      </c>
      <c r="F545" t="s">
        <v>1103</v>
      </c>
      <c r="G545" t="s">
        <v>334</v>
      </c>
      <c r="H545" t="s">
        <v>584</v>
      </c>
      <c r="I545" t="s">
        <v>869</v>
      </c>
      <c r="J545" t="s">
        <v>309</v>
      </c>
      <c r="K545" t="s">
        <v>524</v>
      </c>
      <c r="L545">
        <v>0.86</v>
      </c>
      <c r="M545" t="s">
        <v>3313</v>
      </c>
      <c r="N545" t="s">
        <v>3314</v>
      </c>
      <c r="O545" t="s">
        <v>3315</v>
      </c>
      <c r="P545" t="s">
        <v>485</v>
      </c>
      <c r="Q545" t="s">
        <v>2885</v>
      </c>
      <c r="R545" t="s">
        <v>2886</v>
      </c>
      <c r="S545" t="s">
        <v>2885</v>
      </c>
      <c r="T545" t="s">
        <v>2886</v>
      </c>
    </row>
    <row r="546" spans="1:20">
      <c r="A546" s="241">
        <v>44001</v>
      </c>
      <c r="B546" t="s">
        <v>3316</v>
      </c>
      <c r="C546" t="s">
        <v>343</v>
      </c>
      <c r="D546" t="s">
        <v>208</v>
      </c>
      <c r="E546" t="s">
        <v>3317</v>
      </c>
      <c r="F546" t="s">
        <v>639</v>
      </c>
      <c r="G546" t="s">
        <v>1104</v>
      </c>
      <c r="H546" t="s">
        <v>356</v>
      </c>
      <c r="I546" t="s">
        <v>325</v>
      </c>
      <c r="J546" t="s">
        <v>870</v>
      </c>
      <c r="K546" t="s">
        <v>515</v>
      </c>
      <c r="L546">
        <v>0.86</v>
      </c>
      <c r="M546" t="s">
        <v>3318</v>
      </c>
      <c r="N546" t="s">
        <v>3319</v>
      </c>
      <c r="O546" t="s">
        <v>3320</v>
      </c>
      <c r="P546" t="s">
        <v>485</v>
      </c>
      <c r="Q546" t="s">
        <v>2885</v>
      </c>
      <c r="R546" t="s">
        <v>2886</v>
      </c>
      <c r="S546" t="s">
        <v>2885</v>
      </c>
      <c r="T546" t="s">
        <v>2886</v>
      </c>
    </row>
    <row r="547" spans="1:20">
      <c r="A547" s="241">
        <v>44001</v>
      </c>
      <c r="B547" t="s">
        <v>3321</v>
      </c>
      <c r="C547" t="s">
        <v>332</v>
      </c>
      <c r="D547" t="s">
        <v>238</v>
      </c>
      <c r="E547" t="s">
        <v>2880</v>
      </c>
      <c r="F547" t="s">
        <v>713</v>
      </c>
      <c r="G547" t="s">
        <v>1115</v>
      </c>
      <c r="H547" t="s">
        <v>285</v>
      </c>
      <c r="I547" t="s">
        <v>347</v>
      </c>
      <c r="J547" t="s">
        <v>1827</v>
      </c>
      <c r="K547" t="s">
        <v>534</v>
      </c>
      <c r="L547">
        <v>0.86</v>
      </c>
      <c r="M547" t="s">
        <v>3322</v>
      </c>
      <c r="N547" t="s">
        <v>3323</v>
      </c>
      <c r="O547" t="s">
        <v>3324</v>
      </c>
      <c r="P547" t="s">
        <v>485</v>
      </c>
      <c r="Q547" t="s">
        <v>2885</v>
      </c>
      <c r="R547" t="s">
        <v>2886</v>
      </c>
      <c r="S547" t="s">
        <v>2885</v>
      </c>
      <c r="T547" t="s">
        <v>2886</v>
      </c>
    </row>
    <row r="548" spans="1:20">
      <c r="A548" s="241">
        <v>44001</v>
      </c>
      <c r="B548" t="s">
        <v>3325</v>
      </c>
      <c r="C548" t="s">
        <v>304</v>
      </c>
      <c r="D548" t="s">
        <v>225</v>
      </c>
      <c r="E548" t="s">
        <v>2769</v>
      </c>
      <c r="F548" t="s">
        <v>454</v>
      </c>
      <c r="G548" t="s">
        <v>375</v>
      </c>
      <c r="H548" t="s">
        <v>1756</v>
      </c>
      <c r="I548" t="s">
        <v>347</v>
      </c>
      <c r="J548" t="s">
        <v>1092</v>
      </c>
      <c r="K548" t="s">
        <v>515</v>
      </c>
      <c r="L548">
        <v>0.86</v>
      </c>
      <c r="M548" t="s">
        <v>3326</v>
      </c>
      <c r="N548" t="s">
        <v>3327</v>
      </c>
      <c r="O548" t="s">
        <v>3328</v>
      </c>
      <c r="P548" t="s">
        <v>485</v>
      </c>
      <c r="Q548" t="s">
        <v>2885</v>
      </c>
      <c r="R548" t="s">
        <v>2886</v>
      </c>
      <c r="S548" t="s">
        <v>2885</v>
      </c>
      <c r="T548" t="s">
        <v>2886</v>
      </c>
    </row>
    <row r="549" spans="1:20">
      <c r="A549" s="241">
        <v>44001</v>
      </c>
      <c r="B549" t="s">
        <v>3329</v>
      </c>
      <c r="C549" t="s">
        <v>238</v>
      </c>
      <c r="D549" t="s">
        <v>238</v>
      </c>
      <c r="E549" t="s">
        <v>2888</v>
      </c>
      <c r="F549" t="s">
        <v>333</v>
      </c>
      <c r="G549" t="s">
        <v>1562</v>
      </c>
      <c r="H549" t="s">
        <v>590</v>
      </c>
      <c r="I549" t="s">
        <v>336</v>
      </c>
      <c r="J549" t="s">
        <v>1827</v>
      </c>
      <c r="K549" t="s">
        <v>515</v>
      </c>
      <c r="L549">
        <v>0.86</v>
      </c>
      <c r="M549" t="s">
        <v>3330</v>
      </c>
      <c r="N549" t="s">
        <v>3331</v>
      </c>
      <c r="O549" t="s">
        <v>3332</v>
      </c>
      <c r="P549" t="s">
        <v>485</v>
      </c>
      <c r="Q549" t="s">
        <v>2885</v>
      </c>
      <c r="R549" t="s">
        <v>2886</v>
      </c>
      <c r="S549" t="s">
        <v>2885</v>
      </c>
      <c r="T549" t="s">
        <v>2886</v>
      </c>
    </row>
    <row r="550" spans="1:20">
      <c r="A550" s="241">
        <v>44001</v>
      </c>
      <c r="B550" t="s">
        <v>3333</v>
      </c>
      <c r="C550" t="s">
        <v>332</v>
      </c>
      <c r="D550" t="s">
        <v>343</v>
      </c>
      <c r="E550" t="s">
        <v>2981</v>
      </c>
      <c r="F550" t="s">
        <v>887</v>
      </c>
      <c r="G550" t="s">
        <v>384</v>
      </c>
      <c r="H550" t="s">
        <v>1056</v>
      </c>
      <c r="I550" t="s">
        <v>357</v>
      </c>
      <c r="J550" t="s">
        <v>326</v>
      </c>
      <c r="K550" t="s">
        <v>1032</v>
      </c>
      <c r="L550">
        <v>0.86</v>
      </c>
      <c r="M550" t="s">
        <v>3334</v>
      </c>
      <c r="N550" t="s">
        <v>3335</v>
      </c>
      <c r="O550" t="s">
        <v>3336</v>
      </c>
      <c r="P550" t="s">
        <v>485</v>
      </c>
      <c r="Q550" t="s">
        <v>2885</v>
      </c>
      <c r="R550" t="s">
        <v>2886</v>
      </c>
      <c r="S550" t="s">
        <v>2885</v>
      </c>
      <c r="T550" t="s">
        <v>2886</v>
      </c>
    </row>
    <row r="551" spans="1:20">
      <c r="A551" s="241">
        <v>44001</v>
      </c>
      <c r="B551" t="s">
        <v>3337</v>
      </c>
      <c r="C551" t="s">
        <v>332</v>
      </c>
      <c r="D551" t="s">
        <v>304</v>
      </c>
      <c r="E551" t="s">
        <v>2888</v>
      </c>
      <c r="F551" t="s">
        <v>383</v>
      </c>
      <c r="G551" t="s">
        <v>2774</v>
      </c>
      <c r="H551" t="s">
        <v>616</v>
      </c>
      <c r="I551" t="s">
        <v>888</v>
      </c>
      <c r="J551" t="s">
        <v>326</v>
      </c>
      <c r="K551" t="s">
        <v>1032</v>
      </c>
      <c r="L551">
        <v>0.86</v>
      </c>
      <c r="M551" t="s">
        <v>3338</v>
      </c>
      <c r="N551" t="s">
        <v>3339</v>
      </c>
      <c r="O551" t="s">
        <v>3340</v>
      </c>
      <c r="P551" t="s">
        <v>485</v>
      </c>
      <c r="Q551" t="s">
        <v>2885</v>
      </c>
      <c r="R551" t="s">
        <v>2886</v>
      </c>
      <c r="S551" t="s">
        <v>2885</v>
      </c>
      <c r="T551" t="s">
        <v>2886</v>
      </c>
    </row>
    <row r="552" spans="1:20">
      <c r="A552" s="241">
        <v>44001</v>
      </c>
      <c r="B552" t="s">
        <v>3341</v>
      </c>
      <c r="C552" t="s">
        <v>304</v>
      </c>
      <c r="D552" t="s">
        <v>225</v>
      </c>
      <c r="E552" t="s">
        <v>2888</v>
      </c>
      <c r="F552" t="s">
        <v>364</v>
      </c>
      <c r="G552" t="s">
        <v>681</v>
      </c>
      <c r="H552" t="s">
        <v>1291</v>
      </c>
      <c r="I552" t="s">
        <v>1859</v>
      </c>
      <c r="J552" t="s">
        <v>337</v>
      </c>
      <c r="K552" t="s">
        <v>214</v>
      </c>
      <c r="L552">
        <v>0.86</v>
      </c>
      <c r="M552" t="s">
        <v>3342</v>
      </c>
      <c r="N552" t="s">
        <v>3343</v>
      </c>
      <c r="O552" t="s">
        <v>3344</v>
      </c>
      <c r="P552" t="s">
        <v>485</v>
      </c>
      <c r="Q552" t="s">
        <v>2885</v>
      </c>
      <c r="R552" t="s">
        <v>2886</v>
      </c>
      <c r="S552" t="s">
        <v>2885</v>
      </c>
      <c r="T552" t="s">
        <v>2886</v>
      </c>
    </row>
    <row r="553" spans="1:20">
      <c r="A553" s="241">
        <v>44001</v>
      </c>
      <c r="B553" t="s">
        <v>3345</v>
      </c>
      <c r="C553" t="s">
        <v>225</v>
      </c>
      <c r="D553" t="s">
        <v>238</v>
      </c>
      <c r="E553" t="s">
        <v>3006</v>
      </c>
      <c r="F553" t="s">
        <v>364</v>
      </c>
      <c r="G553" t="s">
        <v>2393</v>
      </c>
      <c r="H553" t="s">
        <v>1080</v>
      </c>
      <c r="I553" t="s">
        <v>1523</v>
      </c>
      <c r="J553" t="s">
        <v>348</v>
      </c>
      <c r="K553" t="s">
        <v>214</v>
      </c>
      <c r="L553">
        <v>0.86</v>
      </c>
      <c r="M553" t="s">
        <v>3346</v>
      </c>
      <c r="N553" t="s">
        <v>3347</v>
      </c>
      <c r="O553" t="s">
        <v>3348</v>
      </c>
      <c r="P553" t="s">
        <v>485</v>
      </c>
      <c r="Q553" t="s">
        <v>2885</v>
      </c>
      <c r="R553" t="s">
        <v>2886</v>
      </c>
      <c r="S553" t="s">
        <v>2885</v>
      </c>
      <c r="T553" t="s">
        <v>2886</v>
      </c>
    </row>
    <row r="554" spans="1:20">
      <c r="A554" s="241">
        <v>44001</v>
      </c>
      <c r="B554" t="s">
        <v>3349</v>
      </c>
      <c r="C554" t="s">
        <v>250</v>
      </c>
      <c r="D554" t="s">
        <v>556</v>
      </c>
      <c r="E554" t="s">
        <v>3071</v>
      </c>
      <c r="F554" t="s">
        <v>2574</v>
      </c>
      <c r="G554" t="s">
        <v>384</v>
      </c>
      <c r="H554" t="s">
        <v>285</v>
      </c>
      <c r="I554" t="s">
        <v>656</v>
      </c>
      <c r="J554" t="s">
        <v>348</v>
      </c>
      <c r="K554" t="s">
        <v>214</v>
      </c>
      <c r="L554">
        <v>0.86</v>
      </c>
      <c r="M554" t="s">
        <v>3350</v>
      </c>
      <c r="N554" t="s">
        <v>3351</v>
      </c>
      <c r="O554" t="s">
        <v>3352</v>
      </c>
      <c r="P554" t="s">
        <v>485</v>
      </c>
      <c r="Q554" t="s">
        <v>2885</v>
      </c>
      <c r="R554" t="s">
        <v>2886</v>
      </c>
      <c r="S554" t="s">
        <v>2885</v>
      </c>
      <c r="T554" t="s">
        <v>2886</v>
      </c>
    </row>
    <row r="555" spans="1:20">
      <c r="A555" s="241">
        <v>44001</v>
      </c>
      <c r="B555" t="s">
        <v>3353</v>
      </c>
      <c r="C555" t="s">
        <v>424</v>
      </c>
      <c r="D555" t="s">
        <v>238</v>
      </c>
      <c r="E555" t="s">
        <v>3006</v>
      </c>
      <c r="F555" t="s">
        <v>1127</v>
      </c>
      <c r="G555" t="s">
        <v>1568</v>
      </c>
      <c r="H555" t="s">
        <v>1574</v>
      </c>
      <c r="I555" t="s">
        <v>367</v>
      </c>
      <c r="J555" t="s">
        <v>650</v>
      </c>
      <c r="K555" t="s">
        <v>571</v>
      </c>
      <c r="L555">
        <v>0.86</v>
      </c>
      <c r="M555" t="s">
        <v>3354</v>
      </c>
      <c r="N555" t="s">
        <v>3355</v>
      </c>
      <c r="O555" t="s">
        <v>3356</v>
      </c>
      <c r="P555" t="s">
        <v>485</v>
      </c>
      <c r="Q555" t="s">
        <v>2885</v>
      </c>
      <c r="R555" t="s">
        <v>2886</v>
      </c>
      <c r="S555" t="s">
        <v>2885</v>
      </c>
      <c r="T555" t="s">
        <v>2886</v>
      </c>
    </row>
    <row r="556" spans="1:20">
      <c r="A556" s="241">
        <v>44001</v>
      </c>
      <c r="B556" t="s">
        <v>3357</v>
      </c>
      <c r="C556" t="s">
        <v>332</v>
      </c>
      <c r="D556" t="s">
        <v>343</v>
      </c>
      <c r="E556" t="s">
        <v>2981</v>
      </c>
      <c r="F556" t="s">
        <v>1541</v>
      </c>
      <c r="G556" t="s">
        <v>1590</v>
      </c>
      <c r="H556" t="s">
        <v>395</v>
      </c>
      <c r="I556" t="s">
        <v>656</v>
      </c>
      <c r="J556" t="s">
        <v>2372</v>
      </c>
      <c r="K556" t="s">
        <v>571</v>
      </c>
      <c r="L556">
        <v>0.86</v>
      </c>
      <c r="M556" t="s">
        <v>3358</v>
      </c>
      <c r="N556" t="s">
        <v>3359</v>
      </c>
      <c r="O556" t="s">
        <v>3360</v>
      </c>
      <c r="P556" t="s">
        <v>485</v>
      </c>
      <c r="Q556" t="s">
        <v>2885</v>
      </c>
      <c r="R556" t="s">
        <v>2886</v>
      </c>
      <c r="S556" t="s">
        <v>2885</v>
      </c>
      <c r="T556" t="s">
        <v>2886</v>
      </c>
    </row>
    <row r="557" spans="1:20">
      <c r="A557" s="241">
        <v>44001</v>
      </c>
      <c r="B557" t="s">
        <v>3361</v>
      </c>
      <c r="C557" t="s">
        <v>2549</v>
      </c>
      <c r="D557" t="s">
        <v>696</v>
      </c>
      <c r="E557" t="s">
        <v>2880</v>
      </c>
      <c r="F557" t="s">
        <v>2579</v>
      </c>
      <c r="G557" t="s">
        <v>1605</v>
      </c>
      <c r="H557" t="s">
        <v>1574</v>
      </c>
      <c r="I557" t="s">
        <v>1563</v>
      </c>
      <c r="J557" t="s">
        <v>368</v>
      </c>
      <c r="K557" t="s">
        <v>579</v>
      </c>
      <c r="L557">
        <v>0.86</v>
      </c>
      <c r="M557" t="s">
        <v>3362</v>
      </c>
      <c r="N557" t="s">
        <v>3363</v>
      </c>
      <c r="O557" t="s">
        <v>3364</v>
      </c>
      <c r="P557" t="s">
        <v>485</v>
      </c>
      <c r="Q557" t="s">
        <v>2885</v>
      </c>
      <c r="R557" t="s">
        <v>2886</v>
      </c>
      <c r="S557" t="s">
        <v>2885</v>
      </c>
      <c r="T557" t="s">
        <v>2886</v>
      </c>
    </row>
    <row r="558" spans="1:20">
      <c r="A558" s="241">
        <v>44001</v>
      </c>
      <c r="B558" t="s">
        <v>3365</v>
      </c>
      <c r="C558" t="s">
        <v>208</v>
      </c>
      <c r="D558" t="s">
        <v>343</v>
      </c>
      <c r="E558" t="s">
        <v>2870</v>
      </c>
      <c r="F558" t="s">
        <v>393</v>
      </c>
      <c r="G558" t="s">
        <v>918</v>
      </c>
      <c r="H558" t="s">
        <v>682</v>
      </c>
      <c r="I558" t="s">
        <v>386</v>
      </c>
      <c r="J558" t="s">
        <v>657</v>
      </c>
      <c r="K558" t="s">
        <v>231</v>
      </c>
      <c r="L558">
        <v>0.86</v>
      </c>
      <c r="M558" t="s">
        <v>3366</v>
      </c>
      <c r="N558" t="s">
        <v>3367</v>
      </c>
      <c r="O558" t="s">
        <v>3368</v>
      </c>
      <c r="P558" t="s">
        <v>485</v>
      </c>
      <c r="Q558" t="s">
        <v>2885</v>
      </c>
      <c r="R558" t="s">
        <v>2886</v>
      </c>
      <c r="S558" t="s">
        <v>2885</v>
      </c>
      <c r="T558" t="s">
        <v>2886</v>
      </c>
    </row>
    <row r="559" spans="1:20">
      <c r="A559" s="241">
        <v>44001</v>
      </c>
      <c r="B559" t="s">
        <v>3369</v>
      </c>
      <c r="C559" t="s">
        <v>556</v>
      </c>
      <c r="D559" t="s">
        <v>250</v>
      </c>
      <c r="E559" t="s">
        <v>3054</v>
      </c>
      <c r="F559" t="s">
        <v>1561</v>
      </c>
      <c r="G559" t="s">
        <v>1568</v>
      </c>
      <c r="H559" t="s">
        <v>314</v>
      </c>
      <c r="I559" t="s">
        <v>674</v>
      </c>
      <c r="J559" t="s">
        <v>1116</v>
      </c>
      <c r="K559" t="s">
        <v>231</v>
      </c>
      <c r="L559">
        <v>0.86</v>
      </c>
      <c r="M559" t="s">
        <v>3370</v>
      </c>
      <c r="N559" t="s">
        <v>3371</v>
      </c>
      <c r="O559" t="s">
        <v>3372</v>
      </c>
      <c r="P559" t="s">
        <v>485</v>
      </c>
      <c r="Q559" t="s">
        <v>2885</v>
      </c>
      <c r="R559" t="s">
        <v>2886</v>
      </c>
      <c r="S559" t="s">
        <v>2885</v>
      </c>
      <c r="T559" t="s">
        <v>2886</v>
      </c>
    </row>
    <row r="560" spans="1:20">
      <c r="A560" s="241">
        <v>44001</v>
      </c>
      <c r="B560" t="s">
        <v>3373</v>
      </c>
      <c r="C560" t="s">
        <v>556</v>
      </c>
      <c r="D560" t="s">
        <v>443</v>
      </c>
      <c r="E560" t="s">
        <v>3040</v>
      </c>
      <c r="F560" t="s">
        <v>2574</v>
      </c>
      <c r="G560" t="s">
        <v>1946</v>
      </c>
      <c r="H560" t="s">
        <v>1147</v>
      </c>
      <c r="I560" t="s">
        <v>911</v>
      </c>
      <c r="J560" t="s">
        <v>377</v>
      </c>
      <c r="K560" t="s">
        <v>231</v>
      </c>
      <c r="L560">
        <v>0.86</v>
      </c>
      <c r="M560" t="s">
        <v>3374</v>
      </c>
      <c r="N560" t="s">
        <v>3375</v>
      </c>
      <c r="O560" t="s">
        <v>3376</v>
      </c>
      <c r="P560" t="s">
        <v>485</v>
      </c>
      <c r="Q560" t="s">
        <v>2885</v>
      </c>
      <c r="R560" t="s">
        <v>2886</v>
      </c>
      <c r="S560" t="s">
        <v>2885</v>
      </c>
      <c r="T560" t="s">
        <v>2886</v>
      </c>
    </row>
    <row r="561" spans="1:20">
      <c r="A561" s="241">
        <v>44001</v>
      </c>
      <c r="B561" t="s">
        <v>3377</v>
      </c>
      <c r="C561" t="s">
        <v>332</v>
      </c>
      <c r="D561" t="s">
        <v>250</v>
      </c>
      <c r="E561" t="s">
        <v>2769</v>
      </c>
      <c r="F561" t="s">
        <v>1561</v>
      </c>
      <c r="G561" t="s">
        <v>1610</v>
      </c>
      <c r="H561" t="s">
        <v>706</v>
      </c>
      <c r="I561" t="s">
        <v>683</v>
      </c>
      <c r="J561" t="s">
        <v>899</v>
      </c>
      <c r="K561" t="s">
        <v>214</v>
      </c>
      <c r="L561">
        <v>0.86</v>
      </c>
      <c r="M561" t="s">
        <v>3378</v>
      </c>
      <c r="N561" t="s">
        <v>3379</v>
      </c>
      <c r="O561" t="s">
        <v>3380</v>
      </c>
      <c r="P561" t="s">
        <v>485</v>
      </c>
      <c r="Q561" t="s">
        <v>2885</v>
      </c>
      <c r="R561" t="s">
        <v>2886</v>
      </c>
      <c r="S561" t="s">
        <v>2885</v>
      </c>
      <c r="T561" t="s">
        <v>2886</v>
      </c>
    </row>
    <row r="562" spans="1:20">
      <c r="A562" s="241">
        <v>44001</v>
      </c>
      <c r="B562" t="s">
        <v>3381</v>
      </c>
      <c r="C562" t="s">
        <v>402</v>
      </c>
      <c r="D562" t="s">
        <v>343</v>
      </c>
      <c r="E562" t="s">
        <v>3040</v>
      </c>
      <c r="F562" t="s">
        <v>1303</v>
      </c>
      <c r="G562" t="s">
        <v>404</v>
      </c>
      <c r="H562" t="s">
        <v>926</v>
      </c>
      <c r="I562" t="s">
        <v>683</v>
      </c>
      <c r="J562" t="s">
        <v>368</v>
      </c>
      <c r="K562" t="s">
        <v>579</v>
      </c>
      <c r="L562">
        <v>0.86</v>
      </c>
      <c r="M562" t="s">
        <v>3382</v>
      </c>
      <c r="N562" t="s">
        <v>3383</v>
      </c>
      <c r="O562" t="s">
        <v>3384</v>
      </c>
      <c r="P562" t="s">
        <v>485</v>
      </c>
      <c r="Q562" t="s">
        <v>2885</v>
      </c>
      <c r="R562" t="s">
        <v>2886</v>
      </c>
      <c r="S562" t="s">
        <v>2885</v>
      </c>
      <c r="T562" t="s">
        <v>2886</v>
      </c>
    </row>
    <row r="563" spans="1:20">
      <c r="A563" s="241">
        <v>44001</v>
      </c>
      <c r="B563" t="s">
        <v>3385</v>
      </c>
      <c r="C563" t="s">
        <v>332</v>
      </c>
      <c r="D563" t="s">
        <v>402</v>
      </c>
      <c r="E563" t="s">
        <v>2870</v>
      </c>
      <c r="F563" t="s">
        <v>1303</v>
      </c>
      <c r="G563" t="s">
        <v>414</v>
      </c>
      <c r="H563" t="s">
        <v>682</v>
      </c>
      <c r="I563" t="s">
        <v>911</v>
      </c>
      <c r="J563" t="s">
        <v>1128</v>
      </c>
      <c r="K563" t="s">
        <v>244</v>
      </c>
      <c r="L563">
        <v>0.86</v>
      </c>
      <c r="M563" t="s">
        <v>3386</v>
      </c>
      <c r="N563" t="s">
        <v>3387</v>
      </c>
      <c r="O563" t="s">
        <v>3388</v>
      </c>
      <c r="P563" t="s">
        <v>485</v>
      </c>
      <c r="Q563" t="s">
        <v>2885</v>
      </c>
      <c r="R563" t="s">
        <v>2886</v>
      </c>
      <c r="S563" t="s">
        <v>2885</v>
      </c>
      <c r="T563" t="s">
        <v>2886</v>
      </c>
    </row>
    <row r="564" spans="1:20">
      <c r="A564" s="241">
        <v>44001</v>
      </c>
      <c r="B564" t="s">
        <v>3389</v>
      </c>
      <c r="C564" t="s">
        <v>332</v>
      </c>
      <c r="D564" t="s">
        <v>343</v>
      </c>
      <c r="E564" t="s">
        <v>3006</v>
      </c>
      <c r="F564" t="s">
        <v>1315</v>
      </c>
      <c r="G564" t="s">
        <v>931</v>
      </c>
      <c r="H564" t="s">
        <v>1574</v>
      </c>
      <c r="I564" t="s">
        <v>911</v>
      </c>
      <c r="J564" t="s">
        <v>377</v>
      </c>
      <c r="K564" t="s">
        <v>571</v>
      </c>
      <c r="L564">
        <v>0.86</v>
      </c>
      <c r="M564" t="s">
        <v>3390</v>
      </c>
      <c r="N564" t="s">
        <v>3391</v>
      </c>
      <c r="O564" t="s">
        <v>3392</v>
      </c>
      <c r="P564" t="s">
        <v>485</v>
      </c>
      <c r="Q564" t="s">
        <v>2885</v>
      </c>
      <c r="R564" t="s">
        <v>2886</v>
      </c>
      <c r="S564" t="s">
        <v>2885</v>
      </c>
      <c r="T564" t="s">
        <v>2886</v>
      </c>
    </row>
    <row r="565" spans="1:20">
      <c r="A565" s="241">
        <v>44001</v>
      </c>
      <c r="B565" t="s">
        <v>3393</v>
      </c>
      <c r="C565" t="s">
        <v>2875</v>
      </c>
      <c r="D565" t="s">
        <v>2981</v>
      </c>
      <c r="E565" t="s">
        <v>3394</v>
      </c>
      <c r="F565" t="s">
        <v>444</v>
      </c>
      <c r="G565" t="s">
        <v>719</v>
      </c>
      <c r="H565" t="s">
        <v>333</v>
      </c>
      <c r="I565" t="s">
        <v>1579</v>
      </c>
      <c r="J565" t="s">
        <v>1116</v>
      </c>
      <c r="K565" t="s">
        <v>3162</v>
      </c>
      <c r="L565">
        <v>0.85</v>
      </c>
      <c r="M565" t="s">
        <v>3395</v>
      </c>
      <c r="N565" t="s">
        <v>3396</v>
      </c>
      <c r="O565" t="s">
        <v>3397</v>
      </c>
      <c r="P565" t="s">
        <v>485</v>
      </c>
      <c r="Q565" t="s">
        <v>2885</v>
      </c>
      <c r="R565" t="s">
        <v>2886</v>
      </c>
      <c r="S565" t="s">
        <v>2885</v>
      </c>
      <c r="T565" t="s">
        <v>2886</v>
      </c>
    </row>
    <row r="566" spans="1:20">
      <c r="A566" s="241">
        <v>44001</v>
      </c>
      <c r="B566" t="s">
        <v>3398</v>
      </c>
      <c r="C566" t="s">
        <v>2875</v>
      </c>
      <c r="D566" t="s">
        <v>3180</v>
      </c>
      <c r="E566" t="s">
        <v>3394</v>
      </c>
      <c r="F566" t="s">
        <v>1164</v>
      </c>
      <c r="G566" t="s">
        <v>938</v>
      </c>
      <c r="H566" t="s">
        <v>374</v>
      </c>
      <c r="I566" t="s">
        <v>1579</v>
      </c>
      <c r="J566" t="s">
        <v>358</v>
      </c>
      <c r="K566" t="s">
        <v>3155</v>
      </c>
      <c r="L566">
        <v>0.85</v>
      </c>
      <c r="M566" t="s">
        <v>3399</v>
      </c>
      <c r="N566" t="s">
        <v>3400</v>
      </c>
      <c r="O566" t="s">
        <v>3401</v>
      </c>
      <c r="P566" t="s">
        <v>485</v>
      </c>
      <c r="Q566" t="s">
        <v>2885</v>
      </c>
      <c r="R566" t="s">
        <v>2886</v>
      </c>
      <c r="S566" t="s">
        <v>2885</v>
      </c>
      <c r="T566" t="s">
        <v>2886</v>
      </c>
    </row>
    <row r="567" spans="1:20">
      <c r="A567" s="241">
        <v>44001</v>
      </c>
      <c r="B567" t="s">
        <v>3402</v>
      </c>
      <c r="C567" t="s">
        <v>2870</v>
      </c>
      <c r="D567" t="s">
        <v>2981</v>
      </c>
      <c r="E567" t="s">
        <v>3403</v>
      </c>
      <c r="F567" t="s">
        <v>1945</v>
      </c>
      <c r="G567" t="s">
        <v>453</v>
      </c>
      <c r="H567" t="s">
        <v>1620</v>
      </c>
      <c r="I567" t="s">
        <v>1579</v>
      </c>
      <c r="J567" t="s">
        <v>657</v>
      </c>
      <c r="K567" t="s">
        <v>781</v>
      </c>
      <c r="L567">
        <v>0.85</v>
      </c>
      <c r="M567" t="s">
        <v>3404</v>
      </c>
      <c r="N567" t="s">
        <v>3405</v>
      </c>
      <c r="O567" t="s">
        <v>3406</v>
      </c>
      <c r="P567" t="s">
        <v>485</v>
      </c>
      <c r="Q567" t="s">
        <v>2885</v>
      </c>
      <c r="R567" t="s">
        <v>2886</v>
      </c>
      <c r="S567" t="s">
        <v>2885</v>
      </c>
      <c r="T567" t="s">
        <v>2886</v>
      </c>
    </row>
    <row r="568" spans="1:20">
      <c r="A568" s="241">
        <v>44001</v>
      </c>
      <c r="B568" t="s">
        <v>3407</v>
      </c>
      <c r="C568" t="s">
        <v>2893</v>
      </c>
      <c r="D568" t="s">
        <v>3071</v>
      </c>
      <c r="E568" t="s">
        <v>3394</v>
      </c>
      <c r="F568" t="s">
        <v>3408</v>
      </c>
      <c r="G568" t="s">
        <v>2617</v>
      </c>
      <c r="H568" t="s">
        <v>454</v>
      </c>
      <c r="I568" t="s">
        <v>406</v>
      </c>
      <c r="J568" t="s">
        <v>1128</v>
      </c>
      <c r="K568" t="s">
        <v>1234</v>
      </c>
      <c r="L568">
        <v>0.86</v>
      </c>
      <c r="M568" t="s">
        <v>3409</v>
      </c>
      <c r="N568" t="s">
        <v>3410</v>
      </c>
      <c r="O568" t="s">
        <v>3411</v>
      </c>
      <c r="P568" t="s">
        <v>485</v>
      </c>
      <c r="Q568" t="s">
        <v>2885</v>
      </c>
      <c r="R568" t="s">
        <v>2886</v>
      </c>
      <c r="S568" t="s">
        <v>2885</v>
      </c>
      <c r="T568" t="s">
        <v>2886</v>
      </c>
    </row>
    <row r="569" spans="1:20">
      <c r="A569" s="241">
        <v>44001</v>
      </c>
      <c r="B569" t="s">
        <v>3412</v>
      </c>
      <c r="C569" t="s">
        <v>2981</v>
      </c>
      <c r="D569" t="s">
        <v>2981</v>
      </c>
      <c r="E569" t="s">
        <v>3413</v>
      </c>
      <c r="F569" t="s">
        <v>3414</v>
      </c>
      <c r="G569" t="s">
        <v>953</v>
      </c>
      <c r="H569" t="s">
        <v>2410</v>
      </c>
      <c r="I569" t="s">
        <v>932</v>
      </c>
      <c r="J569" t="s">
        <v>1128</v>
      </c>
      <c r="K569" t="s">
        <v>1003</v>
      </c>
      <c r="L569">
        <v>0.85</v>
      </c>
      <c r="M569" t="s">
        <v>3415</v>
      </c>
      <c r="N569" t="s">
        <v>3416</v>
      </c>
      <c r="O569" t="s">
        <v>3417</v>
      </c>
      <c r="P569" t="s">
        <v>485</v>
      </c>
      <c r="Q569" t="s">
        <v>2885</v>
      </c>
      <c r="R569" t="s">
        <v>2886</v>
      </c>
      <c r="S569" t="s">
        <v>2885</v>
      </c>
      <c r="T569" t="s">
        <v>2886</v>
      </c>
    </row>
    <row r="570" spans="1:20">
      <c r="A570" s="241">
        <v>44001</v>
      </c>
      <c r="B570" t="s">
        <v>3418</v>
      </c>
      <c r="C570" t="s">
        <v>2932</v>
      </c>
      <c r="D570" t="s">
        <v>3071</v>
      </c>
      <c r="E570" t="s">
        <v>3419</v>
      </c>
      <c r="F570" t="s">
        <v>3086</v>
      </c>
      <c r="G570" t="s">
        <v>2617</v>
      </c>
      <c r="H570" t="s">
        <v>897</v>
      </c>
      <c r="I570" t="s">
        <v>932</v>
      </c>
      <c r="J570" t="s">
        <v>1128</v>
      </c>
      <c r="K570" t="s">
        <v>1003</v>
      </c>
      <c r="L570">
        <v>0.85</v>
      </c>
      <c r="M570" t="s">
        <v>3420</v>
      </c>
      <c r="N570" t="s">
        <v>3421</v>
      </c>
      <c r="O570" t="s">
        <v>3422</v>
      </c>
      <c r="P570" t="s">
        <v>485</v>
      </c>
      <c r="Q570" t="s">
        <v>2885</v>
      </c>
      <c r="R570" t="s">
        <v>2886</v>
      </c>
      <c r="S570" t="s">
        <v>2885</v>
      </c>
      <c r="T570" t="s">
        <v>2886</v>
      </c>
    </row>
    <row r="571" spans="1:20">
      <c r="A571" s="241">
        <v>44001</v>
      </c>
      <c r="B571" t="s">
        <v>3423</v>
      </c>
      <c r="C571" t="s">
        <v>2888</v>
      </c>
      <c r="D571" t="s">
        <v>3223</v>
      </c>
      <c r="E571" t="s">
        <v>3419</v>
      </c>
      <c r="F571" t="s">
        <v>3414</v>
      </c>
      <c r="G571" t="s">
        <v>3072</v>
      </c>
      <c r="H571" t="s">
        <v>3103</v>
      </c>
      <c r="I571" t="s">
        <v>427</v>
      </c>
      <c r="J571" t="s">
        <v>1128</v>
      </c>
      <c r="K571" t="s">
        <v>781</v>
      </c>
      <c r="L571">
        <v>0.85</v>
      </c>
      <c r="M571" t="s">
        <v>3424</v>
      </c>
      <c r="N571" t="s">
        <v>3425</v>
      </c>
      <c r="O571" t="s">
        <v>3426</v>
      </c>
      <c r="P571" t="s">
        <v>485</v>
      </c>
      <c r="Q571" t="s">
        <v>2885</v>
      </c>
      <c r="R571" t="s">
        <v>2886</v>
      </c>
      <c r="S571" t="s">
        <v>2885</v>
      </c>
      <c r="T571" t="s">
        <v>2886</v>
      </c>
    </row>
    <row r="572" spans="1:20">
      <c r="A572" s="241">
        <v>44001</v>
      </c>
      <c r="B572" t="s">
        <v>3427</v>
      </c>
      <c r="C572" t="s">
        <v>2981</v>
      </c>
      <c r="D572" t="s">
        <v>3011</v>
      </c>
      <c r="E572" t="s">
        <v>3413</v>
      </c>
      <c r="F572" t="s">
        <v>1619</v>
      </c>
      <c r="G572" t="s">
        <v>3428</v>
      </c>
      <c r="H572" t="s">
        <v>374</v>
      </c>
      <c r="I572" t="s">
        <v>1923</v>
      </c>
      <c r="J572" t="s">
        <v>1128</v>
      </c>
      <c r="K572" t="s">
        <v>1003</v>
      </c>
      <c r="L572">
        <v>0.85</v>
      </c>
      <c r="M572" t="s">
        <v>3429</v>
      </c>
      <c r="N572" t="s">
        <v>3430</v>
      </c>
      <c r="O572" t="s">
        <v>3431</v>
      </c>
      <c r="P572" t="s">
        <v>485</v>
      </c>
      <c r="Q572" t="s">
        <v>2885</v>
      </c>
      <c r="R572" t="s">
        <v>2886</v>
      </c>
      <c r="S572" t="s">
        <v>2885</v>
      </c>
      <c r="T572" t="s">
        <v>2886</v>
      </c>
    </row>
    <row r="573" spans="1:20">
      <c r="A573" s="241">
        <v>44001</v>
      </c>
      <c r="B573" t="s">
        <v>3432</v>
      </c>
      <c r="C573" t="s">
        <v>3006</v>
      </c>
      <c r="D573" t="s">
        <v>3317</v>
      </c>
      <c r="E573" t="s">
        <v>3403</v>
      </c>
      <c r="F573" t="s">
        <v>1951</v>
      </c>
      <c r="G573" t="s">
        <v>3433</v>
      </c>
      <c r="H573" t="s">
        <v>672</v>
      </c>
      <c r="I573" t="s">
        <v>436</v>
      </c>
      <c r="J573" t="s">
        <v>1298</v>
      </c>
      <c r="K573" t="s">
        <v>1406</v>
      </c>
      <c r="L573">
        <v>0.85</v>
      </c>
      <c r="M573" t="s">
        <v>3434</v>
      </c>
      <c r="N573" t="s">
        <v>3435</v>
      </c>
      <c r="O573" t="s">
        <v>3436</v>
      </c>
      <c r="P573" t="s">
        <v>485</v>
      </c>
      <c r="Q573" t="s">
        <v>2885</v>
      </c>
      <c r="R573" t="s">
        <v>2886</v>
      </c>
      <c r="S573" t="s">
        <v>2885</v>
      </c>
      <c r="T573" t="s">
        <v>2886</v>
      </c>
    </row>
    <row r="574" spans="1:20">
      <c r="A574" s="241">
        <v>44001</v>
      </c>
      <c r="B574" t="s">
        <v>3437</v>
      </c>
      <c r="C574" t="s">
        <v>2875</v>
      </c>
      <c r="D574" t="s">
        <v>2981</v>
      </c>
      <c r="E574" t="s">
        <v>3419</v>
      </c>
      <c r="F574" t="s">
        <v>3438</v>
      </c>
      <c r="G574" t="s">
        <v>3439</v>
      </c>
      <c r="H574" t="s">
        <v>1127</v>
      </c>
      <c r="I574" t="s">
        <v>446</v>
      </c>
      <c r="J574" t="s">
        <v>397</v>
      </c>
      <c r="K574" t="s">
        <v>1406</v>
      </c>
      <c r="L574">
        <v>0.85</v>
      </c>
      <c r="M574" t="s">
        <v>3440</v>
      </c>
      <c r="N574" t="s">
        <v>3441</v>
      </c>
      <c r="O574" t="s">
        <v>3442</v>
      </c>
      <c r="P574" t="s">
        <v>485</v>
      </c>
      <c r="Q574" t="s">
        <v>2885</v>
      </c>
      <c r="R574" t="s">
        <v>2886</v>
      </c>
      <c r="S574" t="s">
        <v>2885</v>
      </c>
      <c r="T574" t="s">
        <v>2886</v>
      </c>
    </row>
    <row r="575" spans="1:20">
      <c r="A575" s="241">
        <v>44001</v>
      </c>
      <c r="B575" t="s">
        <v>3443</v>
      </c>
      <c r="C575" t="s">
        <v>2888</v>
      </c>
      <c r="D575" t="s">
        <v>3317</v>
      </c>
      <c r="E575" t="s">
        <v>3419</v>
      </c>
      <c r="F575" t="s">
        <v>1630</v>
      </c>
      <c r="G575" t="s">
        <v>3087</v>
      </c>
      <c r="H575" t="s">
        <v>383</v>
      </c>
      <c r="I575" t="s">
        <v>427</v>
      </c>
      <c r="J575" t="s">
        <v>684</v>
      </c>
      <c r="K575" t="s">
        <v>1406</v>
      </c>
      <c r="L575">
        <v>0.85</v>
      </c>
      <c r="M575" t="s">
        <v>3444</v>
      </c>
      <c r="N575" t="s">
        <v>3445</v>
      </c>
      <c r="O575" t="s">
        <v>3446</v>
      </c>
      <c r="P575" t="s">
        <v>485</v>
      </c>
      <c r="Q575" t="s">
        <v>2885</v>
      </c>
      <c r="R575" t="s">
        <v>2886</v>
      </c>
      <c r="S575" t="s">
        <v>2885</v>
      </c>
      <c r="T575" t="s">
        <v>2886</v>
      </c>
    </row>
    <row r="576" spans="1:20">
      <c r="A576" s="241">
        <v>44001</v>
      </c>
      <c r="B576" t="s">
        <v>3447</v>
      </c>
      <c r="C576" t="s">
        <v>2875</v>
      </c>
      <c r="D576" t="s">
        <v>3040</v>
      </c>
      <c r="E576" t="s">
        <v>3448</v>
      </c>
      <c r="F576" t="s">
        <v>3092</v>
      </c>
      <c r="G576" t="s">
        <v>3449</v>
      </c>
      <c r="H576" t="s">
        <v>1882</v>
      </c>
      <c r="I576" t="s">
        <v>436</v>
      </c>
      <c r="J576" t="s">
        <v>1298</v>
      </c>
      <c r="K576" t="s">
        <v>1406</v>
      </c>
      <c r="L576">
        <v>0.85</v>
      </c>
      <c r="M576" t="s">
        <v>3450</v>
      </c>
      <c r="N576" t="s">
        <v>3451</v>
      </c>
      <c r="O576" t="s">
        <v>3452</v>
      </c>
      <c r="P576" t="s">
        <v>485</v>
      </c>
      <c r="Q576" t="s">
        <v>2885</v>
      </c>
      <c r="R576" t="s">
        <v>2886</v>
      </c>
      <c r="S576" t="s">
        <v>2885</v>
      </c>
      <c r="T576" t="s">
        <v>2886</v>
      </c>
    </row>
    <row r="577" spans="1:20">
      <c r="A577" s="241">
        <v>44001</v>
      </c>
      <c r="B577" t="s">
        <v>3453</v>
      </c>
      <c r="C577" t="s">
        <v>2875</v>
      </c>
      <c r="D577" t="s">
        <v>3011</v>
      </c>
      <c r="E577" t="s">
        <v>3394</v>
      </c>
      <c r="F577" t="s">
        <v>3092</v>
      </c>
      <c r="G577" t="s">
        <v>3428</v>
      </c>
      <c r="H577" t="s">
        <v>1541</v>
      </c>
      <c r="I577" t="s">
        <v>1158</v>
      </c>
      <c r="J577" t="s">
        <v>1298</v>
      </c>
      <c r="K577" t="s">
        <v>2458</v>
      </c>
      <c r="L577">
        <v>0.85</v>
      </c>
      <c r="M577" t="s">
        <v>3454</v>
      </c>
      <c r="N577" t="s">
        <v>3455</v>
      </c>
      <c r="O577" t="s">
        <v>3456</v>
      </c>
      <c r="P577" t="s">
        <v>485</v>
      </c>
      <c r="Q577" t="s">
        <v>2885</v>
      </c>
      <c r="R577" t="s">
        <v>2886</v>
      </c>
      <c r="S577" t="s">
        <v>2885</v>
      </c>
      <c r="T577" t="s">
        <v>2886</v>
      </c>
    </row>
    <row r="578" spans="1:20">
      <c r="A578" s="241">
        <v>44001</v>
      </c>
      <c r="B578" t="s">
        <v>3457</v>
      </c>
      <c r="C578" t="s">
        <v>2870</v>
      </c>
      <c r="D578" t="s">
        <v>3317</v>
      </c>
      <c r="E578" t="s">
        <v>3448</v>
      </c>
      <c r="F578" t="s">
        <v>3408</v>
      </c>
      <c r="G578" t="s">
        <v>3458</v>
      </c>
      <c r="H578" t="s">
        <v>662</v>
      </c>
      <c r="I578" t="s">
        <v>939</v>
      </c>
      <c r="J578" t="s">
        <v>684</v>
      </c>
      <c r="K578" t="s">
        <v>2668</v>
      </c>
      <c r="L578">
        <v>0.85</v>
      </c>
      <c r="M578" t="s">
        <v>3459</v>
      </c>
      <c r="N578" t="s">
        <v>3460</v>
      </c>
      <c r="O578" t="s">
        <v>3461</v>
      </c>
      <c r="P578" t="s">
        <v>485</v>
      </c>
      <c r="Q578" t="s">
        <v>2885</v>
      </c>
      <c r="R578" t="s">
        <v>2886</v>
      </c>
      <c r="S578" t="s">
        <v>2885</v>
      </c>
      <c r="T578" t="s">
        <v>2886</v>
      </c>
    </row>
    <row r="579" spans="1:20">
      <c r="A579" s="241">
        <v>44001</v>
      </c>
      <c r="B579" t="s">
        <v>3462</v>
      </c>
      <c r="C579" t="s">
        <v>3180</v>
      </c>
      <c r="D579" t="s">
        <v>3317</v>
      </c>
      <c r="E579" t="s">
        <v>3463</v>
      </c>
      <c r="F579" t="s">
        <v>3464</v>
      </c>
      <c r="G579" t="s">
        <v>3465</v>
      </c>
      <c r="H579" t="s">
        <v>3466</v>
      </c>
      <c r="I579" t="s">
        <v>721</v>
      </c>
      <c r="J579" t="s">
        <v>699</v>
      </c>
      <c r="K579" t="s">
        <v>1012</v>
      </c>
      <c r="L579">
        <v>0.85</v>
      </c>
      <c r="M579" t="s">
        <v>3467</v>
      </c>
      <c r="N579" t="s">
        <v>3468</v>
      </c>
      <c r="O579" t="s">
        <v>3469</v>
      </c>
      <c r="P579" t="s">
        <v>485</v>
      </c>
      <c r="Q579" t="s">
        <v>2885</v>
      </c>
      <c r="R579" t="s">
        <v>2886</v>
      </c>
      <c r="S579" t="s">
        <v>2885</v>
      </c>
      <c r="T579" t="s">
        <v>2886</v>
      </c>
    </row>
    <row r="580" spans="1:20">
      <c r="A580" s="241">
        <v>44001</v>
      </c>
      <c r="B580" t="s">
        <v>3470</v>
      </c>
      <c r="C580" t="s">
        <v>2875</v>
      </c>
      <c r="D580" t="s">
        <v>3180</v>
      </c>
      <c r="E580" t="s">
        <v>3394</v>
      </c>
      <c r="F580" t="s">
        <v>3471</v>
      </c>
      <c r="G580" t="s">
        <v>3472</v>
      </c>
      <c r="H580" t="s">
        <v>3103</v>
      </c>
      <c r="I580" t="s">
        <v>446</v>
      </c>
      <c r="J580" t="s">
        <v>912</v>
      </c>
      <c r="K580" t="s">
        <v>781</v>
      </c>
      <c r="L580">
        <v>0.85</v>
      </c>
      <c r="M580" t="s">
        <v>3473</v>
      </c>
      <c r="N580" t="s">
        <v>3474</v>
      </c>
      <c r="O580" t="s">
        <v>3475</v>
      </c>
      <c r="P580" t="s">
        <v>485</v>
      </c>
      <c r="Q580" t="s">
        <v>2885</v>
      </c>
      <c r="R580" t="s">
        <v>2886</v>
      </c>
      <c r="S580" t="s">
        <v>2885</v>
      </c>
      <c r="T580" t="s">
        <v>2886</v>
      </c>
    </row>
    <row r="581" spans="1:20">
      <c r="A581" s="241">
        <v>44001</v>
      </c>
      <c r="B581" t="s">
        <v>3476</v>
      </c>
      <c r="C581" t="s">
        <v>2932</v>
      </c>
      <c r="D581" t="s">
        <v>3317</v>
      </c>
      <c r="E581" t="s">
        <v>3403</v>
      </c>
      <c r="F581" t="s">
        <v>3477</v>
      </c>
      <c r="G581" t="s">
        <v>3472</v>
      </c>
      <c r="H581" t="s">
        <v>2579</v>
      </c>
      <c r="I581" t="s">
        <v>446</v>
      </c>
      <c r="J581" t="s">
        <v>397</v>
      </c>
      <c r="K581" t="s">
        <v>1399</v>
      </c>
      <c r="L581">
        <v>0.85</v>
      </c>
      <c r="M581" t="s">
        <v>3478</v>
      </c>
      <c r="N581" t="s">
        <v>3479</v>
      </c>
      <c r="O581" t="s">
        <v>3480</v>
      </c>
      <c r="P581" t="s">
        <v>485</v>
      </c>
      <c r="Q581" t="s">
        <v>2885</v>
      </c>
      <c r="R581" t="s">
        <v>2886</v>
      </c>
      <c r="S581" t="s">
        <v>2885</v>
      </c>
      <c r="T581" t="s">
        <v>2886</v>
      </c>
    </row>
    <row r="582" spans="1:20">
      <c r="A582" s="241">
        <v>44001</v>
      </c>
      <c r="B582" t="s">
        <v>3481</v>
      </c>
      <c r="C582" t="s">
        <v>2875</v>
      </c>
      <c r="D582" t="s">
        <v>3071</v>
      </c>
      <c r="E582" t="s">
        <v>3394</v>
      </c>
      <c r="F582" t="s">
        <v>3482</v>
      </c>
      <c r="G582" t="s">
        <v>3483</v>
      </c>
      <c r="H582" t="s">
        <v>1541</v>
      </c>
      <c r="I582" t="s">
        <v>939</v>
      </c>
      <c r="J582" t="s">
        <v>1298</v>
      </c>
      <c r="K582" t="s">
        <v>2277</v>
      </c>
      <c r="L582">
        <v>0.85</v>
      </c>
      <c r="M582" t="s">
        <v>3484</v>
      </c>
      <c r="N582" t="s">
        <v>3485</v>
      </c>
      <c r="O582" t="s">
        <v>3486</v>
      </c>
      <c r="P582" t="s">
        <v>485</v>
      </c>
      <c r="Q582" t="s">
        <v>2885</v>
      </c>
      <c r="R582" t="s">
        <v>2886</v>
      </c>
      <c r="S582" t="s">
        <v>2885</v>
      </c>
      <c r="T582" t="s">
        <v>2886</v>
      </c>
    </row>
    <row r="583" spans="1:20">
      <c r="A583" s="241">
        <v>44001</v>
      </c>
      <c r="B583" t="s">
        <v>3487</v>
      </c>
      <c r="C583" t="s">
        <v>2981</v>
      </c>
      <c r="D583" t="s">
        <v>3317</v>
      </c>
      <c r="E583" t="s">
        <v>3488</v>
      </c>
      <c r="F583" t="s">
        <v>3489</v>
      </c>
      <c r="G583" t="s">
        <v>3428</v>
      </c>
      <c r="H583" t="s">
        <v>2206</v>
      </c>
      <c r="I583" t="s">
        <v>1165</v>
      </c>
      <c r="J583" t="s">
        <v>691</v>
      </c>
      <c r="K583" t="s">
        <v>1003</v>
      </c>
      <c r="L583">
        <v>0.85</v>
      </c>
      <c r="M583" t="s">
        <v>3490</v>
      </c>
      <c r="N583" t="s">
        <v>3491</v>
      </c>
      <c r="O583" t="s">
        <v>3492</v>
      </c>
      <c r="P583" t="s">
        <v>485</v>
      </c>
      <c r="Q583" t="s">
        <v>2885</v>
      </c>
      <c r="R583" t="s">
        <v>2886</v>
      </c>
      <c r="S583" t="s">
        <v>2885</v>
      </c>
      <c r="T583" t="s">
        <v>2886</v>
      </c>
    </row>
    <row r="584" spans="1:20">
      <c r="A584" s="241">
        <v>44001</v>
      </c>
      <c r="B584" t="s">
        <v>3493</v>
      </c>
      <c r="C584" t="s">
        <v>2932</v>
      </c>
      <c r="D584" t="s">
        <v>2870</v>
      </c>
      <c r="E584" t="s">
        <v>3494</v>
      </c>
      <c r="F584" t="s">
        <v>3495</v>
      </c>
      <c r="G584" t="s">
        <v>3472</v>
      </c>
      <c r="H584" t="s">
        <v>3496</v>
      </c>
      <c r="I584" t="s">
        <v>3497</v>
      </c>
      <c r="J584" t="s">
        <v>3498</v>
      </c>
      <c r="K584" t="s">
        <v>3499</v>
      </c>
      <c r="L584">
        <v>0.86</v>
      </c>
      <c r="M584" t="s">
        <v>3500</v>
      </c>
      <c r="N584" t="s">
        <v>3501</v>
      </c>
      <c r="O584" t="s">
        <v>3502</v>
      </c>
      <c r="P584" t="s">
        <v>485</v>
      </c>
      <c r="Q584" t="s">
        <v>2885</v>
      </c>
      <c r="R584" t="s">
        <v>2886</v>
      </c>
      <c r="S584" t="s">
        <v>2885</v>
      </c>
      <c r="T584" t="s">
        <v>2886</v>
      </c>
    </row>
    <row r="585" spans="1:20">
      <c r="A585" s="241">
        <v>44001</v>
      </c>
      <c r="B585" t="s">
        <v>3503</v>
      </c>
      <c r="C585" t="s">
        <v>615</v>
      </c>
      <c r="D585" t="s">
        <v>2535</v>
      </c>
      <c r="E585" t="s">
        <v>2880</v>
      </c>
      <c r="F585" t="s">
        <v>3504</v>
      </c>
      <c r="G585" t="s">
        <v>1668</v>
      </c>
      <c r="H585" t="s">
        <v>739</v>
      </c>
      <c r="I585" t="s">
        <v>973</v>
      </c>
      <c r="J585" t="s">
        <v>3505</v>
      </c>
      <c r="K585" t="s">
        <v>1981</v>
      </c>
      <c r="L585">
        <v>0.89</v>
      </c>
      <c r="M585" t="s">
        <v>3506</v>
      </c>
      <c r="N585" t="s">
        <v>3507</v>
      </c>
      <c r="O585" t="s">
        <v>3508</v>
      </c>
      <c r="P585" t="s">
        <v>485</v>
      </c>
      <c r="Q585" t="s">
        <v>2885</v>
      </c>
      <c r="R585" t="s">
        <v>2886</v>
      </c>
      <c r="S585" t="s">
        <v>2885</v>
      </c>
      <c r="T585" t="s">
        <v>2886</v>
      </c>
    </row>
    <row r="586" spans="1:20">
      <c r="A586" s="241">
        <v>44001</v>
      </c>
      <c r="B586" t="s">
        <v>3509</v>
      </c>
      <c r="C586" t="s">
        <v>671</v>
      </c>
      <c r="D586" t="s">
        <v>392</v>
      </c>
      <c r="E586" t="s">
        <v>1049</v>
      </c>
      <c r="F586" t="s">
        <v>1968</v>
      </c>
      <c r="G586" t="s">
        <v>971</v>
      </c>
      <c r="H586" t="s">
        <v>2638</v>
      </c>
      <c r="I586" t="s">
        <v>3510</v>
      </c>
      <c r="J586" t="s">
        <v>2647</v>
      </c>
      <c r="K586" t="s">
        <v>3511</v>
      </c>
      <c r="L586">
        <v>0.89</v>
      </c>
      <c r="M586" t="s">
        <v>3512</v>
      </c>
      <c r="N586" t="s">
        <v>3513</v>
      </c>
      <c r="O586" t="s">
        <v>3514</v>
      </c>
      <c r="P586" t="s">
        <v>485</v>
      </c>
      <c r="Q586" t="s">
        <v>2885</v>
      </c>
      <c r="R586" t="s">
        <v>2886</v>
      </c>
      <c r="S586" t="s">
        <v>2885</v>
      </c>
      <c r="T586" t="s">
        <v>2886</v>
      </c>
    </row>
    <row r="587" spans="1:20">
      <c r="A587" s="241">
        <v>44001</v>
      </c>
      <c r="B587" t="s">
        <v>3515</v>
      </c>
      <c r="C587" t="s">
        <v>645</v>
      </c>
      <c r="D587" t="s">
        <v>645</v>
      </c>
      <c r="E587" t="s">
        <v>1102</v>
      </c>
      <c r="F587" t="s">
        <v>476</v>
      </c>
      <c r="G587" t="s">
        <v>477</v>
      </c>
      <c r="H587" t="s">
        <v>1969</v>
      </c>
      <c r="I587" t="s">
        <v>1370</v>
      </c>
      <c r="J587" t="s">
        <v>3516</v>
      </c>
      <c r="K587" t="s">
        <v>3517</v>
      </c>
      <c r="L587">
        <v>0.89</v>
      </c>
      <c r="M587" t="s">
        <v>3518</v>
      </c>
      <c r="N587" t="s">
        <v>3519</v>
      </c>
      <c r="O587" t="s">
        <v>3520</v>
      </c>
      <c r="P587" t="s">
        <v>485</v>
      </c>
      <c r="Q587" t="s">
        <v>2885</v>
      </c>
      <c r="R587" t="s">
        <v>2886</v>
      </c>
      <c r="S587" t="s">
        <v>2885</v>
      </c>
      <c r="T587" t="s">
        <v>2886</v>
      </c>
    </row>
    <row r="588" spans="1:20">
      <c r="A588" s="241">
        <v>44001</v>
      </c>
      <c r="B588" t="s">
        <v>3521</v>
      </c>
      <c r="C588" t="s">
        <v>3040</v>
      </c>
      <c r="D588" t="s">
        <v>3054</v>
      </c>
      <c r="E588" t="s">
        <v>3522</v>
      </c>
      <c r="F588" t="s">
        <v>265</v>
      </c>
      <c r="G588" t="s">
        <v>520</v>
      </c>
      <c r="H588" t="s">
        <v>1697</v>
      </c>
      <c r="I588" t="s">
        <v>1680</v>
      </c>
      <c r="J588" t="s">
        <v>3523</v>
      </c>
      <c r="K588" t="s">
        <v>3524</v>
      </c>
      <c r="L588">
        <v>0.86</v>
      </c>
      <c r="M588" t="s">
        <v>3525</v>
      </c>
      <c r="N588" t="s">
        <v>3526</v>
      </c>
      <c r="O588" t="s">
        <v>3527</v>
      </c>
      <c r="P588" t="s">
        <v>485</v>
      </c>
      <c r="Q588" t="s">
        <v>2885</v>
      </c>
      <c r="R588" t="s">
        <v>2886</v>
      </c>
      <c r="S588" t="s">
        <v>2885</v>
      </c>
      <c r="T588" t="s">
        <v>2886</v>
      </c>
    </row>
    <row r="589" spans="1:20">
      <c r="A589" s="241">
        <v>44001</v>
      </c>
      <c r="B589" t="s">
        <v>3528</v>
      </c>
      <c r="C589" t="s">
        <v>3054</v>
      </c>
      <c r="D589" t="s">
        <v>2875</v>
      </c>
      <c r="E589" t="s">
        <v>3529</v>
      </c>
      <c r="F589" t="s">
        <v>1231</v>
      </c>
      <c r="G589" t="s">
        <v>1411</v>
      </c>
      <c r="H589" t="s">
        <v>1746</v>
      </c>
      <c r="I589" t="s">
        <v>513</v>
      </c>
      <c r="J589" t="s">
        <v>3530</v>
      </c>
      <c r="K589" t="s">
        <v>3531</v>
      </c>
      <c r="L589">
        <v>0.86</v>
      </c>
      <c r="M589" t="s">
        <v>3532</v>
      </c>
      <c r="N589" t="s">
        <v>3533</v>
      </c>
      <c r="O589" t="s">
        <v>3534</v>
      </c>
      <c r="P589" t="s">
        <v>485</v>
      </c>
      <c r="Q589" t="s">
        <v>2885</v>
      </c>
      <c r="R589" t="s">
        <v>2886</v>
      </c>
      <c r="S589" t="s">
        <v>2885</v>
      </c>
      <c r="T589" t="s">
        <v>2886</v>
      </c>
    </row>
    <row r="590" spans="1:20">
      <c r="A590" s="241">
        <v>44001</v>
      </c>
      <c r="B590" t="s">
        <v>3535</v>
      </c>
      <c r="C590" t="s">
        <v>2544</v>
      </c>
      <c r="D590" t="s">
        <v>3180</v>
      </c>
      <c r="E590" t="s">
        <v>3419</v>
      </c>
      <c r="F590" t="s">
        <v>1692</v>
      </c>
      <c r="G590" t="s">
        <v>1025</v>
      </c>
      <c r="H590" t="s">
        <v>1426</v>
      </c>
      <c r="I590" t="s">
        <v>1686</v>
      </c>
      <c r="J590" t="s">
        <v>3530</v>
      </c>
      <c r="K590" t="s">
        <v>3531</v>
      </c>
      <c r="L590">
        <v>0.86</v>
      </c>
      <c r="M590" t="s">
        <v>3536</v>
      </c>
      <c r="N590" t="s">
        <v>3537</v>
      </c>
      <c r="O590" t="s">
        <v>3538</v>
      </c>
      <c r="P590" t="s">
        <v>485</v>
      </c>
      <c r="Q590" t="s">
        <v>2885</v>
      </c>
      <c r="R590" t="s">
        <v>2886</v>
      </c>
      <c r="S590" t="s">
        <v>2885</v>
      </c>
      <c r="T590" t="s">
        <v>2886</v>
      </c>
    </row>
    <row r="591" spans="1:20">
      <c r="A591" s="241">
        <v>44001</v>
      </c>
      <c r="B591" t="s">
        <v>3539</v>
      </c>
      <c r="C591" t="s">
        <v>2880</v>
      </c>
      <c r="D591" t="s">
        <v>2932</v>
      </c>
      <c r="E591" t="s">
        <v>3540</v>
      </c>
      <c r="F591" t="s">
        <v>822</v>
      </c>
      <c r="G591" t="s">
        <v>2075</v>
      </c>
      <c r="H591" t="s">
        <v>1726</v>
      </c>
      <c r="I591" t="s">
        <v>1019</v>
      </c>
      <c r="J591" t="s">
        <v>780</v>
      </c>
      <c r="K591" t="s">
        <v>3541</v>
      </c>
      <c r="L591">
        <v>0.86</v>
      </c>
      <c r="M591" t="s">
        <v>3542</v>
      </c>
      <c r="N591" t="s">
        <v>3543</v>
      </c>
      <c r="O591" t="s">
        <v>3544</v>
      </c>
      <c r="P591" t="s">
        <v>485</v>
      </c>
      <c r="Q591" t="s">
        <v>2885</v>
      </c>
      <c r="R591" t="s">
        <v>2886</v>
      </c>
      <c r="S591" t="s">
        <v>2885</v>
      </c>
      <c r="T591" t="s">
        <v>2886</v>
      </c>
    </row>
    <row r="592" spans="1:20">
      <c r="A592" s="241">
        <v>44001</v>
      </c>
      <c r="B592" t="s">
        <v>3545</v>
      </c>
      <c r="C592" t="s">
        <v>2893</v>
      </c>
      <c r="D592" t="s">
        <v>3011</v>
      </c>
      <c r="E592" t="s">
        <v>3413</v>
      </c>
      <c r="F592" t="s">
        <v>1769</v>
      </c>
      <c r="G592" t="s">
        <v>2075</v>
      </c>
      <c r="H592" t="s">
        <v>1257</v>
      </c>
      <c r="I592" t="s">
        <v>532</v>
      </c>
      <c r="J592" t="s">
        <v>1392</v>
      </c>
      <c r="K592" t="s">
        <v>3524</v>
      </c>
      <c r="L592">
        <v>0.86</v>
      </c>
      <c r="M592" t="s">
        <v>3546</v>
      </c>
      <c r="N592" t="s">
        <v>3547</v>
      </c>
      <c r="O592" t="s">
        <v>3548</v>
      </c>
      <c r="P592" t="s">
        <v>485</v>
      </c>
      <c r="Q592" t="s">
        <v>2885</v>
      </c>
      <c r="R592" t="s">
        <v>2886</v>
      </c>
      <c r="S592" t="s">
        <v>2885</v>
      </c>
      <c r="T592" t="s">
        <v>2886</v>
      </c>
    </row>
    <row r="593" spans="1:20">
      <c r="A593" s="241">
        <v>44001</v>
      </c>
      <c r="B593" t="s">
        <v>3549</v>
      </c>
      <c r="C593" t="s">
        <v>3006</v>
      </c>
      <c r="D593" t="s">
        <v>3011</v>
      </c>
      <c r="E593" t="s">
        <v>3413</v>
      </c>
      <c r="F593" t="s">
        <v>316</v>
      </c>
      <c r="G593" t="s">
        <v>804</v>
      </c>
      <c r="H593" t="s">
        <v>1388</v>
      </c>
      <c r="I593" t="s">
        <v>793</v>
      </c>
      <c r="J593" t="s">
        <v>1216</v>
      </c>
      <c r="K593" t="s">
        <v>3531</v>
      </c>
      <c r="L593">
        <v>0.86</v>
      </c>
      <c r="M593" t="s">
        <v>3550</v>
      </c>
      <c r="N593" t="s">
        <v>3551</v>
      </c>
      <c r="O593" t="s">
        <v>3552</v>
      </c>
      <c r="P593" t="s">
        <v>485</v>
      </c>
      <c r="Q593" t="s">
        <v>2885</v>
      </c>
      <c r="R593" t="s">
        <v>2886</v>
      </c>
      <c r="S593" t="s">
        <v>2885</v>
      </c>
      <c r="T593" t="s">
        <v>2886</v>
      </c>
    </row>
    <row r="594" spans="1:20">
      <c r="A594" s="241">
        <v>44001</v>
      </c>
      <c r="B594" t="s">
        <v>3553</v>
      </c>
      <c r="C594" t="s">
        <v>3180</v>
      </c>
      <c r="D594" t="s">
        <v>2888</v>
      </c>
      <c r="E594" t="s">
        <v>3529</v>
      </c>
      <c r="F594" t="s">
        <v>590</v>
      </c>
      <c r="G594" t="s">
        <v>804</v>
      </c>
      <c r="H594" t="s">
        <v>3554</v>
      </c>
      <c r="I594" t="s">
        <v>1421</v>
      </c>
      <c r="J594" t="s">
        <v>1405</v>
      </c>
      <c r="K594" t="s">
        <v>3524</v>
      </c>
      <c r="L594">
        <v>0.86</v>
      </c>
      <c r="M594" t="s">
        <v>3555</v>
      </c>
      <c r="N594" t="s">
        <v>3556</v>
      </c>
      <c r="O594" t="s">
        <v>3557</v>
      </c>
      <c r="P594" t="s">
        <v>485</v>
      </c>
      <c r="Q594" t="s">
        <v>2885</v>
      </c>
      <c r="R594" t="s">
        <v>2886</v>
      </c>
      <c r="S594" t="s">
        <v>2885</v>
      </c>
      <c r="T594" t="s">
        <v>2886</v>
      </c>
    </row>
    <row r="595" spans="1:20">
      <c r="A595" s="241">
        <v>44001</v>
      </c>
      <c r="B595" t="s">
        <v>3558</v>
      </c>
      <c r="C595" t="s">
        <v>2769</v>
      </c>
      <c r="D595" t="s">
        <v>3006</v>
      </c>
      <c r="E595" t="s">
        <v>3494</v>
      </c>
      <c r="F595" t="s">
        <v>848</v>
      </c>
      <c r="G595" t="s">
        <v>1775</v>
      </c>
      <c r="H595" t="s">
        <v>1017</v>
      </c>
      <c r="I595" t="s">
        <v>816</v>
      </c>
      <c r="J595" t="s">
        <v>1233</v>
      </c>
      <c r="K595" t="s">
        <v>3559</v>
      </c>
      <c r="L595">
        <v>0.86</v>
      </c>
      <c r="M595" t="s">
        <v>3560</v>
      </c>
      <c r="N595" t="s">
        <v>3561</v>
      </c>
      <c r="O595" t="s">
        <v>3562</v>
      </c>
      <c r="P595" t="s">
        <v>485</v>
      </c>
      <c r="Q595" t="s">
        <v>2885</v>
      </c>
      <c r="R595" t="s">
        <v>2886</v>
      </c>
      <c r="S595" t="s">
        <v>2885</v>
      </c>
      <c r="T595" t="s">
        <v>2886</v>
      </c>
    </row>
    <row r="596" spans="1:20">
      <c r="A596" s="241">
        <v>44001</v>
      </c>
      <c r="B596" t="s">
        <v>3563</v>
      </c>
      <c r="C596" t="s">
        <v>3317</v>
      </c>
      <c r="D596" t="s">
        <v>3522</v>
      </c>
      <c r="E596" t="s">
        <v>3564</v>
      </c>
      <c r="F596" t="s">
        <v>616</v>
      </c>
      <c r="G596" t="s">
        <v>1269</v>
      </c>
      <c r="H596" t="s">
        <v>307</v>
      </c>
      <c r="I596" t="s">
        <v>816</v>
      </c>
      <c r="J596" t="s">
        <v>523</v>
      </c>
      <c r="K596" t="s">
        <v>3565</v>
      </c>
      <c r="L596">
        <v>0.86</v>
      </c>
      <c r="M596" t="s">
        <v>3566</v>
      </c>
      <c r="N596" t="s">
        <v>3567</v>
      </c>
      <c r="O596" t="s">
        <v>3568</v>
      </c>
      <c r="P596" t="s">
        <v>485</v>
      </c>
      <c r="Q596" t="s">
        <v>2885</v>
      </c>
      <c r="R596" t="s">
        <v>2886</v>
      </c>
      <c r="S596" t="s">
        <v>2885</v>
      </c>
      <c r="T596" t="s">
        <v>2886</v>
      </c>
    </row>
    <row r="597" spans="1:20">
      <c r="A597" s="241">
        <v>44001</v>
      </c>
      <c r="B597" t="s">
        <v>3569</v>
      </c>
      <c r="C597" t="s">
        <v>3223</v>
      </c>
      <c r="D597" t="s">
        <v>3570</v>
      </c>
      <c r="E597" t="s">
        <v>3571</v>
      </c>
      <c r="F597" t="s">
        <v>1147</v>
      </c>
      <c r="G597" t="s">
        <v>345</v>
      </c>
      <c r="H597" t="s">
        <v>1478</v>
      </c>
      <c r="I597" t="s">
        <v>2329</v>
      </c>
      <c r="J597" t="s">
        <v>2044</v>
      </c>
      <c r="K597" t="s">
        <v>3565</v>
      </c>
      <c r="L597">
        <v>0.86</v>
      </c>
      <c r="M597" t="s">
        <v>3572</v>
      </c>
      <c r="N597" t="s">
        <v>3573</v>
      </c>
      <c r="O597" t="s">
        <v>3574</v>
      </c>
      <c r="P597" t="s">
        <v>485</v>
      </c>
      <c r="Q597" t="s">
        <v>2885</v>
      </c>
      <c r="R597" t="s">
        <v>2886</v>
      </c>
      <c r="S597" t="s">
        <v>2885</v>
      </c>
      <c r="T597" t="s">
        <v>2886</v>
      </c>
    </row>
    <row r="598" spans="1:20">
      <c r="A598" s="241">
        <v>44001</v>
      </c>
      <c r="B598" t="s">
        <v>3575</v>
      </c>
      <c r="C598" t="s">
        <v>3097</v>
      </c>
      <c r="D598" t="s">
        <v>3097</v>
      </c>
      <c r="E598" t="s">
        <v>3488</v>
      </c>
      <c r="F598" t="s">
        <v>395</v>
      </c>
      <c r="G598" t="s">
        <v>1500</v>
      </c>
      <c r="H598" t="s">
        <v>600</v>
      </c>
      <c r="I598" t="s">
        <v>2329</v>
      </c>
      <c r="J598" t="s">
        <v>543</v>
      </c>
      <c r="K598" t="s">
        <v>3541</v>
      </c>
      <c r="L598">
        <v>0.86</v>
      </c>
      <c r="M598" t="s">
        <v>3576</v>
      </c>
      <c r="N598" t="s">
        <v>3577</v>
      </c>
      <c r="O598" t="s">
        <v>3578</v>
      </c>
      <c r="P598" t="s">
        <v>485</v>
      </c>
      <c r="Q598" t="s">
        <v>2885</v>
      </c>
      <c r="R598" t="s">
        <v>2886</v>
      </c>
      <c r="S598" t="s">
        <v>2885</v>
      </c>
      <c r="T598" t="s">
        <v>2886</v>
      </c>
    </row>
    <row r="599" spans="1:20">
      <c r="A599" s="241">
        <v>44001</v>
      </c>
      <c r="B599" t="s">
        <v>3579</v>
      </c>
      <c r="C599" t="s">
        <v>3580</v>
      </c>
      <c r="D599" t="s">
        <v>3581</v>
      </c>
      <c r="E599" t="s">
        <v>3582</v>
      </c>
      <c r="F599" t="s">
        <v>1591</v>
      </c>
      <c r="G599" t="s">
        <v>315</v>
      </c>
      <c r="H599" t="s">
        <v>346</v>
      </c>
      <c r="I599" t="s">
        <v>266</v>
      </c>
      <c r="J599" t="s">
        <v>551</v>
      </c>
      <c r="K599" t="s">
        <v>3541</v>
      </c>
      <c r="L599">
        <v>0.86</v>
      </c>
      <c r="M599" t="s">
        <v>3583</v>
      </c>
      <c r="N599" t="s">
        <v>3584</v>
      </c>
      <c r="O599" t="s">
        <v>3585</v>
      </c>
      <c r="P599" t="s">
        <v>485</v>
      </c>
      <c r="Q599" t="s">
        <v>2885</v>
      </c>
      <c r="R599" t="s">
        <v>2886</v>
      </c>
      <c r="S599" t="s">
        <v>2885</v>
      </c>
      <c r="T599" t="s">
        <v>2886</v>
      </c>
    </row>
    <row r="600" spans="1:20">
      <c r="A600" s="241">
        <v>44001</v>
      </c>
      <c r="B600" t="s">
        <v>3586</v>
      </c>
      <c r="C600" t="s">
        <v>3097</v>
      </c>
      <c r="D600" t="s">
        <v>3587</v>
      </c>
      <c r="E600" t="s">
        <v>3588</v>
      </c>
      <c r="F600" t="s">
        <v>445</v>
      </c>
      <c r="G600" t="s">
        <v>1832</v>
      </c>
      <c r="H600" t="s">
        <v>618</v>
      </c>
      <c r="I600" t="s">
        <v>838</v>
      </c>
      <c r="J600" t="s">
        <v>817</v>
      </c>
      <c r="K600" t="s">
        <v>3524</v>
      </c>
      <c r="L600">
        <v>0.86</v>
      </c>
      <c r="M600" t="s">
        <v>3589</v>
      </c>
      <c r="N600" t="s">
        <v>3590</v>
      </c>
      <c r="O600" t="s">
        <v>3591</v>
      </c>
      <c r="P600" t="s">
        <v>485</v>
      </c>
      <c r="Q600" t="s">
        <v>2885</v>
      </c>
      <c r="R600" t="s">
        <v>2886</v>
      </c>
      <c r="S600" t="s">
        <v>2885</v>
      </c>
      <c r="T600" t="s">
        <v>2886</v>
      </c>
    </row>
    <row r="601" spans="1:20">
      <c r="A601" s="241">
        <v>44001</v>
      </c>
      <c r="B601" t="s">
        <v>3592</v>
      </c>
      <c r="C601" t="s">
        <v>3317</v>
      </c>
      <c r="D601" t="s">
        <v>3570</v>
      </c>
      <c r="E601" t="s">
        <v>3593</v>
      </c>
      <c r="F601" t="s">
        <v>647</v>
      </c>
      <c r="G601" t="s">
        <v>617</v>
      </c>
      <c r="H601" t="s">
        <v>1756</v>
      </c>
      <c r="I601" t="s">
        <v>609</v>
      </c>
      <c r="J601" t="s">
        <v>825</v>
      </c>
      <c r="K601" t="s">
        <v>3594</v>
      </c>
      <c r="L601">
        <v>0.86</v>
      </c>
      <c r="M601" t="s">
        <v>3595</v>
      </c>
      <c r="N601" t="s">
        <v>3596</v>
      </c>
      <c r="O601" t="s">
        <v>3597</v>
      </c>
      <c r="P601" t="s">
        <v>485</v>
      </c>
      <c r="Q601" t="s">
        <v>2885</v>
      </c>
      <c r="R601" t="s">
        <v>2886</v>
      </c>
      <c r="S601" t="s">
        <v>2885</v>
      </c>
      <c r="T601" t="s">
        <v>2886</v>
      </c>
    </row>
    <row r="602" spans="1:20">
      <c r="A602" s="241">
        <v>44001</v>
      </c>
      <c r="B602" t="s">
        <v>3598</v>
      </c>
      <c r="C602" t="s">
        <v>3202</v>
      </c>
      <c r="D602" t="s">
        <v>3581</v>
      </c>
      <c r="E602" t="s">
        <v>3599</v>
      </c>
      <c r="F602" t="s">
        <v>1147</v>
      </c>
      <c r="G602" t="s">
        <v>355</v>
      </c>
      <c r="H602" t="s">
        <v>576</v>
      </c>
      <c r="I602" t="s">
        <v>1264</v>
      </c>
      <c r="J602" t="s">
        <v>561</v>
      </c>
      <c r="K602" t="s">
        <v>3594</v>
      </c>
      <c r="L602">
        <v>0.86</v>
      </c>
      <c r="M602" t="s">
        <v>3600</v>
      </c>
      <c r="N602" t="s">
        <v>3601</v>
      </c>
      <c r="O602" t="s">
        <v>3602</v>
      </c>
      <c r="P602" t="s">
        <v>485</v>
      </c>
      <c r="Q602" t="s">
        <v>2885</v>
      </c>
      <c r="R602" t="s">
        <v>2886</v>
      </c>
      <c r="S602" t="s">
        <v>2885</v>
      </c>
      <c r="T602" t="s">
        <v>2886</v>
      </c>
    </row>
    <row r="603" spans="1:20">
      <c r="A603" s="241">
        <v>44001</v>
      </c>
      <c r="B603" t="s">
        <v>3603</v>
      </c>
      <c r="C603" t="s">
        <v>3587</v>
      </c>
      <c r="D603" t="s">
        <v>3587</v>
      </c>
      <c r="E603" t="s">
        <v>3582</v>
      </c>
      <c r="F603" t="s">
        <v>1536</v>
      </c>
      <c r="G603" t="s">
        <v>2177</v>
      </c>
      <c r="H603" t="s">
        <v>1056</v>
      </c>
      <c r="I603" t="s">
        <v>619</v>
      </c>
      <c r="J603" t="s">
        <v>2330</v>
      </c>
      <c r="K603" t="s">
        <v>3604</v>
      </c>
      <c r="L603">
        <v>0.86</v>
      </c>
      <c r="M603" t="s">
        <v>3605</v>
      </c>
      <c r="N603" t="s">
        <v>3606</v>
      </c>
      <c r="O603" t="s">
        <v>3607</v>
      </c>
      <c r="P603" t="s">
        <v>485</v>
      </c>
      <c r="Q603" t="s">
        <v>2885</v>
      </c>
      <c r="R603" t="s">
        <v>2886</v>
      </c>
      <c r="S603" t="s">
        <v>2885</v>
      </c>
      <c r="T603" t="s">
        <v>2886</v>
      </c>
    </row>
    <row r="604" spans="1:20">
      <c r="A604" s="241">
        <v>44001</v>
      </c>
      <c r="B604" t="s">
        <v>3608</v>
      </c>
      <c r="C604" t="s">
        <v>332</v>
      </c>
      <c r="D604" t="s">
        <v>382</v>
      </c>
      <c r="E604" t="s">
        <v>1314</v>
      </c>
      <c r="F604" t="s">
        <v>713</v>
      </c>
      <c r="G604" t="s">
        <v>1841</v>
      </c>
      <c r="H604" t="s">
        <v>1818</v>
      </c>
      <c r="I604" t="s">
        <v>619</v>
      </c>
      <c r="J604" t="s">
        <v>601</v>
      </c>
      <c r="K604" t="s">
        <v>1032</v>
      </c>
      <c r="L604">
        <v>0.86</v>
      </c>
      <c r="M604" t="s">
        <v>3609</v>
      </c>
      <c r="N604" t="s">
        <v>3610</v>
      </c>
      <c r="O604" t="s">
        <v>3611</v>
      </c>
      <c r="P604" t="s">
        <v>485</v>
      </c>
      <c r="Q604" t="s">
        <v>2885</v>
      </c>
      <c r="R604" t="s">
        <v>2886</v>
      </c>
      <c r="S604" t="s">
        <v>2885</v>
      </c>
      <c r="T604" t="s">
        <v>2886</v>
      </c>
    </row>
    <row r="605" spans="1:20">
      <c r="A605" s="241">
        <v>44001</v>
      </c>
      <c r="B605" t="s">
        <v>3612</v>
      </c>
      <c r="C605" t="s">
        <v>382</v>
      </c>
      <c r="D605" t="s">
        <v>2549</v>
      </c>
      <c r="E605" t="s">
        <v>3180</v>
      </c>
      <c r="F605" t="s">
        <v>435</v>
      </c>
      <c r="G605" t="s">
        <v>1292</v>
      </c>
      <c r="H605" t="s">
        <v>1050</v>
      </c>
      <c r="I605" t="s">
        <v>869</v>
      </c>
      <c r="J605" t="s">
        <v>1812</v>
      </c>
      <c r="K605" t="s">
        <v>534</v>
      </c>
      <c r="L605">
        <v>0.86</v>
      </c>
      <c r="M605" t="s">
        <v>3613</v>
      </c>
      <c r="N605" t="s">
        <v>3614</v>
      </c>
      <c r="O605" t="s">
        <v>3615</v>
      </c>
      <c r="P605" t="s">
        <v>485</v>
      </c>
      <c r="Q605" t="s">
        <v>2885</v>
      </c>
      <c r="R605" t="s">
        <v>2886</v>
      </c>
      <c r="S605" t="s">
        <v>2885</v>
      </c>
      <c r="T605" t="s">
        <v>2886</v>
      </c>
    </row>
    <row r="606" spans="1:20">
      <c r="A606" s="241">
        <v>44001</v>
      </c>
      <c r="B606" t="s">
        <v>3616</v>
      </c>
      <c r="C606" t="s">
        <v>2549</v>
      </c>
      <c r="D606" t="s">
        <v>208</v>
      </c>
      <c r="E606" t="s">
        <v>3054</v>
      </c>
      <c r="F606" t="s">
        <v>344</v>
      </c>
      <c r="G606" t="s">
        <v>1115</v>
      </c>
      <c r="H606" t="s">
        <v>1262</v>
      </c>
      <c r="I606" t="s">
        <v>357</v>
      </c>
      <c r="J606" t="s">
        <v>348</v>
      </c>
      <c r="K606" t="s">
        <v>299</v>
      </c>
      <c r="L606">
        <v>0.86</v>
      </c>
      <c r="M606" t="s">
        <v>3617</v>
      </c>
      <c r="N606" t="s">
        <v>3618</v>
      </c>
      <c r="O606" t="s">
        <v>3619</v>
      </c>
      <c r="P606" t="s">
        <v>485</v>
      </c>
      <c r="Q606" t="s">
        <v>2885</v>
      </c>
      <c r="R606" t="s">
        <v>2886</v>
      </c>
      <c r="S606" t="s">
        <v>2885</v>
      </c>
      <c r="T606" t="s">
        <v>2886</v>
      </c>
    </row>
    <row r="607" spans="1:20">
      <c r="A607" s="241">
        <v>44001</v>
      </c>
      <c r="B607" t="s">
        <v>3620</v>
      </c>
      <c r="C607" t="s">
        <v>392</v>
      </c>
      <c r="D607" t="s">
        <v>343</v>
      </c>
      <c r="E607" t="s">
        <v>2584</v>
      </c>
      <c r="F607" t="s">
        <v>454</v>
      </c>
      <c r="G607" t="s">
        <v>384</v>
      </c>
      <c r="H607" t="s">
        <v>1769</v>
      </c>
      <c r="I607" t="s">
        <v>888</v>
      </c>
      <c r="J607" t="s">
        <v>640</v>
      </c>
      <c r="K607" t="s">
        <v>231</v>
      </c>
      <c r="L607">
        <v>0.86</v>
      </c>
      <c r="M607" t="s">
        <v>3621</v>
      </c>
      <c r="N607" t="s">
        <v>3622</v>
      </c>
      <c r="O607" t="s">
        <v>3623</v>
      </c>
      <c r="P607" t="s">
        <v>485</v>
      </c>
      <c r="Q607" t="s">
        <v>2885</v>
      </c>
      <c r="R607" t="s">
        <v>2886</v>
      </c>
      <c r="S607" t="s">
        <v>2885</v>
      </c>
      <c r="T607" t="s">
        <v>2886</v>
      </c>
    </row>
    <row r="608" spans="1:20">
      <c r="A608" s="241">
        <v>44001</v>
      </c>
      <c r="B608" t="s">
        <v>3624</v>
      </c>
      <c r="C608" t="s">
        <v>679</v>
      </c>
      <c r="D608" t="s">
        <v>402</v>
      </c>
      <c r="E608" t="s">
        <v>2888</v>
      </c>
      <c r="F608" t="s">
        <v>393</v>
      </c>
      <c r="G608" t="s">
        <v>673</v>
      </c>
      <c r="H608" t="s">
        <v>590</v>
      </c>
      <c r="I608" t="s">
        <v>367</v>
      </c>
      <c r="J608" t="s">
        <v>1116</v>
      </c>
      <c r="K608" t="s">
        <v>268</v>
      </c>
      <c r="L608">
        <v>0.86</v>
      </c>
      <c r="M608" t="s">
        <v>3625</v>
      </c>
      <c r="N608" t="s">
        <v>3626</v>
      </c>
      <c r="O608" t="s">
        <v>3627</v>
      </c>
      <c r="P608" t="s">
        <v>485</v>
      </c>
      <c r="Q608" t="s">
        <v>2885</v>
      </c>
      <c r="R608" t="s">
        <v>2886</v>
      </c>
      <c r="S608" t="s">
        <v>2885</v>
      </c>
      <c r="T608" t="s">
        <v>2886</v>
      </c>
    </row>
    <row r="609" spans="1:20">
      <c r="A609" s="241">
        <v>44001</v>
      </c>
      <c r="B609" t="s">
        <v>3628</v>
      </c>
      <c r="C609" t="s">
        <v>2478</v>
      </c>
      <c r="D609" t="s">
        <v>1139</v>
      </c>
      <c r="E609" t="s">
        <v>3180</v>
      </c>
      <c r="F609" t="s">
        <v>344</v>
      </c>
      <c r="G609" t="s">
        <v>1568</v>
      </c>
      <c r="H609" t="s">
        <v>626</v>
      </c>
      <c r="I609" t="s">
        <v>664</v>
      </c>
      <c r="J609" t="s">
        <v>1868</v>
      </c>
      <c r="K609" t="s">
        <v>571</v>
      </c>
      <c r="L609">
        <v>0.86</v>
      </c>
      <c r="M609" t="s">
        <v>3629</v>
      </c>
      <c r="N609" t="s">
        <v>3630</v>
      </c>
      <c r="O609" t="s">
        <v>3631</v>
      </c>
      <c r="P609" t="s">
        <v>485</v>
      </c>
      <c r="Q609" t="s">
        <v>2885</v>
      </c>
      <c r="R609" t="s">
        <v>2886</v>
      </c>
      <c r="S609" t="s">
        <v>2885</v>
      </c>
      <c r="T609" t="s">
        <v>2886</v>
      </c>
    </row>
    <row r="610" spans="1:20">
      <c r="A610" s="241">
        <v>44001</v>
      </c>
      <c r="B610" t="s">
        <v>3632</v>
      </c>
      <c r="C610" t="s">
        <v>1079</v>
      </c>
      <c r="D610" t="s">
        <v>556</v>
      </c>
      <c r="E610" t="s">
        <v>2893</v>
      </c>
      <c r="F610" t="s">
        <v>2574</v>
      </c>
      <c r="G610" t="s">
        <v>425</v>
      </c>
      <c r="H610" t="s">
        <v>395</v>
      </c>
      <c r="I610" t="s">
        <v>683</v>
      </c>
      <c r="J610" t="s">
        <v>368</v>
      </c>
      <c r="K610" t="s">
        <v>579</v>
      </c>
      <c r="L610">
        <v>0.86</v>
      </c>
      <c r="M610" t="s">
        <v>3633</v>
      </c>
      <c r="N610" t="s">
        <v>3634</v>
      </c>
      <c r="O610" t="s">
        <v>3635</v>
      </c>
      <c r="P610" t="s">
        <v>485</v>
      </c>
      <c r="Q610" t="s">
        <v>2885</v>
      </c>
      <c r="R610" t="s">
        <v>2886</v>
      </c>
      <c r="S610" t="s">
        <v>2885</v>
      </c>
      <c r="T610" t="s">
        <v>2886</v>
      </c>
    </row>
    <row r="611" spans="1:20">
      <c r="A611" s="241">
        <v>44001</v>
      </c>
      <c r="B611" t="s">
        <v>3636</v>
      </c>
      <c r="C611" t="s">
        <v>2549</v>
      </c>
      <c r="D611" t="s">
        <v>208</v>
      </c>
      <c r="E611" t="s">
        <v>3054</v>
      </c>
      <c r="F611" t="s">
        <v>1561</v>
      </c>
      <c r="G611" t="s">
        <v>1946</v>
      </c>
      <c r="H611" t="s">
        <v>295</v>
      </c>
      <c r="I611" t="s">
        <v>1134</v>
      </c>
      <c r="J611" t="s">
        <v>387</v>
      </c>
      <c r="K611" t="s">
        <v>268</v>
      </c>
      <c r="L611">
        <v>0.86</v>
      </c>
      <c r="M611" t="s">
        <v>3637</v>
      </c>
      <c r="N611" t="s">
        <v>3638</v>
      </c>
      <c r="O611" t="s">
        <v>3639</v>
      </c>
      <c r="P611" t="s">
        <v>485</v>
      </c>
      <c r="Q611" t="s">
        <v>2885</v>
      </c>
      <c r="R611" t="s">
        <v>2886</v>
      </c>
      <c r="S611" t="s">
        <v>2885</v>
      </c>
      <c r="T611" t="s">
        <v>2886</v>
      </c>
    </row>
    <row r="612" spans="1:20">
      <c r="A612" s="241">
        <v>44001</v>
      </c>
      <c r="B612" t="s">
        <v>3640</v>
      </c>
      <c r="C612" t="s">
        <v>443</v>
      </c>
      <c r="D612" t="s">
        <v>556</v>
      </c>
      <c r="E612" t="s">
        <v>2769</v>
      </c>
      <c r="F612" t="s">
        <v>1156</v>
      </c>
      <c r="G612" t="s">
        <v>1610</v>
      </c>
      <c r="H612" t="s">
        <v>415</v>
      </c>
      <c r="I612" t="s">
        <v>698</v>
      </c>
      <c r="J612" t="s">
        <v>1569</v>
      </c>
      <c r="K612" t="s">
        <v>299</v>
      </c>
      <c r="L612">
        <v>0.86</v>
      </c>
      <c r="M612" t="s">
        <v>3641</v>
      </c>
      <c r="N612" t="s">
        <v>3642</v>
      </c>
      <c r="O612" t="s">
        <v>3643</v>
      </c>
      <c r="P612" t="s">
        <v>485</v>
      </c>
      <c r="Q612" t="s">
        <v>2885</v>
      </c>
      <c r="R612" t="s">
        <v>2886</v>
      </c>
      <c r="S612" t="s">
        <v>2885</v>
      </c>
      <c r="T612" t="s">
        <v>2886</v>
      </c>
    </row>
    <row r="613" spans="1:20">
      <c r="A613" s="241">
        <v>44001</v>
      </c>
      <c r="B613" t="s">
        <v>3644</v>
      </c>
      <c r="C613" t="s">
        <v>1079</v>
      </c>
      <c r="D613" t="s">
        <v>208</v>
      </c>
      <c r="E613" t="s">
        <v>3011</v>
      </c>
      <c r="F613" t="s">
        <v>413</v>
      </c>
      <c r="G613" t="s">
        <v>1946</v>
      </c>
      <c r="H613" t="s">
        <v>435</v>
      </c>
      <c r="I613" t="s">
        <v>1140</v>
      </c>
      <c r="J613" t="s">
        <v>912</v>
      </c>
      <c r="K613" t="s">
        <v>299</v>
      </c>
      <c r="L613">
        <v>0.86</v>
      </c>
      <c r="M613" t="s">
        <v>3645</v>
      </c>
      <c r="N613" t="s">
        <v>3646</v>
      </c>
      <c r="O613" t="s">
        <v>3647</v>
      </c>
      <c r="P613" t="s">
        <v>485</v>
      </c>
      <c r="Q613" t="s">
        <v>2885</v>
      </c>
      <c r="R613" t="s">
        <v>2886</v>
      </c>
      <c r="S613" t="s">
        <v>2885</v>
      </c>
      <c r="T613" t="s">
        <v>2886</v>
      </c>
    </row>
    <row r="614" spans="1:20">
      <c r="A614" s="241">
        <v>44001</v>
      </c>
      <c r="B614" t="s">
        <v>3648</v>
      </c>
      <c r="C614" t="s">
        <v>238</v>
      </c>
      <c r="D614" t="s">
        <v>392</v>
      </c>
      <c r="E614" t="s">
        <v>2870</v>
      </c>
      <c r="F614" t="s">
        <v>952</v>
      </c>
      <c r="G614" t="s">
        <v>2228</v>
      </c>
      <c r="H614" t="s">
        <v>720</v>
      </c>
      <c r="I614" t="s">
        <v>427</v>
      </c>
      <c r="J614" t="s">
        <v>1141</v>
      </c>
      <c r="K614" t="s">
        <v>579</v>
      </c>
      <c r="L614">
        <v>0.86</v>
      </c>
      <c r="M614" t="s">
        <v>3649</v>
      </c>
      <c r="N614" t="s">
        <v>3650</v>
      </c>
      <c r="O614" t="s">
        <v>3651</v>
      </c>
      <c r="P614" t="s">
        <v>485</v>
      </c>
      <c r="Q614" t="s">
        <v>2885</v>
      </c>
      <c r="R614" t="s">
        <v>2886</v>
      </c>
      <c r="S614" t="s">
        <v>2885</v>
      </c>
      <c r="T614" t="s">
        <v>2886</v>
      </c>
    </row>
    <row r="615" spans="1:20">
      <c r="A615" s="241">
        <v>44001</v>
      </c>
      <c r="B615" t="s">
        <v>3652</v>
      </c>
      <c r="C615" t="s">
        <v>402</v>
      </c>
      <c r="D615" t="s">
        <v>304</v>
      </c>
      <c r="E615" t="s">
        <v>2880</v>
      </c>
      <c r="F615" t="s">
        <v>952</v>
      </c>
      <c r="G615" t="s">
        <v>2419</v>
      </c>
      <c r="H615" t="s">
        <v>445</v>
      </c>
      <c r="I615" t="s">
        <v>416</v>
      </c>
      <c r="J615" t="s">
        <v>1141</v>
      </c>
      <c r="K615" t="s">
        <v>244</v>
      </c>
      <c r="L615">
        <v>0.86</v>
      </c>
      <c r="M615" t="s">
        <v>3653</v>
      </c>
      <c r="N615" t="s">
        <v>3654</v>
      </c>
      <c r="O615" t="s">
        <v>3655</v>
      </c>
      <c r="P615" t="s">
        <v>485</v>
      </c>
      <c r="Q615" t="s">
        <v>2885</v>
      </c>
      <c r="R615" t="s">
        <v>2886</v>
      </c>
      <c r="S615" t="s">
        <v>2885</v>
      </c>
      <c r="T615" t="s">
        <v>2886</v>
      </c>
    </row>
    <row r="616" spans="1:20">
      <c r="A616" s="241">
        <v>44001</v>
      </c>
      <c r="B616" t="s">
        <v>3656</v>
      </c>
      <c r="C616" t="s">
        <v>225</v>
      </c>
      <c r="D616" t="s">
        <v>402</v>
      </c>
      <c r="E616" t="s">
        <v>2880</v>
      </c>
      <c r="F616" t="s">
        <v>727</v>
      </c>
      <c r="G616" t="s">
        <v>2419</v>
      </c>
      <c r="H616" t="s">
        <v>897</v>
      </c>
      <c r="I616" t="s">
        <v>1158</v>
      </c>
      <c r="J616" t="s">
        <v>1304</v>
      </c>
      <c r="K616" t="s">
        <v>280</v>
      </c>
      <c r="L616">
        <v>0.86</v>
      </c>
      <c r="M616" t="s">
        <v>3657</v>
      </c>
      <c r="N616" t="s">
        <v>3658</v>
      </c>
      <c r="O616" t="s">
        <v>3659</v>
      </c>
      <c r="P616" t="s">
        <v>485</v>
      </c>
      <c r="Q616" t="s">
        <v>2885</v>
      </c>
      <c r="R616" t="s">
        <v>2886</v>
      </c>
      <c r="S616" t="s">
        <v>2885</v>
      </c>
      <c r="T616" t="s">
        <v>2886</v>
      </c>
    </row>
    <row r="617" spans="1:20">
      <c r="A617" s="241">
        <v>44001</v>
      </c>
      <c r="B617" t="s">
        <v>3660</v>
      </c>
      <c r="C617" t="s">
        <v>424</v>
      </c>
      <c r="D617" t="s">
        <v>343</v>
      </c>
      <c r="E617" t="s">
        <v>2731</v>
      </c>
      <c r="F617" t="s">
        <v>3661</v>
      </c>
      <c r="G617" t="s">
        <v>3087</v>
      </c>
      <c r="H617" t="s">
        <v>3662</v>
      </c>
      <c r="I617" t="s">
        <v>1001</v>
      </c>
      <c r="J617" t="s">
        <v>3663</v>
      </c>
      <c r="K617" t="s">
        <v>3664</v>
      </c>
      <c r="L617">
        <v>0.86</v>
      </c>
      <c r="M617" t="s">
        <v>3665</v>
      </c>
      <c r="N617" t="s">
        <v>3666</v>
      </c>
      <c r="O617" t="s">
        <v>3667</v>
      </c>
      <c r="P617" t="s">
        <v>218</v>
      </c>
      <c r="Q617" t="s">
        <v>2885</v>
      </c>
      <c r="R617" t="s">
        <v>2886</v>
      </c>
      <c r="S617" t="s">
        <v>2885</v>
      </c>
      <c r="T617" t="s">
        <v>2886</v>
      </c>
    </row>
    <row r="618" spans="1:20">
      <c r="A618" s="241">
        <v>44001</v>
      </c>
      <c r="B618" t="s">
        <v>3668</v>
      </c>
      <c r="C618" t="s">
        <v>1196</v>
      </c>
      <c r="D618" t="s">
        <v>3669</v>
      </c>
      <c r="E618" t="s">
        <v>1139</v>
      </c>
      <c r="F618" t="s">
        <v>3670</v>
      </c>
      <c r="G618" t="s">
        <v>3671</v>
      </c>
      <c r="H618" t="s">
        <v>3110</v>
      </c>
      <c r="I618" t="s">
        <v>3672</v>
      </c>
      <c r="J618" t="s">
        <v>3673</v>
      </c>
      <c r="K618" t="s">
        <v>3674</v>
      </c>
      <c r="L618">
        <v>0.89</v>
      </c>
      <c r="M618" t="s">
        <v>3675</v>
      </c>
      <c r="N618" t="s">
        <v>3676</v>
      </c>
      <c r="O618" t="s">
        <v>3677</v>
      </c>
      <c r="P618" t="s">
        <v>485</v>
      </c>
      <c r="Q618" t="s">
        <v>2885</v>
      </c>
      <c r="R618" t="s">
        <v>2886</v>
      </c>
      <c r="S618" t="s">
        <v>2885</v>
      </c>
      <c r="T618" t="s">
        <v>2886</v>
      </c>
    </row>
    <row r="619" spans="1:20">
      <c r="A619" s="241">
        <v>44001</v>
      </c>
      <c r="B619" t="s">
        <v>3678</v>
      </c>
      <c r="C619" t="s">
        <v>3679</v>
      </c>
      <c r="D619" t="s">
        <v>3679</v>
      </c>
      <c r="E619" t="s">
        <v>294</v>
      </c>
      <c r="F619" t="s">
        <v>3680</v>
      </c>
      <c r="G619" t="s">
        <v>971</v>
      </c>
      <c r="H619" t="s">
        <v>3681</v>
      </c>
      <c r="I619" t="s">
        <v>3682</v>
      </c>
      <c r="J619" t="s">
        <v>3683</v>
      </c>
      <c r="K619" t="s">
        <v>1362</v>
      </c>
      <c r="L619">
        <v>0.89</v>
      </c>
      <c r="M619" t="s">
        <v>3684</v>
      </c>
      <c r="N619" t="s">
        <v>3685</v>
      </c>
      <c r="O619" t="s">
        <v>3686</v>
      </c>
      <c r="P619" t="s">
        <v>485</v>
      </c>
      <c r="Q619" t="s">
        <v>2885</v>
      </c>
      <c r="R619" t="s">
        <v>2886</v>
      </c>
      <c r="S619" t="s">
        <v>2885</v>
      </c>
      <c r="T619" t="s">
        <v>2886</v>
      </c>
    </row>
    <row r="620" spans="1:20">
      <c r="A620" s="241">
        <v>44001</v>
      </c>
      <c r="B620" t="s">
        <v>3687</v>
      </c>
      <c r="C620" t="s">
        <v>1176</v>
      </c>
      <c r="D620" t="s">
        <v>3669</v>
      </c>
      <c r="E620" t="s">
        <v>712</v>
      </c>
      <c r="F620" t="s">
        <v>3688</v>
      </c>
      <c r="G620" t="s">
        <v>3689</v>
      </c>
      <c r="H620" t="s">
        <v>2822</v>
      </c>
      <c r="I620" t="s">
        <v>983</v>
      </c>
      <c r="J620" t="s">
        <v>984</v>
      </c>
      <c r="K620" t="s">
        <v>985</v>
      </c>
      <c r="L620">
        <v>0.89</v>
      </c>
      <c r="M620" t="s">
        <v>3690</v>
      </c>
      <c r="N620" t="s">
        <v>3691</v>
      </c>
      <c r="O620" t="s">
        <v>3692</v>
      </c>
      <c r="P620" t="s">
        <v>485</v>
      </c>
      <c r="Q620" t="s">
        <v>2885</v>
      </c>
      <c r="R620" t="s">
        <v>2886</v>
      </c>
      <c r="S620" t="s">
        <v>2885</v>
      </c>
      <c r="T620" t="s">
        <v>2886</v>
      </c>
    </row>
    <row r="621" spans="1:20">
      <c r="A621" s="241">
        <v>44001</v>
      </c>
      <c r="B621" t="s">
        <v>3693</v>
      </c>
      <c r="C621" t="s">
        <v>1367</v>
      </c>
      <c r="D621" t="s">
        <v>274</v>
      </c>
      <c r="E621" t="s">
        <v>225</v>
      </c>
      <c r="F621" t="s">
        <v>757</v>
      </c>
      <c r="G621" t="s">
        <v>3694</v>
      </c>
      <c r="H621" t="s">
        <v>3695</v>
      </c>
      <c r="I621" t="s">
        <v>3696</v>
      </c>
      <c r="J621" t="s">
        <v>3697</v>
      </c>
      <c r="K621" t="s">
        <v>3698</v>
      </c>
      <c r="L621">
        <v>0.88</v>
      </c>
      <c r="M621" t="s">
        <v>3699</v>
      </c>
      <c r="N621" t="s">
        <v>3700</v>
      </c>
      <c r="O621" t="s">
        <v>3701</v>
      </c>
      <c r="P621" t="s">
        <v>485</v>
      </c>
      <c r="Q621" t="s">
        <v>2885</v>
      </c>
      <c r="R621" t="s">
        <v>2886</v>
      </c>
      <c r="S621" t="s">
        <v>2885</v>
      </c>
      <c r="T621" t="s">
        <v>2886</v>
      </c>
    </row>
    <row r="622" spans="1:20">
      <c r="A622" s="241">
        <v>44001</v>
      </c>
      <c r="B622" t="s">
        <v>3702</v>
      </c>
      <c r="C622" t="s">
        <v>2478</v>
      </c>
      <c r="D622" t="s">
        <v>2535</v>
      </c>
      <c r="E622" t="s">
        <v>2769</v>
      </c>
      <c r="F622" t="s">
        <v>1231</v>
      </c>
      <c r="G622" t="s">
        <v>1725</v>
      </c>
      <c r="H622" t="s">
        <v>521</v>
      </c>
      <c r="I622" t="s">
        <v>2029</v>
      </c>
      <c r="J622" t="s">
        <v>514</v>
      </c>
      <c r="K622" t="s">
        <v>1003</v>
      </c>
      <c r="L622">
        <v>0.86</v>
      </c>
      <c r="M622" t="s">
        <v>3703</v>
      </c>
      <c r="N622" t="s">
        <v>3704</v>
      </c>
      <c r="O622" t="s">
        <v>3705</v>
      </c>
      <c r="P622" t="s">
        <v>485</v>
      </c>
      <c r="Q622" t="s">
        <v>2885</v>
      </c>
      <c r="R622" t="s">
        <v>2886</v>
      </c>
      <c r="S622" t="s">
        <v>2885</v>
      </c>
      <c r="T622" t="s">
        <v>2886</v>
      </c>
    </row>
    <row r="623" spans="1:20">
      <c r="A623" s="241">
        <v>44001</v>
      </c>
      <c r="B623" t="s">
        <v>3706</v>
      </c>
      <c r="C623" t="s">
        <v>631</v>
      </c>
      <c r="D623" t="s">
        <v>443</v>
      </c>
      <c r="E623" t="s">
        <v>2731</v>
      </c>
      <c r="F623" t="s">
        <v>3554</v>
      </c>
      <c r="G623" t="s">
        <v>548</v>
      </c>
      <c r="H623" t="s">
        <v>1709</v>
      </c>
      <c r="I623" t="s">
        <v>1019</v>
      </c>
      <c r="J623" t="s">
        <v>1699</v>
      </c>
      <c r="K623" t="s">
        <v>3162</v>
      </c>
      <c r="L623">
        <v>0.86</v>
      </c>
      <c r="M623" t="s">
        <v>3707</v>
      </c>
      <c r="N623" t="s">
        <v>3708</v>
      </c>
      <c r="O623" t="s">
        <v>3709</v>
      </c>
      <c r="P623" t="s">
        <v>485</v>
      </c>
      <c r="Q623" t="s">
        <v>2885</v>
      </c>
      <c r="R623" t="s">
        <v>2886</v>
      </c>
      <c r="S623" t="s">
        <v>2885</v>
      </c>
      <c r="T623" t="s">
        <v>2886</v>
      </c>
    </row>
    <row r="624" spans="1:20">
      <c r="A624" s="241">
        <v>44001</v>
      </c>
      <c r="B624" t="s">
        <v>3710</v>
      </c>
      <c r="C624" t="s">
        <v>2535</v>
      </c>
      <c r="D624" t="s">
        <v>402</v>
      </c>
      <c r="E624" t="s">
        <v>2769</v>
      </c>
      <c r="F624" t="s">
        <v>226</v>
      </c>
      <c r="G624" t="s">
        <v>786</v>
      </c>
      <c r="H624" t="s">
        <v>541</v>
      </c>
      <c r="I624" t="s">
        <v>1019</v>
      </c>
      <c r="J624" t="s">
        <v>514</v>
      </c>
      <c r="K624" t="s">
        <v>2668</v>
      </c>
      <c r="L624">
        <v>0.86</v>
      </c>
      <c r="M624" t="s">
        <v>3711</v>
      </c>
      <c r="N624" t="s">
        <v>3712</v>
      </c>
      <c r="O624" t="s">
        <v>3713</v>
      </c>
      <c r="P624" t="s">
        <v>485</v>
      </c>
      <c r="Q624" t="s">
        <v>2885</v>
      </c>
      <c r="R624" t="s">
        <v>2886</v>
      </c>
      <c r="S624" t="s">
        <v>2885</v>
      </c>
      <c r="T624" t="s">
        <v>2886</v>
      </c>
    </row>
    <row r="625" spans="1:20">
      <c r="A625" s="241">
        <v>44001</v>
      </c>
      <c r="B625" t="s">
        <v>3714</v>
      </c>
      <c r="C625" t="s">
        <v>382</v>
      </c>
      <c r="D625" t="s">
        <v>2535</v>
      </c>
      <c r="E625" t="s">
        <v>2893</v>
      </c>
      <c r="F625" t="s">
        <v>239</v>
      </c>
      <c r="G625" t="s">
        <v>804</v>
      </c>
      <c r="H625" t="s">
        <v>541</v>
      </c>
      <c r="I625" t="s">
        <v>1727</v>
      </c>
      <c r="J625" t="s">
        <v>1710</v>
      </c>
      <c r="K625" t="s">
        <v>2458</v>
      </c>
      <c r="L625">
        <v>0.86</v>
      </c>
      <c r="M625" t="s">
        <v>3715</v>
      </c>
      <c r="N625" t="s">
        <v>3716</v>
      </c>
      <c r="O625" t="s">
        <v>3717</v>
      </c>
      <c r="P625" t="s">
        <v>485</v>
      </c>
      <c r="Q625" t="s">
        <v>2885</v>
      </c>
      <c r="R625" t="s">
        <v>2886</v>
      </c>
      <c r="S625" t="s">
        <v>2885</v>
      </c>
      <c r="T625" t="s">
        <v>2886</v>
      </c>
    </row>
    <row r="626" spans="1:20">
      <c r="A626" s="241">
        <v>44001</v>
      </c>
      <c r="B626" t="s">
        <v>3718</v>
      </c>
      <c r="C626" t="s">
        <v>443</v>
      </c>
      <c r="D626" t="s">
        <v>392</v>
      </c>
      <c r="E626" t="s">
        <v>2769</v>
      </c>
      <c r="F626" t="s">
        <v>1452</v>
      </c>
      <c r="G626" t="s">
        <v>1037</v>
      </c>
      <c r="H626" t="s">
        <v>228</v>
      </c>
      <c r="I626" t="s">
        <v>816</v>
      </c>
      <c r="J626" t="s">
        <v>551</v>
      </c>
      <c r="K626" t="s">
        <v>2277</v>
      </c>
      <c r="L626">
        <v>0.86</v>
      </c>
      <c r="M626" t="s">
        <v>3719</v>
      </c>
      <c r="N626" t="s">
        <v>3720</v>
      </c>
      <c r="O626" t="s">
        <v>3721</v>
      </c>
      <c r="P626" t="s">
        <v>485</v>
      </c>
      <c r="Q626" t="s">
        <v>2885</v>
      </c>
      <c r="R626" t="s">
        <v>2886</v>
      </c>
      <c r="S626" t="s">
        <v>2885</v>
      </c>
      <c r="T626" t="s">
        <v>2886</v>
      </c>
    </row>
    <row r="627" spans="1:20">
      <c r="A627" s="241">
        <v>44001</v>
      </c>
      <c r="B627" t="s">
        <v>3722</v>
      </c>
      <c r="C627" t="s">
        <v>2549</v>
      </c>
      <c r="D627" t="s">
        <v>250</v>
      </c>
      <c r="E627" t="s">
        <v>2731</v>
      </c>
      <c r="F627" t="s">
        <v>626</v>
      </c>
      <c r="G627" t="s">
        <v>1442</v>
      </c>
      <c r="H627" t="s">
        <v>1388</v>
      </c>
      <c r="I627" t="s">
        <v>824</v>
      </c>
      <c r="J627" t="s">
        <v>561</v>
      </c>
      <c r="K627" t="s">
        <v>1234</v>
      </c>
      <c r="L627">
        <v>0.86</v>
      </c>
      <c r="M627" t="s">
        <v>3723</v>
      </c>
      <c r="N627" t="s">
        <v>3724</v>
      </c>
      <c r="O627" t="s">
        <v>3725</v>
      </c>
      <c r="P627" t="s">
        <v>485</v>
      </c>
      <c r="Q627" t="s">
        <v>2885</v>
      </c>
      <c r="R627" t="s">
        <v>2886</v>
      </c>
      <c r="S627" t="s">
        <v>2885</v>
      </c>
      <c r="T627" t="s">
        <v>2886</v>
      </c>
    </row>
    <row r="628" spans="1:20">
      <c r="A628" s="241">
        <v>44001</v>
      </c>
      <c r="B628" t="s">
        <v>3726</v>
      </c>
      <c r="C628" t="s">
        <v>443</v>
      </c>
      <c r="D628" t="s">
        <v>443</v>
      </c>
      <c r="E628" t="s">
        <v>2893</v>
      </c>
      <c r="F628" t="s">
        <v>576</v>
      </c>
      <c r="G628" t="s">
        <v>264</v>
      </c>
      <c r="H628" t="s">
        <v>3554</v>
      </c>
      <c r="I628" t="s">
        <v>824</v>
      </c>
      <c r="J628" t="s">
        <v>807</v>
      </c>
      <c r="K628" t="s">
        <v>1406</v>
      </c>
      <c r="L628">
        <v>0.86</v>
      </c>
      <c r="M628" t="s">
        <v>3727</v>
      </c>
      <c r="N628" t="s">
        <v>3728</v>
      </c>
      <c r="O628" t="s">
        <v>3729</v>
      </c>
      <c r="P628" t="s">
        <v>485</v>
      </c>
      <c r="Q628" t="s">
        <v>2885</v>
      </c>
      <c r="R628" t="s">
        <v>2886</v>
      </c>
      <c r="S628" t="s">
        <v>2885</v>
      </c>
      <c r="T628" t="s">
        <v>2886</v>
      </c>
    </row>
    <row r="629" spans="1:20">
      <c r="A629" s="241">
        <v>44001</v>
      </c>
      <c r="B629" t="s">
        <v>3730</v>
      </c>
      <c r="C629" t="s">
        <v>343</v>
      </c>
      <c r="D629" t="s">
        <v>208</v>
      </c>
      <c r="E629" t="s">
        <v>2544</v>
      </c>
      <c r="F629" t="s">
        <v>598</v>
      </c>
      <c r="G629" t="s">
        <v>1775</v>
      </c>
      <c r="H629" t="s">
        <v>209</v>
      </c>
      <c r="I629" t="s">
        <v>266</v>
      </c>
      <c r="J629" t="s">
        <v>825</v>
      </c>
      <c r="K629" t="s">
        <v>1399</v>
      </c>
      <c r="L629">
        <v>0.86</v>
      </c>
      <c r="M629" t="s">
        <v>3731</v>
      </c>
      <c r="N629" t="s">
        <v>3732</v>
      </c>
      <c r="O629" t="s">
        <v>3733</v>
      </c>
      <c r="P629" t="s">
        <v>485</v>
      </c>
      <c r="Q629" t="s">
        <v>2885</v>
      </c>
      <c r="R629" t="s">
        <v>2886</v>
      </c>
      <c r="S629" t="s">
        <v>2885</v>
      </c>
      <c r="T629" t="s">
        <v>2886</v>
      </c>
    </row>
    <row r="630" spans="1:20">
      <c r="A630" s="241">
        <v>44001</v>
      </c>
      <c r="B630" t="s">
        <v>3734</v>
      </c>
      <c r="C630" t="s">
        <v>2549</v>
      </c>
      <c r="D630" t="s">
        <v>250</v>
      </c>
      <c r="E630" t="s">
        <v>3006</v>
      </c>
      <c r="F630" t="s">
        <v>1080</v>
      </c>
      <c r="G630" t="s">
        <v>296</v>
      </c>
      <c r="H630" t="s">
        <v>837</v>
      </c>
      <c r="I630" t="s">
        <v>2329</v>
      </c>
      <c r="J630" t="s">
        <v>1770</v>
      </c>
      <c r="K630" t="s">
        <v>515</v>
      </c>
      <c r="L630">
        <v>0.86</v>
      </c>
      <c r="M630" t="s">
        <v>3735</v>
      </c>
      <c r="N630" t="s">
        <v>3736</v>
      </c>
      <c r="O630" t="s">
        <v>3737</v>
      </c>
      <c r="P630" t="s">
        <v>485</v>
      </c>
      <c r="Q630" t="s">
        <v>2885</v>
      </c>
      <c r="R630" t="s">
        <v>2886</v>
      </c>
      <c r="S630" t="s">
        <v>2885</v>
      </c>
      <c r="T630" t="s">
        <v>2886</v>
      </c>
    </row>
    <row r="631" spans="1:20">
      <c r="A631" s="241">
        <v>44001</v>
      </c>
      <c r="B631" t="s">
        <v>3738</v>
      </c>
      <c r="C631" t="s">
        <v>402</v>
      </c>
      <c r="D631" t="s">
        <v>556</v>
      </c>
      <c r="E631" t="s">
        <v>2544</v>
      </c>
      <c r="F631" t="s">
        <v>848</v>
      </c>
      <c r="G631" t="s">
        <v>607</v>
      </c>
      <c r="H631" t="s">
        <v>209</v>
      </c>
      <c r="I631" t="s">
        <v>838</v>
      </c>
      <c r="J631" t="s">
        <v>255</v>
      </c>
      <c r="K631" t="s">
        <v>1399</v>
      </c>
      <c r="L631">
        <v>0.86</v>
      </c>
      <c r="M631" t="s">
        <v>3739</v>
      </c>
      <c r="N631" t="s">
        <v>3740</v>
      </c>
      <c r="O631" t="s">
        <v>3741</v>
      </c>
      <c r="P631" t="s">
        <v>485</v>
      </c>
      <c r="Q631" t="s">
        <v>2885</v>
      </c>
      <c r="R631" t="s">
        <v>2886</v>
      </c>
      <c r="S631" t="s">
        <v>2885</v>
      </c>
      <c r="T631" t="s">
        <v>2886</v>
      </c>
    </row>
    <row r="632" spans="1:20">
      <c r="A632" s="241">
        <v>44001</v>
      </c>
      <c r="B632" t="s">
        <v>3742</v>
      </c>
      <c r="C632" t="s">
        <v>402</v>
      </c>
      <c r="D632" t="s">
        <v>424</v>
      </c>
      <c r="E632" t="s">
        <v>1102</v>
      </c>
      <c r="F632" t="s">
        <v>305</v>
      </c>
      <c r="G632" t="s">
        <v>1081</v>
      </c>
      <c r="H632" t="s">
        <v>1274</v>
      </c>
      <c r="I632" t="s">
        <v>288</v>
      </c>
      <c r="J632" t="s">
        <v>1063</v>
      </c>
      <c r="K632" t="s">
        <v>524</v>
      </c>
      <c r="L632">
        <v>0.86</v>
      </c>
      <c r="M632" t="s">
        <v>3743</v>
      </c>
      <c r="N632" t="s">
        <v>3744</v>
      </c>
      <c r="O632" t="s">
        <v>3745</v>
      </c>
      <c r="P632" t="s">
        <v>485</v>
      </c>
      <c r="Q632" t="s">
        <v>2885</v>
      </c>
      <c r="R632" t="s">
        <v>2886</v>
      </c>
      <c r="S632" t="s">
        <v>2885</v>
      </c>
      <c r="T632" t="s">
        <v>2886</v>
      </c>
    </row>
    <row r="633" spans="1:20">
      <c r="A633" s="241">
        <v>44001</v>
      </c>
      <c r="B633" t="s">
        <v>3746</v>
      </c>
      <c r="C633" t="s">
        <v>208</v>
      </c>
      <c r="D633" t="s">
        <v>250</v>
      </c>
      <c r="E633" t="s">
        <v>2870</v>
      </c>
      <c r="F633" t="s">
        <v>295</v>
      </c>
      <c r="G633" t="s">
        <v>1462</v>
      </c>
      <c r="H633" t="s">
        <v>2074</v>
      </c>
      <c r="I633" t="s">
        <v>297</v>
      </c>
      <c r="J633" t="s">
        <v>279</v>
      </c>
      <c r="K633" t="s">
        <v>1012</v>
      </c>
      <c r="L633">
        <v>0.86</v>
      </c>
      <c r="M633" t="s">
        <v>3747</v>
      </c>
      <c r="N633" t="s">
        <v>3748</v>
      </c>
      <c r="O633" t="s">
        <v>3749</v>
      </c>
      <c r="P633" t="s">
        <v>485</v>
      </c>
      <c r="Q633" t="s">
        <v>2885</v>
      </c>
      <c r="R633" t="s">
        <v>2886</v>
      </c>
      <c r="S633" t="s">
        <v>2885</v>
      </c>
      <c r="T633" t="s">
        <v>2886</v>
      </c>
    </row>
    <row r="634" spans="1:20">
      <c r="A634" s="241">
        <v>44001</v>
      </c>
      <c r="B634" t="s">
        <v>3750</v>
      </c>
      <c r="C634" t="s">
        <v>208</v>
      </c>
      <c r="D634" t="s">
        <v>443</v>
      </c>
      <c r="E634" t="s">
        <v>2932</v>
      </c>
      <c r="F634" t="s">
        <v>314</v>
      </c>
      <c r="G634" t="s">
        <v>1500</v>
      </c>
      <c r="H634" t="s">
        <v>868</v>
      </c>
      <c r="I634" t="s">
        <v>1811</v>
      </c>
      <c r="J634" t="s">
        <v>298</v>
      </c>
      <c r="K634" t="s">
        <v>524</v>
      </c>
      <c r="L634">
        <v>0.86</v>
      </c>
      <c r="M634" t="s">
        <v>3751</v>
      </c>
      <c r="N634" t="s">
        <v>3752</v>
      </c>
      <c r="O634" t="s">
        <v>3753</v>
      </c>
      <c r="P634" t="s">
        <v>485</v>
      </c>
      <c r="Q634" t="s">
        <v>2885</v>
      </c>
      <c r="R634" t="s">
        <v>2886</v>
      </c>
      <c r="S634" t="s">
        <v>2885</v>
      </c>
      <c r="T634" t="s">
        <v>2886</v>
      </c>
    </row>
    <row r="635" spans="1:20">
      <c r="A635" s="241">
        <v>44001</v>
      </c>
      <c r="B635" t="s">
        <v>3754</v>
      </c>
      <c r="C635" t="s">
        <v>208</v>
      </c>
      <c r="D635" t="s">
        <v>343</v>
      </c>
      <c r="E635" t="s">
        <v>2880</v>
      </c>
      <c r="F635" t="s">
        <v>295</v>
      </c>
      <c r="G635" t="s">
        <v>617</v>
      </c>
      <c r="H635" t="s">
        <v>1255</v>
      </c>
      <c r="I635" t="s">
        <v>619</v>
      </c>
      <c r="J635" t="s">
        <v>309</v>
      </c>
      <c r="K635" t="s">
        <v>214</v>
      </c>
      <c r="L635">
        <v>0.86</v>
      </c>
      <c r="M635" t="s">
        <v>3755</v>
      </c>
      <c r="N635" t="s">
        <v>3756</v>
      </c>
      <c r="O635" t="s">
        <v>3757</v>
      </c>
      <c r="P635" t="s">
        <v>485</v>
      </c>
      <c r="Q635" t="s">
        <v>2885</v>
      </c>
      <c r="R635" t="s">
        <v>2886</v>
      </c>
      <c r="S635" t="s">
        <v>2885</v>
      </c>
      <c r="T635" t="s">
        <v>2886</v>
      </c>
    </row>
    <row r="636" spans="1:20">
      <c r="A636" s="241">
        <v>44001</v>
      </c>
      <c r="B636" t="s">
        <v>3758</v>
      </c>
      <c r="C636" t="s">
        <v>250</v>
      </c>
      <c r="D636" t="s">
        <v>250</v>
      </c>
      <c r="E636" t="s">
        <v>2731</v>
      </c>
      <c r="F636" t="s">
        <v>1103</v>
      </c>
      <c r="G636" t="s">
        <v>875</v>
      </c>
      <c r="H636" t="s">
        <v>1756</v>
      </c>
      <c r="I636" t="s">
        <v>1501</v>
      </c>
      <c r="J636" t="s">
        <v>620</v>
      </c>
      <c r="K636" t="s">
        <v>214</v>
      </c>
      <c r="L636">
        <v>0.86</v>
      </c>
      <c r="M636" t="s">
        <v>3759</v>
      </c>
      <c r="N636" t="s">
        <v>3760</v>
      </c>
      <c r="O636" t="s">
        <v>3761</v>
      </c>
      <c r="P636" t="s">
        <v>485</v>
      </c>
      <c r="Q636" t="s">
        <v>2885</v>
      </c>
      <c r="R636" t="s">
        <v>2886</v>
      </c>
      <c r="S636" t="s">
        <v>2885</v>
      </c>
      <c r="T636" t="s">
        <v>2886</v>
      </c>
    </row>
    <row r="637" spans="1:20">
      <c r="A637" s="241">
        <v>44001</v>
      </c>
      <c r="B637" t="s">
        <v>3762</v>
      </c>
      <c r="C637" t="s">
        <v>2478</v>
      </c>
      <c r="D637" t="s">
        <v>1139</v>
      </c>
      <c r="E637" t="s">
        <v>3180</v>
      </c>
      <c r="F637" t="s">
        <v>445</v>
      </c>
      <c r="G637" t="s">
        <v>875</v>
      </c>
      <c r="H637" t="s">
        <v>1756</v>
      </c>
      <c r="I637" t="s">
        <v>1842</v>
      </c>
      <c r="J637" t="s">
        <v>318</v>
      </c>
      <c r="K637" t="s">
        <v>571</v>
      </c>
      <c r="L637">
        <v>0.86</v>
      </c>
      <c r="M637" t="s">
        <v>3763</v>
      </c>
      <c r="N637" t="s">
        <v>3764</v>
      </c>
      <c r="O637" t="s">
        <v>3765</v>
      </c>
      <c r="P637" t="s">
        <v>485</v>
      </c>
      <c r="Q637" t="s">
        <v>2885</v>
      </c>
      <c r="R637" t="s">
        <v>2886</v>
      </c>
      <c r="S637" t="s">
        <v>2885</v>
      </c>
      <c r="T637" t="s">
        <v>2886</v>
      </c>
    </row>
    <row r="638" spans="1:20">
      <c r="A638" s="241">
        <v>44001</v>
      </c>
      <c r="B638" t="s">
        <v>3766</v>
      </c>
      <c r="C638" t="s">
        <v>1139</v>
      </c>
      <c r="D638" t="s">
        <v>343</v>
      </c>
      <c r="E638" t="s">
        <v>3006</v>
      </c>
      <c r="F638" t="s">
        <v>364</v>
      </c>
      <c r="G638" t="s">
        <v>648</v>
      </c>
      <c r="H638" t="s">
        <v>1056</v>
      </c>
      <c r="I638" t="s">
        <v>882</v>
      </c>
      <c r="J638" t="s">
        <v>1506</v>
      </c>
      <c r="K638" t="s">
        <v>571</v>
      </c>
      <c r="L638">
        <v>0.86</v>
      </c>
      <c r="M638" t="s">
        <v>3767</v>
      </c>
      <c r="N638" t="s">
        <v>3768</v>
      </c>
      <c r="O638" t="s">
        <v>3769</v>
      </c>
      <c r="P638" t="s">
        <v>485</v>
      </c>
      <c r="Q638" t="s">
        <v>2885</v>
      </c>
      <c r="R638" t="s">
        <v>2886</v>
      </c>
      <c r="S638" t="s">
        <v>2885</v>
      </c>
      <c r="T638" t="s">
        <v>2886</v>
      </c>
    </row>
    <row r="639" spans="1:20">
      <c r="A639" s="241">
        <v>44001</v>
      </c>
      <c r="B639" t="s">
        <v>3770</v>
      </c>
      <c r="C639" t="s">
        <v>443</v>
      </c>
      <c r="D639" t="s">
        <v>424</v>
      </c>
      <c r="E639" t="s">
        <v>2870</v>
      </c>
      <c r="F639" t="s">
        <v>1127</v>
      </c>
      <c r="G639" t="s">
        <v>1104</v>
      </c>
      <c r="H639" t="s">
        <v>682</v>
      </c>
      <c r="I639" t="s">
        <v>1523</v>
      </c>
      <c r="J639" t="s">
        <v>348</v>
      </c>
      <c r="K639" t="s">
        <v>231</v>
      </c>
      <c r="L639">
        <v>0.86</v>
      </c>
      <c r="M639" t="s">
        <v>3771</v>
      </c>
      <c r="N639" t="s">
        <v>3772</v>
      </c>
      <c r="O639" t="s">
        <v>3773</v>
      </c>
      <c r="P639" t="s">
        <v>485</v>
      </c>
      <c r="Q639" t="s">
        <v>2885</v>
      </c>
      <c r="R639" t="s">
        <v>2886</v>
      </c>
      <c r="S639" t="s">
        <v>2885</v>
      </c>
      <c r="T639" t="s">
        <v>2886</v>
      </c>
    </row>
    <row r="640" spans="1:20">
      <c r="A640" s="241">
        <v>44001</v>
      </c>
      <c r="B640" t="s">
        <v>3774</v>
      </c>
      <c r="C640" t="s">
        <v>343</v>
      </c>
      <c r="D640" t="s">
        <v>343</v>
      </c>
      <c r="E640" t="s">
        <v>2584</v>
      </c>
      <c r="F640" t="s">
        <v>2574</v>
      </c>
      <c r="G640" t="s">
        <v>1517</v>
      </c>
      <c r="H640" t="s">
        <v>405</v>
      </c>
      <c r="I640" t="s">
        <v>367</v>
      </c>
      <c r="J640" t="s">
        <v>358</v>
      </c>
      <c r="K640" t="s">
        <v>256</v>
      </c>
      <c r="L640">
        <v>0.86</v>
      </c>
      <c r="M640" t="s">
        <v>3775</v>
      </c>
      <c r="N640" t="s">
        <v>3776</v>
      </c>
      <c r="O640" t="s">
        <v>3777</v>
      </c>
      <c r="P640" t="s">
        <v>485</v>
      </c>
      <c r="Q640" t="s">
        <v>2885</v>
      </c>
      <c r="R640" t="s">
        <v>2886</v>
      </c>
      <c r="S640" t="s">
        <v>2885</v>
      </c>
      <c r="T640" t="s">
        <v>2886</v>
      </c>
    </row>
    <row r="641" spans="1:20">
      <c r="A641" s="241">
        <v>44001</v>
      </c>
      <c r="B641" t="s">
        <v>3778</v>
      </c>
      <c r="C641" t="s">
        <v>382</v>
      </c>
      <c r="D641" t="s">
        <v>443</v>
      </c>
      <c r="E641" t="s">
        <v>2584</v>
      </c>
      <c r="F641" t="s">
        <v>1127</v>
      </c>
      <c r="G641" t="s">
        <v>673</v>
      </c>
      <c r="H641" t="s">
        <v>295</v>
      </c>
      <c r="I641" t="s">
        <v>376</v>
      </c>
      <c r="J641" t="s">
        <v>657</v>
      </c>
      <c r="K641" t="s">
        <v>299</v>
      </c>
      <c r="L641">
        <v>0.86</v>
      </c>
      <c r="M641" t="s">
        <v>3779</v>
      </c>
      <c r="N641" t="s">
        <v>3780</v>
      </c>
      <c r="O641" t="s">
        <v>3781</v>
      </c>
      <c r="P641" t="s">
        <v>485</v>
      </c>
      <c r="Q641" t="s">
        <v>2885</v>
      </c>
      <c r="R641" t="s">
        <v>2886</v>
      </c>
      <c r="S641" t="s">
        <v>2885</v>
      </c>
      <c r="T641" t="s">
        <v>2886</v>
      </c>
    </row>
    <row r="642" spans="1:20">
      <c r="A642" s="241">
        <v>44001</v>
      </c>
      <c r="B642" t="s">
        <v>3782</v>
      </c>
      <c r="C642" t="s">
        <v>443</v>
      </c>
      <c r="D642" t="s">
        <v>382</v>
      </c>
      <c r="E642" t="s">
        <v>3180</v>
      </c>
      <c r="F642" t="s">
        <v>924</v>
      </c>
      <c r="G642" t="s">
        <v>1133</v>
      </c>
      <c r="H642" t="s">
        <v>305</v>
      </c>
      <c r="I642" t="s">
        <v>683</v>
      </c>
      <c r="J642" t="s">
        <v>665</v>
      </c>
      <c r="K642" t="s">
        <v>571</v>
      </c>
      <c r="L642">
        <v>0.86</v>
      </c>
      <c r="M642" t="s">
        <v>3783</v>
      </c>
      <c r="N642" t="s">
        <v>3784</v>
      </c>
      <c r="O642" t="s">
        <v>3785</v>
      </c>
      <c r="P642" t="s">
        <v>485</v>
      </c>
      <c r="Q642" t="s">
        <v>2885</v>
      </c>
      <c r="R642" t="s">
        <v>2886</v>
      </c>
      <c r="S642" t="s">
        <v>2885</v>
      </c>
      <c r="T642" t="s">
        <v>2886</v>
      </c>
    </row>
    <row r="643" spans="1:20">
      <c r="A643" s="241">
        <v>44001</v>
      </c>
      <c r="B643" t="s">
        <v>3786</v>
      </c>
      <c r="C643" t="s">
        <v>332</v>
      </c>
      <c r="D643" t="s">
        <v>402</v>
      </c>
      <c r="E643" t="s">
        <v>2544</v>
      </c>
      <c r="F643" t="s">
        <v>1303</v>
      </c>
      <c r="G643" t="s">
        <v>1610</v>
      </c>
      <c r="H643" t="s">
        <v>713</v>
      </c>
      <c r="I643" t="s">
        <v>1579</v>
      </c>
      <c r="J643" t="s">
        <v>1569</v>
      </c>
      <c r="K643" t="s">
        <v>256</v>
      </c>
      <c r="L643">
        <v>0.86</v>
      </c>
      <c r="M643" t="s">
        <v>3787</v>
      </c>
      <c r="N643" t="s">
        <v>3788</v>
      </c>
      <c r="O643" t="s">
        <v>3789</v>
      </c>
      <c r="P643" t="s">
        <v>485</v>
      </c>
      <c r="Q643" t="s">
        <v>2885</v>
      </c>
      <c r="R643" t="s">
        <v>2886</v>
      </c>
      <c r="S643" t="s">
        <v>2885</v>
      </c>
      <c r="T643" t="s">
        <v>2886</v>
      </c>
    </row>
    <row r="644" spans="1:20">
      <c r="A644" s="241">
        <v>44001</v>
      </c>
      <c r="B644" t="s">
        <v>3790</v>
      </c>
      <c r="C644" t="s">
        <v>332</v>
      </c>
      <c r="D644" t="s">
        <v>2549</v>
      </c>
      <c r="E644" t="s">
        <v>2731</v>
      </c>
      <c r="F644" t="s">
        <v>1156</v>
      </c>
      <c r="G644" t="s">
        <v>1133</v>
      </c>
      <c r="H644" t="s">
        <v>706</v>
      </c>
      <c r="I644" t="s">
        <v>690</v>
      </c>
      <c r="J644" t="s">
        <v>1298</v>
      </c>
      <c r="K644" t="s">
        <v>268</v>
      </c>
      <c r="L644">
        <v>0.86</v>
      </c>
      <c r="M644" t="s">
        <v>3791</v>
      </c>
      <c r="N644" t="s">
        <v>3792</v>
      </c>
      <c r="O644" t="s">
        <v>3793</v>
      </c>
      <c r="P644" t="s">
        <v>485</v>
      </c>
      <c r="Q644" t="s">
        <v>2885</v>
      </c>
      <c r="R644" t="s">
        <v>2886</v>
      </c>
      <c r="S644" t="s">
        <v>2885</v>
      </c>
      <c r="T644" t="s">
        <v>2886</v>
      </c>
    </row>
    <row r="645" spans="1:20">
      <c r="A645" s="241">
        <v>44001</v>
      </c>
      <c r="B645" t="s">
        <v>3794</v>
      </c>
      <c r="C645" t="s">
        <v>343</v>
      </c>
      <c r="D645" t="s">
        <v>332</v>
      </c>
      <c r="E645" t="s">
        <v>3006</v>
      </c>
      <c r="F645" t="s">
        <v>1625</v>
      </c>
      <c r="G645" t="s">
        <v>705</v>
      </c>
      <c r="H645" t="s">
        <v>1511</v>
      </c>
      <c r="I645" t="s">
        <v>406</v>
      </c>
      <c r="J645" t="s">
        <v>691</v>
      </c>
      <c r="K645" t="s">
        <v>256</v>
      </c>
      <c r="L645">
        <v>0.86</v>
      </c>
      <c r="M645" t="s">
        <v>3795</v>
      </c>
      <c r="N645" t="s">
        <v>3796</v>
      </c>
      <c r="O645" t="s">
        <v>3797</v>
      </c>
      <c r="P645" t="s">
        <v>485</v>
      </c>
      <c r="Q645" t="s">
        <v>2885</v>
      </c>
      <c r="R645" t="s">
        <v>2886</v>
      </c>
      <c r="S645" t="s">
        <v>2885</v>
      </c>
      <c r="T645" t="s">
        <v>2886</v>
      </c>
    </row>
    <row r="646" spans="1:20">
      <c r="A646" s="241">
        <v>44001</v>
      </c>
      <c r="B646" t="s">
        <v>3798</v>
      </c>
      <c r="C646" t="s">
        <v>424</v>
      </c>
      <c r="D646" t="s">
        <v>443</v>
      </c>
      <c r="E646" t="s">
        <v>2888</v>
      </c>
      <c r="F646" t="s">
        <v>718</v>
      </c>
      <c r="G646" t="s">
        <v>1297</v>
      </c>
      <c r="H646" t="s">
        <v>713</v>
      </c>
      <c r="I646" t="s">
        <v>932</v>
      </c>
      <c r="J646" t="s">
        <v>397</v>
      </c>
      <c r="K646" t="s">
        <v>256</v>
      </c>
      <c r="L646">
        <v>0.86</v>
      </c>
      <c r="M646" t="s">
        <v>3799</v>
      </c>
      <c r="N646" t="s">
        <v>3800</v>
      </c>
      <c r="O646" t="s">
        <v>3801</v>
      </c>
      <c r="P646" t="s">
        <v>485</v>
      </c>
      <c r="Q646" t="s">
        <v>2885</v>
      </c>
      <c r="R646" t="s">
        <v>2886</v>
      </c>
      <c r="S646" t="s">
        <v>2885</v>
      </c>
      <c r="T646" t="s">
        <v>2886</v>
      </c>
    </row>
    <row r="647" spans="1:20">
      <c r="A647" s="241">
        <v>44001</v>
      </c>
      <c r="B647" t="s">
        <v>3802</v>
      </c>
      <c r="C647" t="s">
        <v>343</v>
      </c>
      <c r="D647" t="s">
        <v>402</v>
      </c>
      <c r="E647" t="s">
        <v>2870</v>
      </c>
      <c r="F647" t="s">
        <v>3661</v>
      </c>
      <c r="G647" t="s">
        <v>953</v>
      </c>
      <c r="H647" t="s">
        <v>729</v>
      </c>
      <c r="I647" t="s">
        <v>721</v>
      </c>
      <c r="J647" t="s">
        <v>417</v>
      </c>
      <c r="K647" t="s">
        <v>268</v>
      </c>
      <c r="L647">
        <v>0.86</v>
      </c>
      <c r="M647" t="s">
        <v>3803</v>
      </c>
      <c r="N647" t="s">
        <v>3804</v>
      </c>
      <c r="O647" t="s">
        <v>3805</v>
      </c>
      <c r="P647" t="s">
        <v>485</v>
      </c>
      <c r="Q647" t="s">
        <v>2885</v>
      </c>
      <c r="R647" t="s">
        <v>2886</v>
      </c>
      <c r="S647" t="s">
        <v>2885</v>
      </c>
      <c r="T647" t="s">
        <v>2886</v>
      </c>
    </row>
    <row r="648" spans="1:20">
      <c r="A648" s="241">
        <v>44001</v>
      </c>
      <c r="B648" t="s">
        <v>3806</v>
      </c>
      <c r="C648" t="s">
        <v>556</v>
      </c>
      <c r="D648" t="s">
        <v>343</v>
      </c>
      <c r="E648" t="s">
        <v>2875</v>
      </c>
      <c r="F648" t="s">
        <v>3477</v>
      </c>
      <c r="G648" t="s">
        <v>3428</v>
      </c>
      <c r="H648" t="s">
        <v>364</v>
      </c>
      <c r="I648" t="s">
        <v>3807</v>
      </c>
      <c r="J648" t="s">
        <v>1159</v>
      </c>
      <c r="K648" t="s">
        <v>338</v>
      </c>
      <c r="L648">
        <v>0.86</v>
      </c>
      <c r="M648" t="s">
        <v>3808</v>
      </c>
      <c r="N648" t="s">
        <v>3809</v>
      </c>
      <c r="O648" t="s">
        <v>3810</v>
      </c>
      <c r="P648" t="s">
        <v>485</v>
      </c>
      <c r="Q648" t="s">
        <v>2885</v>
      </c>
      <c r="R648" t="s">
        <v>2886</v>
      </c>
      <c r="S648" t="s">
        <v>2885</v>
      </c>
      <c r="T648" t="s">
        <v>2886</v>
      </c>
    </row>
    <row r="649" spans="1:20">
      <c r="A649" s="241">
        <v>44001</v>
      </c>
      <c r="B649" t="s">
        <v>3811</v>
      </c>
      <c r="C649" t="s">
        <v>382</v>
      </c>
      <c r="D649" t="s">
        <v>614</v>
      </c>
      <c r="E649" t="s">
        <v>812</v>
      </c>
      <c r="F649" t="s">
        <v>3464</v>
      </c>
      <c r="G649" t="s">
        <v>946</v>
      </c>
      <c r="H649" t="s">
        <v>3812</v>
      </c>
      <c r="I649" t="s">
        <v>3813</v>
      </c>
      <c r="J649" t="s">
        <v>3814</v>
      </c>
      <c r="K649" t="s">
        <v>3815</v>
      </c>
      <c r="L649">
        <v>0.88</v>
      </c>
      <c r="M649" t="s">
        <v>3816</v>
      </c>
      <c r="N649" t="s">
        <v>3817</v>
      </c>
      <c r="O649" t="s">
        <v>3818</v>
      </c>
      <c r="P649" t="s">
        <v>485</v>
      </c>
      <c r="Q649" t="s">
        <v>2885</v>
      </c>
      <c r="R649" t="s">
        <v>2886</v>
      </c>
      <c r="S649" t="s">
        <v>2885</v>
      </c>
      <c r="T649" t="s">
        <v>2886</v>
      </c>
    </row>
    <row r="650" spans="1:20">
      <c r="A650" s="241">
        <v>44001</v>
      </c>
      <c r="B650" t="s">
        <v>3819</v>
      </c>
      <c r="C650" t="s">
        <v>2626</v>
      </c>
      <c r="D650" t="s">
        <v>1176</v>
      </c>
      <c r="E650" t="s">
        <v>679</v>
      </c>
      <c r="F650" t="s">
        <v>3820</v>
      </c>
      <c r="G650" t="s">
        <v>2432</v>
      </c>
      <c r="H650" t="s">
        <v>1667</v>
      </c>
      <c r="I650" t="s">
        <v>973</v>
      </c>
      <c r="J650" t="s">
        <v>3821</v>
      </c>
      <c r="K650" t="s">
        <v>1650</v>
      </c>
      <c r="L650">
        <v>0.89</v>
      </c>
      <c r="M650" t="s">
        <v>3822</v>
      </c>
      <c r="N650" t="s">
        <v>3823</v>
      </c>
      <c r="O650" t="s">
        <v>3824</v>
      </c>
      <c r="P650" t="s">
        <v>485</v>
      </c>
      <c r="Q650" t="s">
        <v>2885</v>
      </c>
      <c r="R650" t="s">
        <v>2886</v>
      </c>
      <c r="S650" t="s">
        <v>2885</v>
      </c>
      <c r="T650" t="s">
        <v>2886</v>
      </c>
    </row>
    <row r="651" spans="1:20">
      <c r="A651" s="241">
        <v>44001</v>
      </c>
      <c r="B651" t="s">
        <v>3825</v>
      </c>
      <c r="C651" t="s">
        <v>2626</v>
      </c>
      <c r="D651" t="s">
        <v>1176</v>
      </c>
      <c r="E651" t="s">
        <v>294</v>
      </c>
      <c r="F651" t="s">
        <v>3680</v>
      </c>
      <c r="G651" t="s">
        <v>3826</v>
      </c>
      <c r="H651" t="s">
        <v>972</v>
      </c>
      <c r="I651" t="s">
        <v>1360</v>
      </c>
      <c r="J651" t="s">
        <v>1361</v>
      </c>
      <c r="K651" t="s">
        <v>1362</v>
      </c>
      <c r="L651">
        <v>0.89</v>
      </c>
      <c r="M651" t="s">
        <v>3827</v>
      </c>
      <c r="N651" t="s">
        <v>3828</v>
      </c>
      <c r="O651" t="s">
        <v>3829</v>
      </c>
      <c r="P651" t="s">
        <v>485</v>
      </c>
      <c r="Q651" t="s">
        <v>2885</v>
      </c>
      <c r="R651" t="s">
        <v>2886</v>
      </c>
      <c r="S651" t="s">
        <v>2885</v>
      </c>
      <c r="T651" t="s">
        <v>2886</v>
      </c>
    </row>
    <row r="652" spans="1:20">
      <c r="A652" s="241">
        <v>44001</v>
      </c>
      <c r="B652" t="s">
        <v>3830</v>
      </c>
      <c r="C652" t="s">
        <v>1176</v>
      </c>
      <c r="D652" t="s">
        <v>3831</v>
      </c>
      <c r="E652" t="s">
        <v>615</v>
      </c>
      <c r="F652" t="s">
        <v>3832</v>
      </c>
      <c r="G652" t="s">
        <v>1977</v>
      </c>
      <c r="H652" t="s">
        <v>3833</v>
      </c>
      <c r="I652" t="s">
        <v>769</v>
      </c>
      <c r="J652" t="s">
        <v>1208</v>
      </c>
      <c r="K652" t="s">
        <v>3834</v>
      </c>
      <c r="L652">
        <v>0.89</v>
      </c>
      <c r="M652" t="s">
        <v>3835</v>
      </c>
      <c r="N652" t="s">
        <v>3836</v>
      </c>
      <c r="O652" t="s">
        <v>3837</v>
      </c>
      <c r="P652" t="s">
        <v>485</v>
      </c>
      <c r="Q652" t="s">
        <v>2885</v>
      </c>
      <c r="R652" t="s">
        <v>2886</v>
      </c>
      <c r="S652" t="s">
        <v>2885</v>
      </c>
      <c r="T652" t="s">
        <v>2886</v>
      </c>
    </row>
    <row r="653" spans="1:20">
      <c r="A653" s="241">
        <v>44001</v>
      </c>
      <c r="B653" t="s">
        <v>3838</v>
      </c>
      <c r="C653" t="s">
        <v>1079</v>
      </c>
      <c r="D653" t="s">
        <v>392</v>
      </c>
      <c r="E653" t="s">
        <v>2544</v>
      </c>
      <c r="F653" t="s">
        <v>815</v>
      </c>
      <c r="G653" t="s">
        <v>3839</v>
      </c>
      <c r="H653" t="s">
        <v>1679</v>
      </c>
      <c r="I653" t="s">
        <v>3840</v>
      </c>
      <c r="J653" t="s">
        <v>1002</v>
      </c>
      <c r="K653" t="s">
        <v>3162</v>
      </c>
      <c r="L653">
        <v>0.86</v>
      </c>
      <c r="M653" t="s">
        <v>3841</v>
      </c>
      <c r="N653" t="s">
        <v>3842</v>
      </c>
      <c r="O653" t="s">
        <v>3843</v>
      </c>
      <c r="P653" t="s">
        <v>485</v>
      </c>
      <c r="Q653" t="s">
        <v>2885</v>
      </c>
      <c r="R653" t="s">
        <v>2886</v>
      </c>
      <c r="S653" t="s">
        <v>2885</v>
      </c>
      <c r="T653" t="s">
        <v>2886</v>
      </c>
    </row>
    <row r="654" spans="1:20">
      <c r="A654" s="241">
        <v>44001</v>
      </c>
      <c r="B654" t="s">
        <v>3844</v>
      </c>
      <c r="C654" t="s">
        <v>1079</v>
      </c>
      <c r="D654" t="s">
        <v>382</v>
      </c>
      <c r="E654" t="s">
        <v>646</v>
      </c>
      <c r="F654" t="s">
        <v>837</v>
      </c>
      <c r="G654" t="s">
        <v>1715</v>
      </c>
      <c r="H654" t="s">
        <v>1697</v>
      </c>
      <c r="I654" t="s">
        <v>513</v>
      </c>
      <c r="J654" t="s">
        <v>2018</v>
      </c>
      <c r="K654" t="s">
        <v>2668</v>
      </c>
      <c r="L654">
        <v>0.86</v>
      </c>
      <c r="M654" t="s">
        <v>3845</v>
      </c>
      <c r="N654" t="s">
        <v>3846</v>
      </c>
      <c r="O654" t="s">
        <v>3847</v>
      </c>
      <c r="P654" t="s">
        <v>485</v>
      </c>
      <c r="Q654" t="s">
        <v>2885</v>
      </c>
      <c r="R654" t="s">
        <v>2886</v>
      </c>
      <c r="S654" t="s">
        <v>2885</v>
      </c>
      <c r="T654" t="s">
        <v>2886</v>
      </c>
    </row>
    <row r="655" spans="1:20">
      <c r="A655" s="241">
        <v>44001</v>
      </c>
      <c r="B655" t="s">
        <v>3848</v>
      </c>
      <c r="C655" t="s">
        <v>208</v>
      </c>
      <c r="D655" t="s">
        <v>679</v>
      </c>
      <c r="E655" t="s">
        <v>2544</v>
      </c>
      <c r="F655" t="s">
        <v>1478</v>
      </c>
      <c r="G655" t="s">
        <v>2291</v>
      </c>
      <c r="H655" t="s">
        <v>549</v>
      </c>
      <c r="I655" t="s">
        <v>2472</v>
      </c>
      <c r="J655" t="s">
        <v>1405</v>
      </c>
      <c r="K655" t="s">
        <v>781</v>
      </c>
      <c r="L655">
        <v>0.86</v>
      </c>
      <c r="M655" t="s">
        <v>3849</v>
      </c>
      <c r="N655" t="s">
        <v>3850</v>
      </c>
      <c r="O655" t="s">
        <v>3851</v>
      </c>
      <c r="P655" t="s">
        <v>485</v>
      </c>
      <c r="Q655" t="s">
        <v>2885</v>
      </c>
      <c r="R655" t="s">
        <v>2886</v>
      </c>
      <c r="S655" t="s">
        <v>2885</v>
      </c>
      <c r="T655" t="s">
        <v>2886</v>
      </c>
    </row>
    <row r="656" spans="1:20">
      <c r="A656" s="241">
        <v>44001</v>
      </c>
      <c r="B656" t="s">
        <v>3852</v>
      </c>
      <c r="C656" t="s">
        <v>615</v>
      </c>
      <c r="D656" t="s">
        <v>402</v>
      </c>
      <c r="E656" t="s">
        <v>2893</v>
      </c>
      <c r="F656" t="s">
        <v>335</v>
      </c>
      <c r="G656" t="s">
        <v>548</v>
      </c>
      <c r="H656" t="s">
        <v>799</v>
      </c>
      <c r="I656" t="s">
        <v>550</v>
      </c>
      <c r="J656" t="s">
        <v>2044</v>
      </c>
      <c r="K656" t="s">
        <v>1399</v>
      </c>
      <c r="L656">
        <v>0.86</v>
      </c>
      <c r="M656" t="s">
        <v>3853</v>
      </c>
      <c r="N656" t="s">
        <v>3854</v>
      </c>
      <c r="O656" t="s">
        <v>3855</v>
      </c>
      <c r="P656" t="s">
        <v>485</v>
      </c>
      <c r="Q656" t="s">
        <v>2885</v>
      </c>
      <c r="R656" t="s">
        <v>2886</v>
      </c>
      <c r="S656" t="s">
        <v>2885</v>
      </c>
      <c r="T656" t="s">
        <v>2886</v>
      </c>
    </row>
    <row r="657" spans="1:20">
      <c r="A657" s="241">
        <v>44001</v>
      </c>
      <c r="B657" t="s">
        <v>3856</v>
      </c>
      <c r="C657" t="s">
        <v>2478</v>
      </c>
      <c r="D657" t="s">
        <v>392</v>
      </c>
      <c r="E657" t="s">
        <v>646</v>
      </c>
      <c r="F657" t="s">
        <v>2074</v>
      </c>
      <c r="G657" t="s">
        <v>804</v>
      </c>
      <c r="H657" t="s">
        <v>799</v>
      </c>
      <c r="I657" t="s">
        <v>1421</v>
      </c>
      <c r="J657" t="s">
        <v>2044</v>
      </c>
      <c r="K657" t="s">
        <v>2277</v>
      </c>
      <c r="L657">
        <v>0.86</v>
      </c>
      <c r="M657" t="s">
        <v>3857</v>
      </c>
      <c r="N657" t="s">
        <v>3858</v>
      </c>
      <c r="O657" t="s">
        <v>3859</v>
      </c>
      <c r="P657" t="s">
        <v>485</v>
      </c>
      <c r="Q657" t="s">
        <v>2885</v>
      </c>
      <c r="R657" t="s">
        <v>2886</v>
      </c>
      <c r="S657" t="s">
        <v>2885</v>
      </c>
      <c r="T657" t="s">
        <v>2886</v>
      </c>
    </row>
    <row r="658" spans="1:20">
      <c r="A658" s="241">
        <v>44001</v>
      </c>
      <c r="B658" t="s">
        <v>3860</v>
      </c>
      <c r="C658" t="s">
        <v>2549</v>
      </c>
      <c r="D658" t="s">
        <v>392</v>
      </c>
      <c r="E658" t="s">
        <v>1314</v>
      </c>
      <c r="F658" t="s">
        <v>618</v>
      </c>
      <c r="G658" t="s">
        <v>240</v>
      </c>
      <c r="H658" t="s">
        <v>1257</v>
      </c>
      <c r="I658" t="s">
        <v>1031</v>
      </c>
      <c r="J658" t="s">
        <v>551</v>
      </c>
      <c r="K658" t="s">
        <v>1406</v>
      </c>
      <c r="L658">
        <v>0.86</v>
      </c>
      <c r="M658" t="s">
        <v>3861</v>
      </c>
      <c r="N658" t="s">
        <v>3862</v>
      </c>
      <c r="O658" t="s">
        <v>3863</v>
      </c>
      <c r="P658" t="s">
        <v>485</v>
      </c>
      <c r="Q658" t="s">
        <v>2885</v>
      </c>
      <c r="R658" t="s">
        <v>2886</v>
      </c>
      <c r="S658" t="s">
        <v>2885</v>
      </c>
      <c r="T658" t="s">
        <v>2886</v>
      </c>
    </row>
    <row r="659" spans="1:20">
      <c r="A659" s="241">
        <v>44001</v>
      </c>
      <c r="B659" t="s">
        <v>3864</v>
      </c>
      <c r="C659" t="s">
        <v>343</v>
      </c>
      <c r="D659" t="s">
        <v>1139</v>
      </c>
      <c r="E659" t="s">
        <v>2544</v>
      </c>
      <c r="F659" t="s">
        <v>566</v>
      </c>
      <c r="G659" t="s">
        <v>1781</v>
      </c>
      <c r="H659" t="s">
        <v>823</v>
      </c>
      <c r="I659" t="s">
        <v>806</v>
      </c>
      <c r="J659" t="s">
        <v>213</v>
      </c>
      <c r="K659" t="s">
        <v>1234</v>
      </c>
      <c r="L659">
        <v>0.86</v>
      </c>
      <c r="M659" t="s">
        <v>3865</v>
      </c>
      <c r="N659" t="s">
        <v>3866</v>
      </c>
      <c r="O659" t="s">
        <v>3867</v>
      </c>
      <c r="P659" t="s">
        <v>485</v>
      </c>
      <c r="Q659" t="s">
        <v>2885</v>
      </c>
      <c r="R659" t="s">
        <v>2886</v>
      </c>
      <c r="S659" t="s">
        <v>2885</v>
      </c>
      <c r="T659" t="s">
        <v>2886</v>
      </c>
    </row>
    <row r="660" spans="1:20">
      <c r="A660" s="241">
        <v>44001</v>
      </c>
      <c r="B660" t="s">
        <v>3868</v>
      </c>
      <c r="C660" t="s">
        <v>1139</v>
      </c>
      <c r="D660" t="s">
        <v>382</v>
      </c>
      <c r="E660" t="s">
        <v>2893</v>
      </c>
      <c r="F660" t="s">
        <v>598</v>
      </c>
      <c r="G660" t="s">
        <v>830</v>
      </c>
      <c r="H660" t="s">
        <v>1388</v>
      </c>
      <c r="I660" t="s">
        <v>254</v>
      </c>
      <c r="J660" t="s">
        <v>1245</v>
      </c>
      <c r="K660" t="s">
        <v>1234</v>
      </c>
      <c r="L660">
        <v>0.86</v>
      </c>
      <c r="M660" t="s">
        <v>3869</v>
      </c>
      <c r="N660" t="s">
        <v>3870</v>
      </c>
      <c r="O660" t="s">
        <v>3871</v>
      </c>
      <c r="P660" t="s">
        <v>485</v>
      </c>
      <c r="Q660" t="s">
        <v>2885</v>
      </c>
      <c r="R660" t="s">
        <v>2886</v>
      </c>
      <c r="S660" t="s">
        <v>2885</v>
      </c>
      <c r="T660" t="s">
        <v>2886</v>
      </c>
    </row>
    <row r="661" spans="1:20">
      <c r="A661" s="241">
        <v>44001</v>
      </c>
      <c r="B661" t="s">
        <v>3872</v>
      </c>
      <c r="C661" t="s">
        <v>392</v>
      </c>
      <c r="D661" t="s">
        <v>402</v>
      </c>
      <c r="E661" t="s">
        <v>2584</v>
      </c>
      <c r="F661" t="s">
        <v>682</v>
      </c>
      <c r="G661" t="s">
        <v>1775</v>
      </c>
      <c r="H661" t="s">
        <v>585</v>
      </c>
      <c r="I661" t="s">
        <v>278</v>
      </c>
      <c r="J661" t="s">
        <v>2330</v>
      </c>
      <c r="K661" t="s">
        <v>524</v>
      </c>
      <c r="L661">
        <v>0.86</v>
      </c>
      <c r="M661" t="s">
        <v>3873</v>
      </c>
      <c r="N661" t="s">
        <v>3874</v>
      </c>
      <c r="O661" t="s">
        <v>3875</v>
      </c>
      <c r="P661" t="s">
        <v>485</v>
      </c>
      <c r="Q661" t="s">
        <v>2885</v>
      </c>
      <c r="R661" t="s">
        <v>2886</v>
      </c>
      <c r="S661" t="s">
        <v>2885</v>
      </c>
      <c r="T661" t="s">
        <v>2886</v>
      </c>
    </row>
    <row r="662" spans="1:20">
      <c r="A662" s="241">
        <v>44001</v>
      </c>
      <c r="B662" t="s">
        <v>3876</v>
      </c>
      <c r="C662" t="s">
        <v>2549</v>
      </c>
      <c r="D662" t="s">
        <v>443</v>
      </c>
      <c r="E662" t="s">
        <v>2888</v>
      </c>
      <c r="F662" t="s">
        <v>626</v>
      </c>
      <c r="G662" t="s">
        <v>1781</v>
      </c>
      <c r="H662" t="s">
        <v>539</v>
      </c>
      <c r="I662" t="s">
        <v>1776</v>
      </c>
      <c r="J662" t="s">
        <v>570</v>
      </c>
      <c r="K662" t="s">
        <v>1012</v>
      </c>
      <c r="L662">
        <v>0.86</v>
      </c>
      <c r="M662" t="s">
        <v>3877</v>
      </c>
      <c r="N662" t="s">
        <v>3878</v>
      </c>
      <c r="O662" t="s">
        <v>3879</v>
      </c>
      <c r="P662" t="s">
        <v>485</v>
      </c>
      <c r="Q662" t="s">
        <v>2885</v>
      </c>
      <c r="R662" t="s">
        <v>2886</v>
      </c>
      <c r="S662" t="s">
        <v>2885</v>
      </c>
      <c r="T662" t="s">
        <v>2886</v>
      </c>
    </row>
    <row r="663" spans="1:20">
      <c r="A663" s="241">
        <v>44001</v>
      </c>
      <c r="B663" t="s">
        <v>3880</v>
      </c>
      <c r="C663" t="s">
        <v>2549</v>
      </c>
      <c r="D663" t="s">
        <v>556</v>
      </c>
      <c r="E663" t="s">
        <v>3054</v>
      </c>
      <c r="F663" t="s">
        <v>426</v>
      </c>
      <c r="G663" t="s">
        <v>306</v>
      </c>
      <c r="H663" t="s">
        <v>529</v>
      </c>
      <c r="I663" t="s">
        <v>1468</v>
      </c>
      <c r="J663" t="s">
        <v>267</v>
      </c>
      <c r="K663" t="s">
        <v>524</v>
      </c>
      <c r="L663">
        <v>0.86</v>
      </c>
      <c r="M663" t="s">
        <v>3881</v>
      </c>
      <c r="N663" t="s">
        <v>3882</v>
      </c>
      <c r="O663" t="s">
        <v>3883</v>
      </c>
      <c r="P663" t="s">
        <v>485</v>
      </c>
      <c r="Q663" t="s">
        <v>2885</v>
      </c>
      <c r="R663" t="s">
        <v>2886</v>
      </c>
      <c r="S663" t="s">
        <v>2885</v>
      </c>
      <c r="T663" t="s">
        <v>2886</v>
      </c>
    </row>
    <row r="664" spans="1:20">
      <c r="A664" s="241">
        <v>44001</v>
      </c>
      <c r="B664" t="s">
        <v>3884</v>
      </c>
      <c r="C664" t="s">
        <v>392</v>
      </c>
      <c r="D664" t="s">
        <v>343</v>
      </c>
      <c r="E664" t="s">
        <v>2932</v>
      </c>
      <c r="F664" t="s">
        <v>682</v>
      </c>
      <c r="G664" t="s">
        <v>345</v>
      </c>
      <c r="H664" t="s">
        <v>316</v>
      </c>
      <c r="I664" t="s">
        <v>609</v>
      </c>
      <c r="J664" t="s">
        <v>289</v>
      </c>
      <c r="K664" t="s">
        <v>515</v>
      </c>
      <c r="L664">
        <v>0.86</v>
      </c>
      <c r="M664" t="s">
        <v>3885</v>
      </c>
      <c r="N664" t="s">
        <v>3886</v>
      </c>
      <c r="O664" t="s">
        <v>3887</v>
      </c>
      <c r="P664" t="s">
        <v>485</v>
      </c>
      <c r="Q664" t="s">
        <v>2885</v>
      </c>
      <c r="R664" t="s">
        <v>2886</v>
      </c>
      <c r="S664" t="s">
        <v>2885</v>
      </c>
      <c r="T664" t="s">
        <v>2886</v>
      </c>
    </row>
    <row r="665" spans="1:20">
      <c r="A665" s="241">
        <v>44001</v>
      </c>
      <c r="B665" t="s">
        <v>3888</v>
      </c>
      <c r="C665" t="s">
        <v>382</v>
      </c>
      <c r="D665" t="s">
        <v>2549</v>
      </c>
      <c r="E665" t="s">
        <v>2870</v>
      </c>
      <c r="F665" t="s">
        <v>1147</v>
      </c>
      <c r="G665" t="s">
        <v>1292</v>
      </c>
      <c r="H665" t="s">
        <v>2927</v>
      </c>
      <c r="I665" t="s">
        <v>863</v>
      </c>
      <c r="J665" t="s">
        <v>850</v>
      </c>
      <c r="K665" t="s">
        <v>534</v>
      </c>
      <c r="L665">
        <v>0.86</v>
      </c>
      <c r="M665" t="s">
        <v>3889</v>
      </c>
      <c r="N665" t="s">
        <v>3890</v>
      </c>
      <c r="O665" t="s">
        <v>3891</v>
      </c>
      <c r="P665" t="s">
        <v>485</v>
      </c>
      <c r="Q665" t="s">
        <v>2885</v>
      </c>
      <c r="R665" t="s">
        <v>2886</v>
      </c>
      <c r="S665" t="s">
        <v>2885</v>
      </c>
      <c r="T665" t="s">
        <v>2886</v>
      </c>
    </row>
    <row r="666" spans="1:20">
      <c r="A666" s="241">
        <v>44001</v>
      </c>
      <c r="B666" t="s">
        <v>3892</v>
      </c>
      <c r="C666" t="s">
        <v>382</v>
      </c>
      <c r="D666" t="s">
        <v>556</v>
      </c>
      <c r="E666" t="s">
        <v>2731</v>
      </c>
      <c r="F666" t="s">
        <v>647</v>
      </c>
      <c r="G666" t="s">
        <v>591</v>
      </c>
      <c r="H666" t="s">
        <v>275</v>
      </c>
      <c r="I666" t="s">
        <v>869</v>
      </c>
      <c r="J666" t="s">
        <v>1812</v>
      </c>
      <c r="K666" t="s">
        <v>534</v>
      </c>
      <c r="L666">
        <v>0.86</v>
      </c>
      <c r="M666" t="s">
        <v>3893</v>
      </c>
      <c r="N666" t="s">
        <v>3894</v>
      </c>
      <c r="O666" t="s">
        <v>3895</v>
      </c>
      <c r="P666" t="s">
        <v>485</v>
      </c>
      <c r="Q666" t="s">
        <v>2885</v>
      </c>
      <c r="R666" t="s">
        <v>2886</v>
      </c>
      <c r="S666" t="s">
        <v>2885</v>
      </c>
      <c r="T666" t="s">
        <v>2886</v>
      </c>
    </row>
    <row r="667" spans="1:20">
      <c r="A667" s="241">
        <v>44001</v>
      </c>
      <c r="B667" t="s">
        <v>3896</v>
      </c>
      <c r="C667" t="s">
        <v>208</v>
      </c>
      <c r="D667" t="s">
        <v>343</v>
      </c>
      <c r="E667" t="s">
        <v>3006</v>
      </c>
      <c r="F667" t="s">
        <v>1620</v>
      </c>
      <c r="G667" t="s">
        <v>856</v>
      </c>
      <c r="H667" t="s">
        <v>1756</v>
      </c>
      <c r="I667" t="s">
        <v>1501</v>
      </c>
      <c r="J667" t="s">
        <v>1484</v>
      </c>
      <c r="K667" t="s">
        <v>534</v>
      </c>
      <c r="L667">
        <v>0.86</v>
      </c>
      <c r="M667" t="s">
        <v>3897</v>
      </c>
      <c r="N667" t="s">
        <v>3898</v>
      </c>
      <c r="O667" t="s">
        <v>3899</v>
      </c>
      <c r="P667" t="s">
        <v>485</v>
      </c>
      <c r="Q667" t="s">
        <v>2885</v>
      </c>
      <c r="R667" t="s">
        <v>2886</v>
      </c>
      <c r="S667" t="s">
        <v>2885</v>
      </c>
      <c r="T667" t="s">
        <v>2886</v>
      </c>
    </row>
    <row r="668" spans="1:20">
      <c r="A668" s="241">
        <v>44001</v>
      </c>
      <c r="B668" t="s">
        <v>3900</v>
      </c>
      <c r="C668" t="s">
        <v>679</v>
      </c>
      <c r="D668" t="s">
        <v>1139</v>
      </c>
      <c r="E668" t="s">
        <v>2731</v>
      </c>
      <c r="F668" t="s">
        <v>354</v>
      </c>
      <c r="G668" t="s">
        <v>648</v>
      </c>
      <c r="H668" t="s">
        <v>1056</v>
      </c>
      <c r="I668" t="s">
        <v>882</v>
      </c>
      <c r="J668" t="s">
        <v>337</v>
      </c>
      <c r="K668" t="s">
        <v>280</v>
      </c>
      <c r="L668">
        <v>0.86</v>
      </c>
      <c r="M668" t="s">
        <v>3901</v>
      </c>
      <c r="N668" t="s">
        <v>3902</v>
      </c>
      <c r="O668" t="s">
        <v>3903</v>
      </c>
      <c r="P668" t="s">
        <v>485</v>
      </c>
      <c r="Q668" t="s">
        <v>2885</v>
      </c>
      <c r="R668" t="s">
        <v>2886</v>
      </c>
      <c r="S668" t="s">
        <v>2885</v>
      </c>
      <c r="T668" t="s">
        <v>2886</v>
      </c>
    </row>
    <row r="669" spans="1:20">
      <c r="A669" s="241">
        <v>44001</v>
      </c>
      <c r="B669" t="s">
        <v>3904</v>
      </c>
      <c r="C669" t="s">
        <v>625</v>
      </c>
      <c r="D669" t="s">
        <v>343</v>
      </c>
      <c r="E669" t="s">
        <v>2544</v>
      </c>
      <c r="F669" t="s">
        <v>1620</v>
      </c>
      <c r="G669" t="s">
        <v>1832</v>
      </c>
      <c r="H669" t="s">
        <v>598</v>
      </c>
      <c r="I669" t="s">
        <v>347</v>
      </c>
      <c r="J669" t="s">
        <v>1495</v>
      </c>
      <c r="K669" t="s">
        <v>231</v>
      </c>
      <c r="L669">
        <v>0.86</v>
      </c>
      <c r="M669" t="s">
        <v>3905</v>
      </c>
      <c r="N669" t="s">
        <v>3906</v>
      </c>
      <c r="O669" t="s">
        <v>3907</v>
      </c>
      <c r="P669" t="s">
        <v>485</v>
      </c>
      <c r="Q669" t="s">
        <v>2885</v>
      </c>
      <c r="R669" t="s">
        <v>2886</v>
      </c>
      <c r="S669" t="s">
        <v>2885</v>
      </c>
      <c r="T669" t="s">
        <v>2886</v>
      </c>
    </row>
    <row r="670" spans="1:20">
      <c r="A670" s="241">
        <v>44001</v>
      </c>
      <c r="B670" t="s">
        <v>3908</v>
      </c>
      <c r="C670" t="s">
        <v>343</v>
      </c>
      <c r="D670" t="s">
        <v>343</v>
      </c>
      <c r="E670" t="s">
        <v>2880</v>
      </c>
      <c r="F670" t="s">
        <v>364</v>
      </c>
      <c r="G670" t="s">
        <v>898</v>
      </c>
      <c r="H670" t="s">
        <v>598</v>
      </c>
      <c r="I670" t="s">
        <v>888</v>
      </c>
      <c r="J670" t="s">
        <v>326</v>
      </c>
      <c r="K670" t="s">
        <v>1032</v>
      </c>
      <c r="L670">
        <v>0.86</v>
      </c>
      <c r="M670" t="s">
        <v>3909</v>
      </c>
      <c r="N670" t="s">
        <v>3910</v>
      </c>
      <c r="O670" t="s">
        <v>3911</v>
      </c>
      <c r="P670" t="s">
        <v>485</v>
      </c>
      <c r="Q670" t="s">
        <v>2885</v>
      </c>
      <c r="R670" t="s">
        <v>2886</v>
      </c>
      <c r="S670" t="s">
        <v>2885</v>
      </c>
      <c r="T670" t="s">
        <v>2886</v>
      </c>
    </row>
    <row r="671" spans="1:20">
      <c r="A671" s="241">
        <v>44001</v>
      </c>
      <c r="B671" t="s">
        <v>3912</v>
      </c>
      <c r="C671" t="s">
        <v>1079</v>
      </c>
      <c r="D671" t="s">
        <v>343</v>
      </c>
      <c r="E671" t="s">
        <v>3054</v>
      </c>
      <c r="F671" t="s">
        <v>897</v>
      </c>
      <c r="G671" t="s">
        <v>1517</v>
      </c>
      <c r="H671" t="s">
        <v>305</v>
      </c>
      <c r="I671" t="s">
        <v>1859</v>
      </c>
      <c r="J671" t="s">
        <v>348</v>
      </c>
      <c r="K671" t="s">
        <v>244</v>
      </c>
      <c r="L671">
        <v>0.86</v>
      </c>
      <c r="M671" t="s">
        <v>3913</v>
      </c>
      <c r="N671" t="s">
        <v>3914</v>
      </c>
      <c r="O671" t="s">
        <v>3915</v>
      </c>
      <c r="P671" t="s">
        <v>485</v>
      </c>
      <c r="Q671" t="s">
        <v>2885</v>
      </c>
      <c r="R671" t="s">
        <v>2886</v>
      </c>
      <c r="S671" t="s">
        <v>2885</v>
      </c>
      <c r="T671" t="s">
        <v>2886</v>
      </c>
    </row>
    <row r="672" spans="1:20">
      <c r="A672" s="241">
        <v>44001</v>
      </c>
      <c r="B672" t="s">
        <v>3916</v>
      </c>
      <c r="C672" t="s">
        <v>2478</v>
      </c>
      <c r="D672" t="s">
        <v>402</v>
      </c>
      <c r="E672" t="s">
        <v>2870</v>
      </c>
      <c r="F672" t="s">
        <v>2574</v>
      </c>
      <c r="G672" t="s">
        <v>1585</v>
      </c>
      <c r="H672" t="s">
        <v>616</v>
      </c>
      <c r="I672" t="s">
        <v>1547</v>
      </c>
      <c r="J672" t="s">
        <v>358</v>
      </c>
      <c r="K672" t="s">
        <v>231</v>
      </c>
      <c r="L672">
        <v>0.86</v>
      </c>
      <c r="M672" t="s">
        <v>3917</v>
      </c>
      <c r="N672" t="s">
        <v>3918</v>
      </c>
      <c r="O672" t="s">
        <v>3919</v>
      </c>
      <c r="P672" t="s">
        <v>485</v>
      </c>
      <c r="Q672" t="s">
        <v>2885</v>
      </c>
      <c r="R672" t="s">
        <v>2886</v>
      </c>
      <c r="S672" t="s">
        <v>2885</v>
      </c>
      <c r="T672" t="s">
        <v>2886</v>
      </c>
    </row>
    <row r="673" spans="1:20">
      <c r="A673" s="241">
        <v>44001</v>
      </c>
      <c r="B673" t="s">
        <v>3920</v>
      </c>
      <c r="C673" t="s">
        <v>2478</v>
      </c>
      <c r="D673" t="s">
        <v>443</v>
      </c>
      <c r="E673" t="s">
        <v>2893</v>
      </c>
      <c r="F673" t="s">
        <v>393</v>
      </c>
      <c r="G673" t="s">
        <v>1585</v>
      </c>
      <c r="H673" t="s">
        <v>1552</v>
      </c>
      <c r="I673" t="s">
        <v>1563</v>
      </c>
      <c r="J673" t="s">
        <v>665</v>
      </c>
      <c r="K673" t="s">
        <v>244</v>
      </c>
      <c r="L673">
        <v>0.86</v>
      </c>
      <c r="M673" t="s">
        <v>3921</v>
      </c>
      <c r="N673" t="s">
        <v>3922</v>
      </c>
      <c r="O673" t="s">
        <v>3923</v>
      </c>
      <c r="P673" t="s">
        <v>485</v>
      </c>
      <c r="Q673" t="s">
        <v>2885</v>
      </c>
      <c r="R673" t="s">
        <v>2886</v>
      </c>
      <c r="S673" t="s">
        <v>2885</v>
      </c>
      <c r="T673" t="s">
        <v>2886</v>
      </c>
    </row>
    <row r="674" spans="1:20">
      <c r="A674" s="241">
        <v>44001</v>
      </c>
      <c r="B674" t="s">
        <v>3924</v>
      </c>
      <c r="C674" t="s">
        <v>2549</v>
      </c>
      <c r="D674" t="s">
        <v>343</v>
      </c>
      <c r="E674" t="s">
        <v>2584</v>
      </c>
      <c r="F674" t="s">
        <v>1156</v>
      </c>
      <c r="G674" t="s">
        <v>918</v>
      </c>
      <c r="H674" t="s">
        <v>706</v>
      </c>
      <c r="I674" t="s">
        <v>396</v>
      </c>
      <c r="J674" t="s">
        <v>684</v>
      </c>
      <c r="K674" t="s">
        <v>256</v>
      </c>
      <c r="L674">
        <v>0.86</v>
      </c>
      <c r="M674" t="s">
        <v>3925</v>
      </c>
      <c r="N674" t="s">
        <v>3926</v>
      </c>
      <c r="O674" t="s">
        <v>3927</v>
      </c>
      <c r="P674" t="s">
        <v>485</v>
      </c>
      <c r="Q674" t="s">
        <v>2885</v>
      </c>
      <c r="R674" t="s">
        <v>2886</v>
      </c>
      <c r="S674" t="s">
        <v>2885</v>
      </c>
      <c r="T674" t="s">
        <v>2886</v>
      </c>
    </row>
    <row r="675" spans="1:20">
      <c r="A675" s="241">
        <v>44001</v>
      </c>
      <c r="B675" t="s">
        <v>3928</v>
      </c>
      <c r="C675" t="s">
        <v>2549</v>
      </c>
      <c r="D675" t="s">
        <v>343</v>
      </c>
      <c r="E675" t="s">
        <v>2769</v>
      </c>
      <c r="F675" t="s">
        <v>1604</v>
      </c>
      <c r="G675" t="s">
        <v>1590</v>
      </c>
      <c r="H675" t="s">
        <v>639</v>
      </c>
      <c r="I675" t="s">
        <v>396</v>
      </c>
      <c r="J675" t="s">
        <v>684</v>
      </c>
      <c r="K675" t="s">
        <v>268</v>
      </c>
      <c r="L675">
        <v>0.86</v>
      </c>
      <c r="M675" t="s">
        <v>3929</v>
      </c>
      <c r="N675" t="s">
        <v>3930</v>
      </c>
      <c r="O675" t="s">
        <v>3931</v>
      </c>
      <c r="P675" t="s">
        <v>485</v>
      </c>
      <c r="Q675" t="s">
        <v>2885</v>
      </c>
      <c r="R675" t="s">
        <v>2886</v>
      </c>
      <c r="S675" t="s">
        <v>2885</v>
      </c>
      <c r="T675" t="s">
        <v>2886</v>
      </c>
    </row>
    <row r="676" spans="1:20">
      <c r="A676" s="241">
        <v>44001</v>
      </c>
      <c r="B676" t="s">
        <v>3932</v>
      </c>
      <c r="C676" t="s">
        <v>443</v>
      </c>
      <c r="D676" t="s">
        <v>382</v>
      </c>
      <c r="E676" t="s">
        <v>2769</v>
      </c>
      <c r="F676" t="s">
        <v>413</v>
      </c>
      <c r="G676" t="s">
        <v>1610</v>
      </c>
      <c r="H676" t="s">
        <v>1109</v>
      </c>
      <c r="I676" t="s">
        <v>1579</v>
      </c>
      <c r="J676" t="s">
        <v>1298</v>
      </c>
      <c r="K676" t="s">
        <v>299</v>
      </c>
      <c r="L676">
        <v>0.86</v>
      </c>
      <c r="M676" t="s">
        <v>3933</v>
      </c>
      <c r="N676" t="s">
        <v>3934</v>
      </c>
      <c r="O676" t="s">
        <v>3935</v>
      </c>
      <c r="P676" t="s">
        <v>485</v>
      </c>
      <c r="Q676" t="s">
        <v>2885</v>
      </c>
      <c r="R676" t="s">
        <v>2886</v>
      </c>
      <c r="S676" t="s">
        <v>2885</v>
      </c>
      <c r="T676" t="s">
        <v>2886</v>
      </c>
    </row>
    <row r="677" spans="1:20">
      <c r="A677" s="241">
        <v>44001</v>
      </c>
      <c r="B677" t="s">
        <v>3936</v>
      </c>
      <c r="C677" t="s">
        <v>382</v>
      </c>
      <c r="D677" t="s">
        <v>343</v>
      </c>
      <c r="E677" t="s">
        <v>2769</v>
      </c>
      <c r="F677" t="s">
        <v>1177</v>
      </c>
      <c r="G677" t="s">
        <v>1605</v>
      </c>
      <c r="H677" t="s">
        <v>445</v>
      </c>
      <c r="I677" t="s">
        <v>698</v>
      </c>
      <c r="J677" t="s">
        <v>912</v>
      </c>
      <c r="K677" t="s">
        <v>268</v>
      </c>
      <c r="L677">
        <v>0.86</v>
      </c>
      <c r="M677" t="s">
        <v>3937</v>
      </c>
      <c r="N677" t="s">
        <v>3938</v>
      </c>
      <c r="O677" t="s">
        <v>3939</v>
      </c>
      <c r="P677" t="s">
        <v>485</v>
      </c>
      <c r="Q677" t="s">
        <v>2885</v>
      </c>
      <c r="R677" t="s">
        <v>2886</v>
      </c>
      <c r="S677" t="s">
        <v>2885</v>
      </c>
      <c r="T677" t="s">
        <v>2886</v>
      </c>
    </row>
    <row r="678" spans="1:20">
      <c r="A678" s="241">
        <v>44001</v>
      </c>
      <c r="B678" t="s">
        <v>3940</v>
      </c>
      <c r="C678" t="s">
        <v>382</v>
      </c>
      <c r="D678" t="s">
        <v>382</v>
      </c>
      <c r="E678" t="s">
        <v>2880</v>
      </c>
      <c r="F678" t="s">
        <v>1625</v>
      </c>
      <c r="G678" t="s">
        <v>705</v>
      </c>
      <c r="H678" t="s">
        <v>333</v>
      </c>
      <c r="I678" t="s">
        <v>427</v>
      </c>
      <c r="J678" t="s">
        <v>919</v>
      </c>
      <c r="K678" t="s">
        <v>338</v>
      </c>
      <c r="L678">
        <v>0.86</v>
      </c>
      <c r="M678" t="s">
        <v>3941</v>
      </c>
      <c r="N678" t="s">
        <v>3942</v>
      </c>
      <c r="O678" t="s">
        <v>3943</v>
      </c>
      <c r="P678" t="s">
        <v>485</v>
      </c>
      <c r="Q678" t="s">
        <v>2885</v>
      </c>
      <c r="R678" t="s">
        <v>2886</v>
      </c>
      <c r="S678" t="s">
        <v>2885</v>
      </c>
      <c r="T678" t="s">
        <v>2886</v>
      </c>
    </row>
    <row r="679" spans="1:20">
      <c r="A679" s="241">
        <v>44001</v>
      </c>
      <c r="B679" t="s">
        <v>3944</v>
      </c>
      <c r="C679" t="s">
        <v>392</v>
      </c>
      <c r="D679" t="s">
        <v>343</v>
      </c>
      <c r="E679" t="s">
        <v>2888</v>
      </c>
      <c r="F679" t="s">
        <v>1625</v>
      </c>
      <c r="G679" t="s">
        <v>946</v>
      </c>
      <c r="H679" t="s">
        <v>333</v>
      </c>
      <c r="I679" t="s">
        <v>939</v>
      </c>
      <c r="J679" t="s">
        <v>407</v>
      </c>
      <c r="K679" t="s">
        <v>268</v>
      </c>
      <c r="L679">
        <v>0.86</v>
      </c>
      <c r="M679" t="s">
        <v>3945</v>
      </c>
      <c r="N679" t="s">
        <v>3946</v>
      </c>
      <c r="O679" t="s">
        <v>3947</v>
      </c>
      <c r="P679" t="s">
        <v>485</v>
      </c>
      <c r="Q679" t="s">
        <v>2885</v>
      </c>
      <c r="R679" t="s">
        <v>2886</v>
      </c>
      <c r="S679" t="s">
        <v>2885</v>
      </c>
      <c r="T679" t="s">
        <v>2886</v>
      </c>
    </row>
    <row r="680" spans="1:20">
      <c r="A680" s="241">
        <v>44001</v>
      </c>
      <c r="B680" t="s">
        <v>3948</v>
      </c>
      <c r="C680" t="s">
        <v>2478</v>
      </c>
      <c r="D680" t="s">
        <v>332</v>
      </c>
      <c r="E680" t="s">
        <v>2880</v>
      </c>
      <c r="F680" t="s">
        <v>3077</v>
      </c>
      <c r="G680" t="s">
        <v>938</v>
      </c>
      <c r="H680" t="s">
        <v>729</v>
      </c>
      <c r="I680" t="s">
        <v>1158</v>
      </c>
      <c r="J680" t="s">
        <v>1309</v>
      </c>
      <c r="K680" t="s">
        <v>338</v>
      </c>
      <c r="L680">
        <v>0.86</v>
      </c>
      <c r="M680" t="s">
        <v>3949</v>
      </c>
      <c r="N680" t="s">
        <v>3950</v>
      </c>
      <c r="O680" t="s">
        <v>3951</v>
      </c>
      <c r="P680" t="s">
        <v>485</v>
      </c>
      <c r="Q680" t="s">
        <v>2885</v>
      </c>
      <c r="R680" t="s">
        <v>2886</v>
      </c>
      <c r="S680" t="s">
        <v>2885</v>
      </c>
      <c r="T680" t="s">
        <v>2886</v>
      </c>
    </row>
    <row r="681" spans="1:20">
      <c r="A681" s="241">
        <v>44001</v>
      </c>
      <c r="B681" t="s">
        <v>3952</v>
      </c>
      <c r="C681" t="s">
        <v>631</v>
      </c>
      <c r="D681" t="s">
        <v>250</v>
      </c>
      <c r="E681" t="s">
        <v>3054</v>
      </c>
      <c r="F681" t="s">
        <v>3086</v>
      </c>
      <c r="G681" t="s">
        <v>1157</v>
      </c>
      <c r="H681" t="s">
        <v>1541</v>
      </c>
      <c r="I681" t="s">
        <v>947</v>
      </c>
      <c r="J681" t="s">
        <v>437</v>
      </c>
      <c r="K681" t="s">
        <v>338</v>
      </c>
      <c r="L681">
        <v>0.86</v>
      </c>
      <c r="M681" t="s">
        <v>3953</v>
      </c>
      <c r="N681" t="s">
        <v>3954</v>
      </c>
      <c r="O681" t="s">
        <v>3955</v>
      </c>
      <c r="P681" t="s">
        <v>485</v>
      </c>
      <c r="Q681" t="s">
        <v>2885</v>
      </c>
      <c r="R681" t="s">
        <v>2886</v>
      </c>
      <c r="S681" t="s">
        <v>2885</v>
      </c>
      <c r="T681" t="s">
        <v>2886</v>
      </c>
    </row>
    <row r="682" spans="1:20">
      <c r="A682" s="241">
        <v>44001</v>
      </c>
      <c r="B682" t="s">
        <v>3956</v>
      </c>
      <c r="C682" t="s">
        <v>1079</v>
      </c>
      <c r="D682" t="s">
        <v>402</v>
      </c>
      <c r="E682" t="s">
        <v>2888</v>
      </c>
      <c r="F682" t="s">
        <v>3482</v>
      </c>
      <c r="G682" t="s">
        <v>2228</v>
      </c>
      <c r="H682" t="s">
        <v>897</v>
      </c>
      <c r="I682" t="s">
        <v>446</v>
      </c>
      <c r="J682" t="s">
        <v>437</v>
      </c>
      <c r="K682" t="s">
        <v>327</v>
      </c>
      <c r="L682">
        <v>0.86</v>
      </c>
      <c r="M682" t="s">
        <v>3957</v>
      </c>
      <c r="N682" t="s">
        <v>3958</v>
      </c>
      <c r="O682" t="s">
        <v>3959</v>
      </c>
      <c r="P682" t="s">
        <v>485</v>
      </c>
      <c r="Q682" t="s">
        <v>2885</v>
      </c>
      <c r="R682" t="s">
        <v>2886</v>
      </c>
      <c r="S682" t="s">
        <v>2885</v>
      </c>
      <c r="T682" t="s">
        <v>2886</v>
      </c>
    </row>
    <row r="683" spans="1:20">
      <c r="A683" s="241">
        <v>44001</v>
      </c>
      <c r="B683" t="s">
        <v>3960</v>
      </c>
      <c r="C683" t="s">
        <v>1377</v>
      </c>
      <c r="D683" t="s">
        <v>2821</v>
      </c>
      <c r="E683" t="s">
        <v>614</v>
      </c>
      <c r="F683" t="s">
        <v>3961</v>
      </c>
      <c r="G683" t="s">
        <v>1668</v>
      </c>
      <c r="H683" t="s">
        <v>3962</v>
      </c>
      <c r="I683" t="s">
        <v>3963</v>
      </c>
      <c r="J683" t="s">
        <v>3964</v>
      </c>
      <c r="K683" t="s">
        <v>3965</v>
      </c>
      <c r="L683">
        <v>0.89</v>
      </c>
      <c r="M683" t="s">
        <v>3966</v>
      </c>
      <c r="N683" t="s">
        <v>3967</v>
      </c>
      <c r="O683" t="s">
        <v>3968</v>
      </c>
      <c r="P683" t="s">
        <v>485</v>
      </c>
      <c r="Q683" t="s">
        <v>2885</v>
      </c>
      <c r="R683" t="s">
        <v>2886</v>
      </c>
      <c r="S683" t="s">
        <v>2885</v>
      </c>
      <c r="T683" t="s">
        <v>2886</v>
      </c>
    </row>
    <row r="684" spans="1:20">
      <c r="A684" s="241">
        <v>44001</v>
      </c>
      <c r="B684" t="s">
        <v>3969</v>
      </c>
      <c r="C684" t="s">
        <v>2626</v>
      </c>
      <c r="D684" t="s">
        <v>1377</v>
      </c>
      <c r="E684" t="s">
        <v>442</v>
      </c>
      <c r="F684" t="s">
        <v>1179</v>
      </c>
      <c r="G684" t="s">
        <v>3128</v>
      </c>
      <c r="H684" t="s">
        <v>1969</v>
      </c>
      <c r="I684" t="s">
        <v>3970</v>
      </c>
      <c r="J684" t="s">
        <v>3971</v>
      </c>
      <c r="K684" t="s">
        <v>3972</v>
      </c>
      <c r="L684">
        <v>0.89</v>
      </c>
      <c r="M684" t="s">
        <v>3973</v>
      </c>
      <c r="N684" t="s">
        <v>3974</v>
      </c>
      <c r="O684" t="s">
        <v>3975</v>
      </c>
      <c r="P684" t="s">
        <v>485</v>
      </c>
      <c r="Q684" t="s">
        <v>2885</v>
      </c>
      <c r="R684" t="s">
        <v>2886</v>
      </c>
      <c r="S684" t="s">
        <v>2885</v>
      </c>
      <c r="T684" t="s">
        <v>2886</v>
      </c>
    </row>
    <row r="685" spans="1:20">
      <c r="A685" s="241">
        <v>44001</v>
      </c>
      <c r="B685" t="s">
        <v>3976</v>
      </c>
      <c r="C685" t="s">
        <v>2810</v>
      </c>
      <c r="D685" t="s">
        <v>2626</v>
      </c>
      <c r="E685" t="s">
        <v>615</v>
      </c>
      <c r="F685" t="s">
        <v>1358</v>
      </c>
      <c r="G685" t="s">
        <v>3977</v>
      </c>
      <c r="H685" t="s">
        <v>758</v>
      </c>
      <c r="I685" t="s">
        <v>3978</v>
      </c>
      <c r="J685" t="s">
        <v>3979</v>
      </c>
      <c r="K685" t="s">
        <v>1989</v>
      </c>
      <c r="L685">
        <v>0.89</v>
      </c>
      <c r="M685" t="s">
        <v>3980</v>
      </c>
      <c r="N685" t="s">
        <v>3981</v>
      </c>
      <c r="O685" t="s">
        <v>3982</v>
      </c>
      <c r="P685" t="s">
        <v>485</v>
      </c>
      <c r="Q685" t="s">
        <v>2885</v>
      </c>
      <c r="R685" t="s">
        <v>2886</v>
      </c>
      <c r="S685" t="s">
        <v>2885</v>
      </c>
      <c r="T685" t="s">
        <v>2886</v>
      </c>
    </row>
    <row r="686" spans="1:20">
      <c r="A686" s="241">
        <v>44001</v>
      </c>
      <c r="B686" t="s">
        <v>3983</v>
      </c>
      <c r="C686" t="s">
        <v>1877</v>
      </c>
      <c r="D686" t="s">
        <v>615</v>
      </c>
      <c r="E686" t="s">
        <v>402</v>
      </c>
      <c r="F686" t="s">
        <v>3984</v>
      </c>
      <c r="G686" t="s">
        <v>3985</v>
      </c>
      <c r="H686" t="s">
        <v>2266</v>
      </c>
      <c r="I686" t="s">
        <v>3986</v>
      </c>
      <c r="J686" t="s">
        <v>3987</v>
      </c>
      <c r="K686" t="s">
        <v>3988</v>
      </c>
      <c r="L686">
        <v>0.88</v>
      </c>
      <c r="M686" t="s">
        <v>3989</v>
      </c>
      <c r="N686" t="s">
        <v>3990</v>
      </c>
      <c r="O686" t="s">
        <v>3991</v>
      </c>
      <c r="P686" t="s">
        <v>485</v>
      </c>
      <c r="Q686" t="s">
        <v>2885</v>
      </c>
      <c r="R686" t="s">
        <v>2886</v>
      </c>
      <c r="S686" t="s">
        <v>2885</v>
      </c>
      <c r="T686" t="s">
        <v>2886</v>
      </c>
    </row>
    <row r="687" spans="1:20">
      <c r="A687" s="241">
        <v>44001</v>
      </c>
      <c r="B687" t="s">
        <v>3992</v>
      </c>
      <c r="C687" t="s">
        <v>2478</v>
      </c>
      <c r="D687" t="s">
        <v>392</v>
      </c>
      <c r="E687" t="s">
        <v>1121</v>
      </c>
      <c r="F687" t="s">
        <v>823</v>
      </c>
      <c r="G687" t="s">
        <v>3993</v>
      </c>
      <c r="H687" t="s">
        <v>3161</v>
      </c>
      <c r="I687" t="s">
        <v>2457</v>
      </c>
      <c r="J687" t="s">
        <v>3994</v>
      </c>
      <c r="K687" t="s">
        <v>3171</v>
      </c>
      <c r="L687">
        <v>0.87</v>
      </c>
      <c r="M687" t="s">
        <v>3995</v>
      </c>
      <c r="N687" t="s">
        <v>3996</v>
      </c>
      <c r="O687" t="s">
        <v>3997</v>
      </c>
      <c r="P687" t="s">
        <v>485</v>
      </c>
      <c r="Q687" t="s">
        <v>2885</v>
      </c>
      <c r="R687" t="s">
        <v>2886</v>
      </c>
      <c r="S687" t="s">
        <v>2885</v>
      </c>
      <c r="T687" t="s">
        <v>2886</v>
      </c>
    </row>
    <row r="688" spans="1:20">
      <c r="A688" s="241">
        <v>44001</v>
      </c>
      <c r="B688" t="s">
        <v>3998</v>
      </c>
      <c r="C688" t="s">
        <v>1139</v>
      </c>
      <c r="D688" t="s">
        <v>2549</v>
      </c>
      <c r="E688" t="s">
        <v>1121</v>
      </c>
      <c r="F688" t="s">
        <v>600</v>
      </c>
      <c r="G688" t="s">
        <v>2023</v>
      </c>
      <c r="H688" t="s">
        <v>3999</v>
      </c>
      <c r="I688" t="s">
        <v>1010</v>
      </c>
      <c r="J688" t="s">
        <v>4000</v>
      </c>
      <c r="K688" t="s">
        <v>3155</v>
      </c>
      <c r="L688">
        <v>0.86</v>
      </c>
      <c r="M688" t="s">
        <v>4001</v>
      </c>
      <c r="N688" t="s">
        <v>4002</v>
      </c>
      <c r="O688" t="s">
        <v>4003</v>
      </c>
      <c r="P688" t="s">
        <v>485</v>
      </c>
      <c r="Q688" t="s">
        <v>2885</v>
      </c>
      <c r="R688" t="s">
        <v>2886</v>
      </c>
      <c r="S688" t="s">
        <v>2885</v>
      </c>
      <c r="T688" t="s">
        <v>2886</v>
      </c>
    </row>
    <row r="689" spans="1:20">
      <c r="A689" s="241">
        <v>44001</v>
      </c>
      <c r="B689" t="s">
        <v>4004</v>
      </c>
      <c r="C689" t="s">
        <v>671</v>
      </c>
      <c r="D689" t="s">
        <v>392</v>
      </c>
      <c r="E689" t="s">
        <v>2888</v>
      </c>
      <c r="F689" t="s">
        <v>1069</v>
      </c>
      <c r="G689" t="s">
        <v>2034</v>
      </c>
      <c r="H689" t="s">
        <v>1390</v>
      </c>
      <c r="I689" t="s">
        <v>1686</v>
      </c>
      <c r="J689" t="s">
        <v>4000</v>
      </c>
      <c r="K689" t="s">
        <v>781</v>
      </c>
      <c r="L689">
        <v>0.86</v>
      </c>
      <c r="M689" t="s">
        <v>4005</v>
      </c>
      <c r="N689" t="s">
        <v>4006</v>
      </c>
      <c r="O689" t="s">
        <v>4007</v>
      </c>
      <c r="P689" t="s">
        <v>485</v>
      </c>
      <c r="Q689" t="s">
        <v>2885</v>
      </c>
      <c r="R689" t="s">
        <v>2886</v>
      </c>
      <c r="S689" t="s">
        <v>2885</v>
      </c>
      <c r="T689" t="s">
        <v>2886</v>
      </c>
    </row>
    <row r="690" spans="1:20">
      <c r="A690" s="241">
        <v>44001</v>
      </c>
      <c r="B690" t="s">
        <v>4008</v>
      </c>
      <c r="C690" t="s">
        <v>614</v>
      </c>
      <c r="D690" t="s">
        <v>402</v>
      </c>
      <c r="E690" t="s">
        <v>2769</v>
      </c>
      <c r="F690" t="s">
        <v>1274</v>
      </c>
      <c r="G690" t="s">
        <v>2043</v>
      </c>
      <c r="H690" t="s">
        <v>541</v>
      </c>
      <c r="I690" t="s">
        <v>1019</v>
      </c>
      <c r="J690" t="s">
        <v>1011</v>
      </c>
      <c r="K690" t="s">
        <v>781</v>
      </c>
      <c r="L690">
        <v>0.86</v>
      </c>
      <c r="M690" t="s">
        <v>4009</v>
      </c>
      <c r="N690" t="s">
        <v>4010</v>
      </c>
      <c r="O690" t="s">
        <v>4011</v>
      </c>
      <c r="P690" t="s">
        <v>485</v>
      </c>
      <c r="Q690" t="s">
        <v>2885</v>
      </c>
      <c r="R690" t="s">
        <v>2886</v>
      </c>
      <c r="S690" t="s">
        <v>2885</v>
      </c>
      <c r="T690" t="s">
        <v>2886</v>
      </c>
    </row>
    <row r="691" spans="1:20">
      <c r="A691" s="241">
        <v>44001</v>
      </c>
      <c r="B691" t="s">
        <v>4012</v>
      </c>
      <c r="C691" t="s">
        <v>631</v>
      </c>
      <c r="D691" t="s">
        <v>250</v>
      </c>
      <c r="E691" t="s">
        <v>2731</v>
      </c>
      <c r="F691" t="s">
        <v>608</v>
      </c>
      <c r="G691" t="s">
        <v>520</v>
      </c>
      <c r="H691" t="s">
        <v>1404</v>
      </c>
      <c r="I691" t="s">
        <v>2024</v>
      </c>
      <c r="J691" t="s">
        <v>1011</v>
      </c>
      <c r="K691" t="s">
        <v>2458</v>
      </c>
      <c r="L691">
        <v>0.86</v>
      </c>
      <c r="M691" t="s">
        <v>4013</v>
      </c>
      <c r="N691" t="s">
        <v>4014</v>
      </c>
      <c r="O691" t="s">
        <v>4015</v>
      </c>
      <c r="P691" t="s">
        <v>485</v>
      </c>
      <c r="Q691" t="s">
        <v>2885</v>
      </c>
      <c r="R691" t="s">
        <v>2886</v>
      </c>
      <c r="S691" t="s">
        <v>2885</v>
      </c>
      <c r="T691" t="s">
        <v>2886</v>
      </c>
    </row>
    <row r="692" spans="1:20">
      <c r="A692" s="241">
        <v>44001</v>
      </c>
      <c r="B692" t="s">
        <v>4016</v>
      </c>
      <c r="C692" t="s">
        <v>2478</v>
      </c>
      <c r="D692" t="s">
        <v>402</v>
      </c>
      <c r="E692" t="s">
        <v>3054</v>
      </c>
      <c r="F692" t="s">
        <v>346</v>
      </c>
      <c r="G692" t="s">
        <v>548</v>
      </c>
      <c r="H692" t="s">
        <v>1257</v>
      </c>
      <c r="I692" t="s">
        <v>550</v>
      </c>
      <c r="J692" t="s">
        <v>1026</v>
      </c>
      <c r="K692" t="s">
        <v>2277</v>
      </c>
      <c r="L692">
        <v>0.86</v>
      </c>
      <c r="M692" t="s">
        <v>4017</v>
      </c>
      <c r="N692" t="s">
        <v>4018</v>
      </c>
      <c r="O692" t="s">
        <v>4019</v>
      </c>
      <c r="P692" t="s">
        <v>485</v>
      </c>
      <c r="Q692" t="s">
        <v>2885</v>
      </c>
      <c r="R692" t="s">
        <v>2886</v>
      </c>
      <c r="S692" t="s">
        <v>2885</v>
      </c>
      <c r="T692" t="s">
        <v>2886</v>
      </c>
    </row>
    <row r="693" spans="1:20">
      <c r="A693" s="241">
        <v>44001</v>
      </c>
      <c r="B693" t="s">
        <v>4020</v>
      </c>
      <c r="C693" t="s">
        <v>2549</v>
      </c>
      <c r="D693" t="s">
        <v>443</v>
      </c>
      <c r="E693" t="s">
        <v>3006</v>
      </c>
      <c r="F693" t="s">
        <v>881</v>
      </c>
      <c r="G693" t="s">
        <v>2314</v>
      </c>
      <c r="H693" t="s">
        <v>823</v>
      </c>
      <c r="I693" t="s">
        <v>1427</v>
      </c>
      <c r="J693" t="s">
        <v>1026</v>
      </c>
      <c r="K693" t="s">
        <v>781</v>
      </c>
      <c r="L693">
        <v>0.86</v>
      </c>
      <c r="M693" t="s">
        <v>4021</v>
      </c>
      <c r="N693" t="s">
        <v>4022</v>
      </c>
      <c r="O693" t="s">
        <v>4023</v>
      </c>
      <c r="P693" t="s">
        <v>485</v>
      </c>
      <c r="Q693" t="s">
        <v>2885</v>
      </c>
      <c r="R693" t="s">
        <v>2886</v>
      </c>
      <c r="S693" t="s">
        <v>2885</v>
      </c>
      <c r="T693" t="s">
        <v>2886</v>
      </c>
    </row>
    <row r="694" spans="1:20">
      <c r="A694" s="241">
        <v>44001</v>
      </c>
      <c r="B694" t="s">
        <v>4024</v>
      </c>
      <c r="C694" t="s">
        <v>2478</v>
      </c>
      <c r="D694" t="s">
        <v>556</v>
      </c>
      <c r="E694" t="s">
        <v>2769</v>
      </c>
      <c r="F694" t="s">
        <v>335</v>
      </c>
      <c r="G694" t="s">
        <v>1037</v>
      </c>
      <c r="H694" t="s">
        <v>559</v>
      </c>
      <c r="I694" t="s">
        <v>550</v>
      </c>
      <c r="J694" t="s">
        <v>1026</v>
      </c>
      <c r="K694" t="s">
        <v>2277</v>
      </c>
      <c r="L694">
        <v>0.86</v>
      </c>
      <c r="M694" t="s">
        <v>4025</v>
      </c>
      <c r="N694" t="s">
        <v>4026</v>
      </c>
      <c r="O694" t="s">
        <v>4027</v>
      </c>
      <c r="P694" t="s">
        <v>485</v>
      </c>
      <c r="Q694" t="s">
        <v>2885</v>
      </c>
      <c r="R694" t="s">
        <v>2886</v>
      </c>
      <c r="S694" t="s">
        <v>2885</v>
      </c>
      <c r="T694" t="s">
        <v>2886</v>
      </c>
    </row>
    <row r="695" spans="1:20">
      <c r="A695" s="241">
        <v>44001</v>
      </c>
      <c r="B695" t="s">
        <v>4028</v>
      </c>
      <c r="C695" t="s">
        <v>382</v>
      </c>
      <c r="D695" t="s">
        <v>556</v>
      </c>
      <c r="E695" t="s">
        <v>1314</v>
      </c>
      <c r="F695" t="s">
        <v>1050</v>
      </c>
      <c r="G695" t="s">
        <v>798</v>
      </c>
      <c r="H695" t="s">
        <v>2324</v>
      </c>
      <c r="I695" t="s">
        <v>1031</v>
      </c>
      <c r="J695" t="s">
        <v>1428</v>
      </c>
      <c r="K695" t="s">
        <v>1003</v>
      </c>
      <c r="L695">
        <v>0.86</v>
      </c>
      <c r="M695" t="s">
        <v>4029</v>
      </c>
      <c r="N695" t="s">
        <v>4030</v>
      </c>
      <c r="O695" t="s">
        <v>4031</v>
      </c>
      <c r="P695" t="s">
        <v>485</v>
      </c>
      <c r="Q695" t="s">
        <v>2885</v>
      </c>
      <c r="R695" t="s">
        <v>2886</v>
      </c>
      <c r="S695" t="s">
        <v>2885</v>
      </c>
      <c r="T695" t="s">
        <v>2886</v>
      </c>
    </row>
    <row r="696" spans="1:20">
      <c r="A696" s="241">
        <v>44001</v>
      </c>
      <c r="B696" t="s">
        <v>4032</v>
      </c>
      <c r="C696" t="s">
        <v>208</v>
      </c>
      <c r="D696" t="s">
        <v>343</v>
      </c>
      <c r="E696" t="s">
        <v>2544</v>
      </c>
      <c r="F696" t="s">
        <v>1056</v>
      </c>
      <c r="G696" t="s">
        <v>1037</v>
      </c>
      <c r="H696" t="s">
        <v>1388</v>
      </c>
      <c r="I696" t="s">
        <v>560</v>
      </c>
      <c r="J696" t="s">
        <v>2881</v>
      </c>
      <c r="K696" t="s">
        <v>1003</v>
      </c>
      <c r="L696">
        <v>0.86</v>
      </c>
      <c r="M696" t="s">
        <v>4033</v>
      </c>
      <c r="N696" t="s">
        <v>4034</v>
      </c>
      <c r="O696" t="s">
        <v>4035</v>
      </c>
      <c r="P696" t="s">
        <v>485</v>
      </c>
      <c r="Q696" t="s">
        <v>2885</v>
      </c>
      <c r="R696" t="s">
        <v>2886</v>
      </c>
      <c r="S696" t="s">
        <v>2885</v>
      </c>
      <c r="T696" t="s">
        <v>2886</v>
      </c>
    </row>
    <row r="697" spans="1:20">
      <c r="A697" s="241">
        <v>44001</v>
      </c>
      <c r="B697" t="s">
        <v>4036</v>
      </c>
      <c r="C697" t="s">
        <v>2478</v>
      </c>
      <c r="D697" t="s">
        <v>332</v>
      </c>
      <c r="E697" t="s">
        <v>2584</v>
      </c>
      <c r="F697" t="s">
        <v>590</v>
      </c>
      <c r="G697" t="s">
        <v>252</v>
      </c>
      <c r="H697" t="s">
        <v>209</v>
      </c>
      <c r="I697" t="s">
        <v>254</v>
      </c>
      <c r="J697" t="s">
        <v>1245</v>
      </c>
      <c r="K697" t="s">
        <v>1399</v>
      </c>
      <c r="L697">
        <v>0.86</v>
      </c>
      <c r="M697" t="s">
        <v>4037</v>
      </c>
      <c r="N697" t="s">
        <v>4038</v>
      </c>
      <c r="O697" t="s">
        <v>4039</v>
      </c>
      <c r="P697" t="s">
        <v>485</v>
      </c>
      <c r="Q697" t="s">
        <v>2885</v>
      </c>
      <c r="R697" t="s">
        <v>2886</v>
      </c>
      <c r="S697" t="s">
        <v>2885</v>
      </c>
      <c r="T697" t="s">
        <v>2886</v>
      </c>
    </row>
    <row r="698" spans="1:20">
      <c r="A698" s="241">
        <v>44001</v>
      </c>
      <c r="B698" t="s">
        <v>4040</v>
      </c>
      <c r="C698" t="s">
        <v>2535</v>
      </c>
      <c r="D698" t="s">
        <v>443</v>
      </c>
      <c r="E698" t="s">
        <v>2870</v>
      </c>
      <c r="F698" t="s">
        <v>305</v>
      </c>
      <c r="G698" t="s">
        <v>1044</v>
      </c>
      <c r="H698" t="s">
        <v>287</v>
      </c>
      <c r="I698" t="s">
        <v>569</v>
      </c>
      <c r="J698" t="s">
        <v>243</v>
      </c>
      <c r="K698" t="s">
        <v>1234</v>
      </c>
      <c r="L698">
        <v>0.86</v>
      </c>
      <c r="M698" t="s">
        <v>4041</v>
      </c>
      <c r="N698" t="s">
        <v>4042</v>
      </c>
      <c r="O698" t="s">
        <v>4043</v>
      </c>
      <c r="P698" t="s">
        <v>485</v>
      </c>
      <c r="Q698" t="s">
        <v>2885</v>
      </c>
      <c r="R698" t="s">
        <v>2886</v>
      </c>
      <c r="S698" t="s">
        <v>2885</v>
      </c>
      <c r="T698" t="s">
        <v>2886</v>
      </c>
    </row>
    <row r="699" spans="1:20">
      <c r="A699" s="241">
        <v>44001</v>
      </c>
      <c r="B699" t="s">
        <v>4044</v>
      </c>
      <c r="C699" t="s">
        <v>556</v>
      </c>
      <c r="D699" t="s">
        <v>392</v>
      </c>
      <c r="E699" t="s">
        <v>3054</v>
      </c>
      <c r="F699" t="s">
        <v>1817</v>
      </c>
      <c r="G699" t="s">
        <v>1781</v>
      </c>
      <c r="H699" t="s">
        <v>287</v>
      </c>
      <c r="I699" t="s">
        <v>266</v>
      </c>
      <c r="J699" t="s">
        <v>1770</v>
      </c>
      <c r="K699" t="s">
        <v>1234</v>
      </c>
      <c r="L699">
        <v>0.86</v>
      </c>
      <c r="M699" t="s">
        <v>4045</v>
      </c>
      <c r="N699" t="s">
        <v>4046</v>
      </c>
      <c r="O699" t="s">
        <v>4047</v>
      </c>
      <c r="P699" t="s">
        <v>485</v>
      </c>
      <c r="Q699" t="s">
        <v>2885</v>
      </c>
      <c r="R699" t="s">
        <v>2886</v>
      </c>
      <c r="S699" t="s">
        <v>2885</v>
      </c>
      <c r="T699" t="s">
        <v>2886</v>
      </c>
    </row>
    <row r="700" spans="1:20">
      <c r="A700" s="241">
        <v>44001</v>
      </c>
      <c r="B700" t="s">
        <v>4048</v>
      </c>
      <c r="C700" t="s">
        <v>2549</v>
      </c>
      <c r="D700" t="s">
        <v>343</v>
      </c>
      <c r="E700" t="s">
        <v>2769</v>
      </c>
      <c r="F700" t="s">
        <v>626</v>
      </c>
      <c r="G700" t="s">
        <v>1256</v>
      </c>
      <c r="H700" t="s">
        <v>209</v>
      </c>
      <c r="I700" t="s">
        <v>2329</v>
      </c>
      <c r="J700" t="s">
        <v>230</v>
      </c>
      <c r="K700" t="s">
        <v>1234</v>
      </c>
      <c r="L700">
        <v>0.86</v>
      </c>
      <c r="M700" t="s">
        <v>4049</v>
      </c>
      <c r="N700" t="s">
        <v>4050</v>
      </c>
      <c r="O700" t="s">
        <v>4051</v>
      </c>
      <c r="P700" t="s">
        <v>485</v>
      </c>
      <c r="Q700" t="s">
        <v>2885</v>
      </c>
      <c r="R700" t="s">
        <v>2886</v>
      </c>
      <c r="S700" t="s">
        <v>2885</v>
      </c>
      <c r="T700" t="s">
        <v>2886</v>
      </c>
    </row>
    <row r="701" spans="1:20">
      <c r="A701" s="241">
        <v>44001</v>
      </c>
      <c r="B701" t="s">
        <v>4052</v>
      </c>
      <c r="C701" t="s">
        <v>625</v>
      </c>
      <c r="D701" t="s">
        <v>304</v>
      </c>
      <c r="E701" t="s">
        <v>2870</v>
      </c>
      <c r="F701" t="s">
        <v>855</v>
      </c>
      <c r="G701" t="s">
        <v>1775</v>
      </c>
      <c r="H701" t="s">
        <v>1274</v>
      </c>
      <c r="I701" t="s">
        <v>838</v>
      </c>
      <c r="J701" t="s">
        <v>2330</v>
      </c>
      <c r="K701" t="s">
        <v>1012</v>
      </c>
      <c r="L701">
        <v>0.86</v>
      </c>
      <c r="M701" t="s">
        <v>4053</v>
      </c>
      <c r="N701" t="s">
        <v>4054</v>
      </c>
      <c r="O701" t="s">
        <v>4055</v>
      </c>
      <c r="P701" t="s">
        <v>485</v>
      </c>
      <c r="Q701" t="s">
        <v>2885</v>
      </c>
      <c r="R701" t="s">
        <v>2886</v>
      </c>
      <c r="S701" t="s">
        <v>2885</v>
      </c>
      <c r="T701" t="s">
        <v>2886</v>
      </c>
    </row>
    <row r="702" spans="1:20">
      <c r="A702" s="241">
        <v>44001</v>
      </c>
      <c r="B702" t="s">
        <v>4056</v>
      </c>
      <c r="C702" t="s">
        <v>679</v>
      </c>
      <c r="D702" t="s">
        <v>238</v>
      </c>
      <c r="E702" t="s">
        <v>2888</v>
      </c>
      <c r="F702" t="s">
        <v>435</v>
      </c>
      <c r="G702" t="s">
        <v>1263</v>
      </c>
      <c r="H702" t="s">
        <v>608</v>
      </c>
      <c r="I702" t="s">
        <v>297</v>
      </c>
      <c r="J702" t="s">
        <v>289</v>
      </c>
      <c r="K702" t="s">
        <v>534</v>
      </c>
      <c r="L702">
        <v>0.86</v>
      </c>
      <c r="M702" t="s">
        <v>4057</v>
      </c>
      <c r="N702" t="s">
        <v>4058</v>
      </c>
      <c r="O702" t="s">
        <v>4059</v>
      </c>
      <c r="P702" t="s">
        <v>485</v>
      </c>
      <c r="Q702" t="s">
        <v>2885</v>
      </c>
      <c r="R702" t="s">
        <v>2886</v>
      </c>
      <c r="S702" t="s">
        <v>2885</v>
      </c>
      <c r="T702" t="s">
        <v>2886</v>
      </c>
    </row>
    <row r="703" spans="1:20">
      <c r="A703" s="241">
        <v>44001</v>
      </c>
      <c r="B703" t="s">
        <v>4060</v>
      </c>
      <c r="C703" t="s">
        <v>671</v>
      </c>
      <c r="D703" t="s">
        <v>696</v>
      </c>
      <c r="E703" t="s">
        <v>2584</v>
      </c>
      <c r="F703" t="s">
        <v>926</v>
      </c>
      <c r="G703" t="s">
        <v>607</v>
      </c>
      <c r="H703" t="s">
        <v>618</v>
      </c>
      <c r="I703" t="s">
        <v>849</v>
      </c>
      <c r="J703" t="s">
        <v>1063</v>
      </c>
      <c r="K703" t="s">
        <v>1012</v>
      </c>
      <c r="L703">
        <v>0.86</v>
      </c>
      <c r="M703" t="s">
        <v>4061</v>
      </c>
      <c r="N703" t="s">
        <v>4062</v>
      </c>
      <c r="O703" t="s">
        <v>4063</v>
      </c>
      <c r="P703" t="s">
        <v>485</v>
      </c>
      <c r="Q703" t="s">
        <v>2885</v>
      </c>
      <c r="R703" t="s">
        <v>2886</v>
      </c>
      <c r="S703" t="s">
        <v>2885</v>
      </c>
      <c r="T703" t="s">
        <v>2886</v>
      </c>
    </row>
    <row r="704" spans="1:20">
      <c r="A704" s="241">
        <v>44001</v>
      </c>
      <c r="B704" t="s">
        <v>4064</v>
      </c>
      <c r="C704" t="s">
        <v>392</v>
      </c>
      <c r="D704" t="s">
        <v>392</v>
      </c>
      <c r="E704" t="s">
        <v>3006</v>
      </c>
      <c r="F704" t="s">
        <v>314</v>
      </c>
      <c r="G704" t="s">
        <v>315</v>
      </c>
      <c r="H704" t="s">
        <v>608</v>
      </c>
      <c r="I704" t="s">
        <v>308</v>
      </c>
      <c r="J704" t="s">
        <v>289</v>
      </c>
      <c r="K704" t="s">
        <v>524</v>
      </c>
      <c r="L704">
        <v>0.86</v>
      </c>
      <c r="M704" t="s">
        <v>4065</v>
      </c>
      <c r="N704" t="s">
        <v>4066</v>
      </c>
      <c r="O704" t="s">
        <v>4067</v>
      </c>
      <c r="P704" t="s">
        <v>485</v>
      </c>
      <c r="Q704" t="s">
        <v>2885</v>
      </c>
      <c r="R704" t="s">
        <v>2886</v>
      </c>
      <c r="S704" t="s">
        <v>2885</v>
      </c>
      <c r="T704" t="s">
        <v>2886</v>
      </c>
    </row>
    <row r="705" spans="1:20">
      <c r="A705" s="241">
        <v>44001</v>
      </c>
      <c r="B705" t="s">
        <v>4068</v>
      </c>
      <c r="C705" t="s">
        <v>2478</v>
      </c>
      <c r="D705" t="s">
        <v>443</v>
      </c>
      <c r="E705" t="s">
        <v>2870</v>
      </c>
      <c r="F705" t="s">
        <v>1511</v>
      </c>
      <c r="G705" t="s">
        <v>315</v>
      </c>
      <c r="H705" t="s">
        <v>876</v>
      </c>
      <c r="I705" t="s">
        <v>619</v>
      </c>
      <c r="J705" t="s">
        <v>857</v>
      </c>
      <c r="K705" t="s">
        <v>515</v>
      </c>
      <c r="L705">
        <v>0.86</v>
      </c>
      <c r="M705" t="s">
        <v>4069</v>
      </c>
      <c r="N705" t="s">
        <v>4070</v>
      </c>
      <c r="O705" t="s">
        <v>4071</v>
      </c>
      <c r="P705" t="s">
        <v>485</v>
      </c>
      <c r="Q705" t="s">
        <v>2885</v>
      </c>
      <c r="R705" t="s">
        <v>2886</v>
      </c>
      <c r="S705" t="s">
        <v>2885</v>
      </c>
      <c r="T705" t="s">
        <v>2886</v>
      </c>
    </row>
    <row r="706" spans="1:20">
      <c r="A706" s="241">
        <v>44001</v>
      </c>
      <c r="B706" t="s">
        <v>4072</v>
      </c>
      <c r="C706" t="s">
        <v>1079</v>
      </c>
      <c r="D706" t="s">
        <v>424</v>
      </c>
      <c r="E706" t="s">
        <v>2584</v>
      </c>
      <c r="F706" t="s">
        <v>1591</v>
      </c>
      <c r="G706" t="s">
        <v>1483</v>
      </c>
      <c r="H706" t="s">
        <v>876</v>
      </c>
      <c r="I706" t="s">
        <v>619</v>
      </c>
      <c r="J706" t="s">
        <v>857</v>
      </c>
      <c r="K706" t="s">
        <v>515</v>
      </c>
      <c r="L706">
        <v>0.86</v>
      </c>
      <c r="M706" t="s">
        <v>4073</v>
      </c>
      <c r="N706" t="s">
        <v>4074</v>
      </c>
      <c r="O706" t="s">
        <v>4075</v>
      </c>
      <c r="P706" t="s">
        <v>485</v>
      </c>
      <c r="Q706" t="s">
        <v>2885</v>
      </c>
      <c r="R706" t="s">
        <v>2886</v>
      </c>
      <c r="S706" t="s">
        <v>2885</v>
      </c>
      <c r="T706" t="s">
        <v>2886</v>
      </c>
    </row>
    <row r="707" spans="1:20">
      <c r="A707" s="241">
        <v>44001</v>
      </c>
      <c r="B707" t="s">
        <v>4076</v>
      </c>
      <c r="C707" t="s">
        <v>382</v>
      </c>
      <c r="D707" t="s">
        <v>343</v>
      </c>
      <c r="E707" t="s">
        <v>2893</v>
      </c>
      <c r="F707" t="s">
        <v>1591</v>
      </c>
      <c r="G707" t="s">
        <v>617</v>
      </c>
      <c r="H707" t="s">
        <v>876</v>
      </c>
      <c r="I707" t="s">
        <v>317</v>
      </c>
      <c r="J707" t="s">
        <v>309</v>
      </c>
      <c r="K707" t="s">
        <v>515</v>
      </c>
      <c r="L707">
        <v>0.86</v>
      </c>
      <c r="M707" t="s">
        <v>4077</v>
      </c>
      <c r="N707" t="s">
        <v>4078</v>
      </c>
      <c r="O707" t="s">
        <v>4079</v>
      </c>
      <c r="P707" t="s">
        <v>485</v>
      </c>
      <c r="Q707" t="s">
        <v>2885</v>
      </c>
      <c r="R707" t="s">
        <v>2886</v>
      </c>
      <c r="S707" t="s">
        <v>2885</v>
      </c>
      <c r="T707" t="s">
        <v>2886</v>
      </c>
    </row>
    <row r="708" spans="1:20">
      <c r="A708" s="241">
        <v>44001</v>
      </c>
      <c r="B708" t="s">
        <v>4080</v>
      </c>
      <c r="C708" t="s">
        <v>556</v>
      </c>
      <c r="D708" t="s">
        <v>443</v>
      </c>
      <c r="E708" t="s">
        <v>2731</v>
      </c>
      <c r="F708" t="s">
        <v>333</v>
      </c>
      <c r="G708" t="s">
        <v>617</v>
      </c>
      <c r="H708" t="s">
        <v>566</v>
      </c>
      <c r="I708" t="s">
        <v>1494</v>
      </c>
      <c r="J708" t="s">
        <v>870</v>
      </c>
      <c r="K708" t="s">
        <v>1032</v>
      </c>
      <c r="L708">
        <v>0.86</v>
      </c>
      <c r="M708" t="s">
        <v>4081</v>
      </c>
      <c r="N708" t="s">
        <v>4082</v>
      </c>
      <c r="O708" t="s">
        <v>4083</v>
      </c>
      <c r="P708" t="s">
        <v>485</v>
      </c>
      <c r="Q708" t="s">
        <v>2885</v>
      </c>
      <c r="R708" t="s">
        <v>2886</v>
      </c>
      <c r="S708" t="s">
        <v>2885</v>
      </c>
      <c r="T708" t="s">
        <v>2886</v>
      </c>
    </row>
    <row r="709" spans="1:20">
      <c r="A709" s="241">
        <v>44001</v>
      </c>
      <c r="B709" t="s">
        <v>4084</v>
      </c>
      <c r="C709" t="s">
        <v>250</v>
      </c>
      <c r="D709" t="s">
        <v>382</v>
      </c>
      <c r="E709" t="s">
        <v>2731</v>
      </c>
      <c r="F709" t="s">
        <v>639</v>
      </c>
      <c r="G709" t="s">
        <v>1104</v>
      </c>
      <c r="H709" t="s">
        <v>1756</v>
      </c>
      <c r="I709" t="s">
        <v>347</v>
      </c>
      <c r="J709" t="s">
        <v>1827</v>
      </c>
      <c r="K709" t="s">
        <v>1032</v>
      </c>
      <c r="L709">
        <v>0.86</v>
      </c>
      <c r="M709" t="s">
        <v>4085</v>
      </c>
      <c r="N709" t="s">
        <v>4086</v>
      </c>
      <c r="O709" t="s">
        <v>4087</v>
      </c>
      <c r="P709" t="s">
        <v>485</v>
      </c>
      <c r="Q709" t="s">
        <v>2885</v>
      </c>
      <c r="R709" t="s">
        <v>2886</v>
      </c>
      <c r="S709" t="s">
        <v>2885</v>
      </c>
      <c r="T709" t="s">
        <v>2886</v>
      </c>
    </row>
    <row r="710" spans="1:20">
      <c r="A710" s="241">
        <v>44001</v>
      </c>
      <c r="B710" t="s">
        <v>4088</v>
      </c>
      <c r="C710" t="s">
        <v>1079</v>
      </c>
      <c r="D710" t="s">
        <v>343</v>
      </c>
      <c r="E710" t="s">
        <v>3071</v>
      </c>
      <c r="F710" t="s">
        <v>633</v>
      </c>
      <c r="G710" t="s">
        <v>375</v>
      </c>
      <c r="H710" t="s">
        <v>1769</v>
      </c>
      <c r="I710" t="s">
        <v>325</v>
      </c>
      <c r="J710" t="s">
        <v>1092</v>
      </c>
      <c r="K710" t="s">
        <v>231</v>
      </c>
      <c r="L710">
        <v>0.86</v>
      </c>
      <c r="M710" t="s">
        <v>4089</v>
      </c>
      <c r="N710" t="s">
        <v>4090</v>
      </c>
      <c r="O710" t="s">
        <v>4091</v>
      </c>
      <c r="P710" t="s">
        <v>485</v>
      </c>
      <c r="Q710" t="s">
        <v>2885</v>
      </c>
      <c r="R710" t="s">
        <v>2886</v>
      </c>
      <c r="S710" t="s">
        <v>2885</v>
      </c>
      <c r="T710" t="s">
        <v>2886</v>
      </c>
    </row>
    <row r="711" spans="1:20">
      <c r="A711" s="241">
        <v>44001</v>
      </c>
      <c r="B711" t="s">
        <v>4092</v>
      </c>
      <c r="C711" t="s">
        <v>443</v>
      </c>
      <c r="D711" t="s">
        <v>250</v>
      </c>
      <c r="E711" t="s">
        <v>2880</v>
      </c>
      <c r="F711" t="s">
        <v>1561</v>
      </c>
      <c r="G711" t="s">
        <v>663</v>
      </c>
      <c r="H711" t="s">
        <v>616</v>
      </c>
      <c r="I711" t="s">
        <v>1523</v>
      </c>
      <c r="J711" t="s">
        <v>348</v>
      </c>
      <c r="K711" t="s">
        <v>231</v>
      </c>
      <c r="L711">
        <v>0.86</v>
      </c>
      <c r="M711" t="s">
        <v>4093</v>
      </c>
      <c r="N711" t="s">
        <v>4094</v>
      </c>
      <c r="O711" t="s">
        <v>4095</v>
      </c>
      <c r="P711" t="s">
        <v>485</v>
      </c>
      <c r="Q711" t="s">
        <v>2885</v>
      </c>
      <c r="R711" t="s">
        <v>2886</v>
      </c>
      <c r="S711" t="s">
        <v>2885</v>
      </c>
      <c r="T711" t="s">
        <v>2886</v>
      </c>
    </row>
    <row r="712" spans="1:20">
      <c r="A712" s="241">
        <v>44001</v>
      </c>
      <c r="B712" t="s">
        <v>4096</v>
      </c>
      <c r="C712" t="s">
        <v>402</v>
      </c>
      <c r="D712" t="s">
        <v>225</v>
      </c>
      <c r="E712" t="s">
        <v>1314</v>
      </c>
      <c r="F712" t="s">
        <v>393</v>
      </c>
      <c r="G712" t="s">
        <v>910</v>
      </c>
      <c r="H712" t="s">
        <v>1546</v>
      </c>
      <c r="I712" t="s">
        <v>674</v>
      </c>
      <c r="J712" t="s">
        <v>657</v>
      </c>
      <c r="K712" t="s">
        <v>244</v>
      </c>
      <c r="L712">
        <v>0.86</v>
      </c>
      <c r="M712" t="s">
        <v>4097</v>
      </c>
      <c r="N712" t="s">
        <v>4098</v>
      </c>
      <c r="O712" t="s">
        <v>4099</v>
      </c>
      <c r="P712" t="s">
        <v>485</v>
      </c>
      <c r="Q712" t="s">
        <v>2885</v>
      </c>
      <c r="R712" t="s">
        <v>2886</v>
      </c>
      <c r="S712" t="s">
        <v>2885</v>
      </c>
      <c r="T712" t="s">
        <v>2886</v>
      </c>
    </row>
    <row r="713" spans="1:20">
      <c r="A713" s="241">
        <v>44001</v>
      </c>
      <c r="B713" t="s">
        <v>4100</v>
      </c>
      <c r="C713" t="s">
        <v>2549</v>
      </c>
      <c r="D713" t="s">
        <v>382</v>
      </c>
      <c r="E713" t="s">
        <v>2870</v>
      </c>
      <c r="F713" t="s">
        <v>1541</v>
      </c>
      <c r="G713" t="s">
        <v>394</v>
      </c>
      <c r="H713" t="s">
        <v>285</v>
      </c>
      <c r="I713" t="s">
        <v>367</v>
      </c>
      <c r="J713" t="s">
        <v>1868</v>
      </c>
      <c r="K713" t="s">
        <v>579</v>
      </c>
      <c r="L713">
        <v>0.86</v>
      </c>
      <c r="M713" t="s">
        <v>4101</v>
      </c>
      <c r="N713" t="s">
        <v>4102</v>
      </c>
      <c r="O713" t="s">
        <v>4103</v>
      </c>
      <c r="P713" t="s">
        <v>485</v>
      </c>
      <c r="Q713" t="s">
        <v>2885</v>
      </c>
      <c r="R713" t="s">
        <v>2886</v>
      </c>
      <c r="S713" t="s">
        <v>2885</v>
      </c>
      <c r="T713" t="s">
        <v>2886</v>
      </c>
    </row>
    <row r="714" spans="1:20">
      <c r="A714" s="241">
        <v>44001</v>
      </c>
      <c r="B714" t="s">
        <v>4104</v>
      </c>
      <c r="C714" t="s">
        <v>250</v>
      </c>
      <c r="D714" t="s">
        <v>443</v>
      </c>
      <c r="E714" t="s">
        <v>2880</v>
      </c>
      <c r="F714" t="s">
        <v>1541</v>
      </c>
      <c r="G714" t="s">
        <v>673</v>
      </c>
      <c r="H714" t="s">
        <v>1291</v>
      </c>
      <c r="I714" t="s">
        <v>664</v>
      </c>
      <c r="J714" t="s">
        <v>650</v>
      </c>
      <c r="K714" t="s">
        <v>214</v>
      </c>
      <c r="L714">
        <v>0.86</v>
      </c>
      <c r="M714" t="s">
        <v>4105</v>
      </c>
      <c r="N714" t="s">
        <v>4106</v>
      </c>
      <c r="O714" t="s">
        <v>4107</v>
      </c>
      <c r="P714" t="s">
        <v>485</v>
      </c>
      <c r="Q714" t="s">
        <v>2885</v>
      </c>
      <c r="R714" t="s">
        <v>2886</v>
      </c>
      <c r="S714" t="s">
        <v>2885</v>
      </c>
      <c r="T714" t="s">
        <v>2886</v>
      </c>
    </row>
    <row r="715" spans="1:20">
      <c r="A715" s="241">
        <v>44001</v>
      </c>
      <c r="B715" t="s">
        <v>4108</v>
      </c>
      <c r="C715" t="s">
        <v>402</v>
      </c>
      <c r="D715" t="s">
        <v>382</v>
      </c>
      <c r="E715" t="s">
        <v>2932</v>
      </c>
      <c r="F715" t="s">
        <v>2206</v>
      </c>
      <c r="G715" t="s">
        <v>1585</v>
      </c>
      <c r="H715" t="s">
        <v>855</v>
      </c>
      <c r="I715" t="s">
        <v>1547</v>
      </c>
      <c r="J715" t="s">
        <v>1116</v>
      </c>
      <c r="K715" t="s">
        <v>571</v>
      </c>
      <c r="L715">
        <v>0.86</v>
      </c>
      <c r="M715" t="s">
        <v>4109</v>
      </c>
      <c r="N715" t="s">
        <v>4110</v>
      </c>
      <c r="O715" t="s">
        <v>4111</v>
      </c>
      <c r="P715" t="s">
        <v>485</v>
      </c>
      <c r="Q715" t="s">
        <v>2885</v>
      </c>
      <c r="R715" t="s">
        <v>2886</v>
      </c>
      <c r="S715" t="s">
        <v>2885</v>
      </c>
      <c r="T715" t="s">
        <v>2886</v>
      </c>
    </row>
    <row r="716" spans="1:20">
      <c r="A716" s="241">
        <v>44001</v>
      </c>
      <c r="B716" t="s">
        <v>4112</v>
      </c>
      <c r="C716" t="s">
        <v>382</v>
      </c>
      <c r="D716" t="s">
        <v>225</v>
      </c>
      <c r="E716" t="s">
        <v>2769</v>
      </c>
      <c r="F716" t="s">
        <v>1315</v>
      </c>
      <c r="G716" t="s">
        <v>681</v>
      </c>
      <c r="H716" t="s">
        <v>295</v>
      </c>
      <c r="I716" t="s">
        <v>386</v>
      </c>
      <c r="J716" t="s">
        <v>665</v>
      </c>
      <c r="K716" t="s">
        <v>579</v>
      </c>
      <c r="L716">
        <v>0.86</v>
      </c>
      <c r="M716" t="s">
        <v>4113</v>
      </c>
      <c r="N716" t="s">
        <v>4114</v>
      </c>
      <c r="O716" t="s">
        <v>4115</v>
      </c>
      <c r="P716" t="s">
        <v>485</v>
      </c>
      <c r="Q716" t="s">
        <v>2885</v>
      </c>
      <c r="R716" t="s">
        <v>2886</v>
      </c>
      <c r="S716" t="s">
        <v>2885</v>
      </c>
      <c r="T716" t="s">
        <v>2886</v>
      </c>
    </row>
    <row r="717" spans="1:20">
      <c r="A717" s="241">
        <v>44001</v>
      </c>
      <c r="B717" t="s">
        <v>4116</v>
      </c>
      <c r="C717" t="s">
        <v>671</v>
      </c>
      <c r="D717" t="s">
        <v>556</v>
      </c>
      <c r="E717" t="s">
        <v>2870</v>
      </c>
      <c r="F717" t="s">
        <v>393</v>
      </c>
      <c r="G717" t="s">
        <v>1610</v>
      </c>
      <c r="H717" t="s">
        <v>682</v>
      </c>
      <c r="I717" t="s">
        <v>1134</v>
      </c>
      <c r="J717" t="s">
        <v>377</v>
      </c>
      <c r="K717" t="s">
        <v>579</v>
      </c>
      <c r="L717">
        <v>0.86</v>
      </c>
      <c r="M717" t="s">
        <v>4117</v>
      </c>
      <c r="N717" t="s">
        <v>4118</v>
      </c>
      <c r="O717" t="s">
        <v>4119</v>
      </c>
      <c r="P717" t="s">
        <v>485</v>
      </c>
      <c r="Q717" t="s">
        <v>2885</v>
      </c>
      <c r="R717" t="s">
        <v>2886</v>
      </c>
      <c r="S717" t="s">
        <v>2885</v>
      </c>
      <c r="T717" t="s">
        <v>2886</v>
      </c>
    </row>
    <row r="718" spans="1:20">
      <c r="A718" s="241">
        <v>44001</v>
      </c>
      <c r="B718" t="s">
        <v>4120</v>
      </c>
      <c r="C718" t="s">
        <v>208</v>
      </c>
      <c r="D718" t="s">
        <v>424</v>
      </c>
      <c r="E718" t="s">
        <v>2584</v>
      </c>
      <c r="F718" t="s">
        <v>952</v>
      </c>
      <c r="G718" t="s">
        <v>1936</v>
      </c>
      <c r="H718" t="s">
        <v>405</v>
      </c>
      <c r="I718" t="s">
        <v>690</v>
      </c>
      <c r="J718" t="s">
        <v>1298</v>
      </c>
      <c r="K718" t="s">
        <v>268</v>
      </c>
      <c r="L718">
        <v>0.86</v>
      </c>
      <c r="M718" t="s">
        <v>4121</v>
      </c>
      <c r="N718" t="s">
        <v>4122</v>
      </c>
      <c r="O718" t="s">
        <v>4123</v>
      </c>
      <c r="P718" t="s">
        <v>485</v>
      </c>
      <c r="Q718" t="s">
        <v>2885</v>
      </c>
      <c r="R718" t="s">
        <v>2886</v>
      </c>
      <c r="S718" t="s">
        <v>2885</v>
      </c>
      <c r="T718" t="s">
        <v>2886</v>
      </c>
    </row>
    <row r="719" spans="1:20">
      <c r="A719" s="241">
        <v>44001</v>
      </c>
      <c r="B719" t="s">
        <v>4124</v>
      </c>
      <c r="C719" t="s">
        <v>2549</v>
      </c>
      <c r="D719" t="s">
        <v>556</v>
      </c>
      <c r="E719" t="s">
        <v>2769</v>
      </c>
      <c r="F719" t="s">
        <v>403</v>
      </c>
      <c r="G719" t="s">
        <v>697</v>
      </c>
      <c r="H719" t="s">
        <v>706</v>
      </c>
      <c r="I719" t="s">
        <v>1134</v>
      </c>
      <c r="J719" t="s">
        <v>1128</v>
      </c>
      <c r="K719" t="s">
        <v>256</v>
      </c>
      <c r="L719">
        <v>0.86</v>
      </c>
      <c r="M719" t="s">
        <v>4125</v>
      </c>
      <c r="N719" t="s">
        <v>4126</v>
      </c>
      <c r="O719" t="s">
        <v>4127</v>
      </c>
      <c r="P719" t="s">
        <v>485</v>
      </c>
      <c r="Q719" t="s">
        <v>2885</v>
      </c>
      <c r="R719" t="s">
        <v>2886</v>
      </c>
      <c r="S719" t="s">
        <v>2885</v>
      </c>
      <c r="T719" t="s">
        <v>2886</v>
      </c>
    </row>
    <row r="720" spans="1:20">
      <c r="A720" s="241">
        <v>44001</v>
      </c>
      <c r="B720" t="s">
        <v>4128</v>
      </c>
      <c r="C720" t="s">
        <v>443</v>
      </c>
      <c r="D720" t="s">
        <v>250</v>
      </c>
      <c r="E720" t="s">
        <v>2875</v>
      </c>
      <c r="F720" t="s">
        <v>1951</v>
      </c>
      <c r="G720" t="s">
        <v>925</v>
      </c>
      <c r="H720" t="s">
        <v>1493</v>
      </c>
      <c r="I720" t="s">
        <v>1923</v>
      </c>
      <c r="J720" t="s">
        <v>699</v>
      </c>
      <c r="K720" t="s">
        <v>268</v>
      </c>
      <c r="L720">
        <v>0.86</v>
      </c>
      <c r="M720" t="s">
        <v>4129</v>
      </c>
      <c r="N720" t="s">
        <v>4130</v>
      </c>
      <c r="O720" t="s">
        <v>4131</v>
      </c>
      <c r="P720" t="s">
        <v>485</v>
      </c>
      <c r="Q720" t="s">
        <v>2885</v>
      </c>
      <c r="R720" t="s">
        <v>2886</v>
      </c>
      <c r="S720" t="s">
        <v>2885</v>
      </c>
      <c r="T720" t="s">
        <v>2886</v>
      </c>
    </row>
    <row r="721" spans="1:20">
      <c r="A721" s="241">
        <v>44001</v>
      </c>
      <c r="B721" t="s">
        <v>4132</v>
      </c>
      <c r="C721" t="s">
        <v>402</v>
      </c>
      <c r="D721" t="s">
        <v>424</v>
      </c>
      <c r="E721" t="s">
        <v>3071</v>
      </c>
      <c r="F721" t="s">
        <v>4133</v>
      </c>
      <c r="G721" t="s">
        <v>1324</v>
      </c>
      <c r="H721" t="s">
        <v>713</v>
      </c>
      <c r="I721" t="s">
        <v>416</v>
      </c>
      <c r="J721" t="s">
        <v>699</v>
      </c>
      <c r="K721" t="s">
        <v>299</v>
      </c>
      <c r="L721">
        <v>0.86</v>
      </c>
      <c r="M721" t="s">
        <v>4134</v>
      </c>
      <c r="N721" t="s">
        <v>4135</v>
      </c>
      <c r="O721" t="s">
        <v>4136</v>
      </c>
      <c r="P721" t="s">
        <v>485</v>
      </c>
      <c r="Q721" t="s">
        <v>2885</v>
      </c>
      <c r="R721" t="s">
        <v>2886</v>
      </c>
      <c r="S721" t="s">
        <v>2885</v>
      </c>
      <c r="T721" t="s">
        <v>2886</v>
      </c>
    </row>
    <row r="722" spans="1:20">
      <c r="A722" s="241">
        <v>44001</v>
      </c>
      <c r="B722" t="s">
        <v>4137</v>
      </c>
      <c r="C722" t="s">
        <v>2549</v>
      </c>
      <c r="D722" t="s">
        <v>402</v>
      </c>
      <c r="E722" t="s">
        <v>2893</v>
      </c>
      <c r="F722" t="s">
        <v>3086</v>
      </c>
      <c r="G722" t="s">
        <v>1324</v>
      </c>
      <c r="H722" t="s">
        <v>445</v>
      </c>
      <c r="I722" t="s">
        <v>939</v>
      </c>
      <c r="J722" t="s">
        <v>407</v>
      </c>
      <c r="K722" t="s">
        <v>280</v>
      </c>
      <c r="L722">
        <v>0.86</v>
      </c>
      <c r="M722" t="s">
        <v>4138</v>
      </c>
      <c r="N722" t="s">
        <v>4139</v>
      </c>
      <c r="O722" t="s">
        <v>4140</v>
      </c>
      <c r="P722" t="s">
        <v>485</v>
      </c>
      <c r="Q722" t="s">
        <v>2885</v>
      </c>
      <c r="R722" t="s">
        <v>2886</v>
      </c>
      <c r="S722" t="s">
        <v>2885</v>
      </c>
      <c r="T722" t="s">
        <v>2886</v>
      </c>
    </row>
    <row r="723" spans="1:20">
      <c r="A723" s="241">
        <v>44001</v>
      </c>
      <c r="B723" t="s">
        <v>4141</v>
      </c>
      <c r="C723" t="s">
        <v>2549</v>
      </c>
      <c r="D723" t="s">
        <v>238</v>
      </c>
      <c r="E723" t="s">
        <v>2870</v>
      </c>
      <c r="F723" t="s">
        <v>3477</v>
      </c>
      <c r="G723" t="s">
        <v>2617</v>
      </c>
      <c r="H723" t="s">
        <v>662</v>
      </c>
      <c r="I723" t="s">
        <v>455</v>
      </c>
      <c r="J723" t="s">
        <v>1159</v>
      </c>
      <c r="K723" t="s">
        <v>280</v>
      </c>
      <c r="L723">
        <v>0.86</v>
      </c>
      <c r="M723" t="s">
        <v>4142</v>
      </c>
      <c r="N723" t="s">
        <v>4143</v>
      </c>
      <c r="O723" t="s">
        <v>4144</v>
      </c>
      <c r="P723" t="s">
        <v>485</v>
      </c>
      <c r="Q723" t="s">
        <v>2885</v>
      </c>
      <c r="R723" t="s">
        <v>2886</v>
      </c>
      <c r="S723" t="s">
        <v>2885</v>
      </c>
      <c r="T723" t="s">
        <v>2886</v>
      </c>
    </row>
    <row r="724" spans="1:20">
      <c r="A724" s="241">
        <v>44001</v>
      </c>
      <c r="B724" t="s">
        <v>4145</v>
      </c>
      <c r="C724" t="s">
        <v>208</v>
      </c>
      <c r="D724" t="s">
        <v>249</v>
      </c>
      <c r="E724" t="s">
        <v>632</v>
      </c>
      <c r="F724" t="s">
        <v>4146</v>
      </c>
      <c r="G724" t="s">
        <v>566</v>
      </c>
      <c r="H724" t="s">
        <v>464</v>
      </c>
      <c r="I724" t="s">
        <v>4147</v>
      </c>
      <c r="J724" t="s">
        <v>4148</v>
      </c>
      <c r="K724" t="s">
        <v>4149</v>
      </c>
      <c r="L724">
        <v>0.88</v>
      </c>
      <c r="M724" t="s">
        <v>4150</v>
      </c>
      <c r="N724" t="s">
        <v>4151</v>
      </c>
      <c r="O724" t="s">
        <v>4152</v>
      </c>
      <c r="P724" t="s">
        <v>485</v>
      </c>
      <c r="Q724" t="s">
        <v>2885</v>
      </c>
      <c r="R724" t="s">
        <v>2886</v>
      </c>
      <c r="S724" t="s">
        <v>2885</v>
      </c>
      <c r="T724" t="s">
        <v>2886</v>
      </c>
    </row>
    <row r="725" spans="1:20">
      <c r="A725" s="241">
        <v>44001</v>
      </c>
      <c r="B725" t="s">
        <v>4153</v>
      </c>
      <c r="C725" t="s">
        <v>2821</v>
      </c>
      <c r="D725" t="s">
        <v>1666</v>
      </c>
      <c r="E725" t="s">
        <v>679</v>
      </c>
      <c r="F725" t="s">
        <v>464</v>
      </c>
      <c r="G725" t="s">
        <v>2432</v>
      </c>
      <c r="H725" t="s">
        <v>466</v>
      </c>
      <c r="I725" t="s">
        <v>4154</v>
      </c>
      <c r="J725" t="s">
        <v>4155</v>
      </c>
      <c r="K725" t="s">
        <v>481</v>
      </c>
      <c r="L725">
        <v>0.89</v>
      </c>
      <c r="M725" t="s">
        <v>4156</v>
      </c>
      <c r="N725" t="s">
        <v>4157</v>
      </c>
      <c r="O725" t="s">
        <v>4158</v>
      </c>
      <c r="P725" t="s">
        <v>485</v>
      </c>
      <c r="Q725" t="s">
        <v>2885</v>
      </c>
      <c r="R725" t="s">
        <v>2886</v>
      </c>
      <c r="S725" t="s">
        <v>2885</v>
      </c>
      <c r="T725" t="s">
        <v>2886</v>
      </c>
    </row>
    <row r="726" spans="1:20">
      <c r="A726" s="241">
        <v>44001</v>
      </c>
      <c r="B726" t="s">
        <v>4159</v>
      </c>
      <c r="C726" t="s">
        <v>2811</v>
      </c>
      <c r="D726" t="s">
        <v>1367</v>
      </c>
      <c r="E726" t="s">
        <v>615</v>
      </c>
      <c r="F726" t="s">
        <v>3680</v>
      </c>
      <c r="G726" t="s">
        <v>3826</v>
      </c>
      <c r="H726" t="s">
        <v>1969</v>
      </c>
      <c r="I726" t="s">
        <v>3970</v>
      </c>
      <c r="J726" t="s">
        <v>4160</v>
      </c>
      <c r="K726" t="s">
        <v>4161</v>
      </c>
      <c r="L726">
        <v>0.89</v>
      </c>
      <c r="M726" t="s">
        <v>4162</v>
      </c>
      <c r="N726" t="s">
        <v>4163</v>
      </c>
      <c r="O726" t="s">
        <v>4164</v>
      </c>
      <c r="P726" t="s">
        <v>485</v>
      </c>
      <c r="Q726" t="s">
        <v>2885</v>
      </c>
      <c r="R726" t="s">
        <v>2886</v>
      </c>
      <c r="S726" t="s">
        <v>2885</v>
      </c>
      <c r="T726" t="s">
        <v>2886</v>
      </c>
    </row>
    <row r="727" spans="1:20">
      <c r="A727" s="241">
        <v>44001</v>
      </c>
      <c r="B727" t="s">
        <v>4165</v>
      </c>
      <c r="C727" t="s">
        <v>3831</v>
      </c>
      <c r="D727" t="s">
        <v>3669</v>
      </c>
      <c r="E727" t="s">
        <v>294</v>
      </c>
      <c r="F727" t="s">
        <v>3832</v>
      </c>
      <c r="G727" t="s">
        <v>1977</v>
      </c>
      <c r="H727" t="s">
        <v>3833</v>
      </c>
      <c r="I727" t="s">
        <v>492</v>
      </c>
      <c r="J727" t="s">
        <v>1208</v>
      </c>
      <c r="K727" t="s">
        <v>771</v>
      </c>
      <c r="L727">
        <v>0.89</v>
      </c>
      <c r="M727" t="s">
        <v>4166</v>
      </c>
      <c r="N727" t="s">
        <v>4167</v>
      </c>
      <c r="O727" t="s">
        <v>4168</v>
      </c>
      <c r="P727" t="s">
        <v>485</v>
      </c>
      <c r="Q727" t="s">
        <v>2885</v>
      </c>
      <c r="R727" t="s">
        <v>2886</v>
      </c>
      <c r="S727" t="s">
        <v>2885</v>
      </c>
      <c r="T727" t="s">
        <v>2886</v>
      </c>
    </row>
    <row r="728" spans="1:20">
      <c r="A728" s="241">
        <v>44001</v>
      </c>
      <c r="B728" t="s">
        <v>4169</v>
      </c>
      <c r="C728" t="s">
        <v>1139</v>
      </c>
      <c r="D728" t="s">
        <v>2549</v>
      </c>
      <c r="E728" t="s">
        <v>2888</v>
      </c>
      <c r="F728" t="s">
        <v>2315</v>
      </c>
      <c r="G728" t="s">
        <v>4170</v>
      </c>
      <c r="H728" t="s">
        <v>2663</v>
      </c>
      <c r="I728" t="s">
        <v>4171</v>
      </c>
      <c r="J728" t="s">
        <v>3530</v>
      </c>
      <c r="K728" t="s">
        <v>4172</v>
      </c>
      <c r="L728">
        <v>0.86</v>
      </c>
      <c r="M728" t="s">
        <v>4173</v>
      </c>
      <c r="N728" t="s">
        <v>4174</v>
      </c>
      <c r="O728" t="s">
        <v>4175</v>
      </c>
      <c r="P728" t="s">
        <v>485</v>
      </c>
      <c r="Q728" t="s">
        <v>2885</v>
      </c>
      <c r="R728" t="s">
        <v>2886</v>
      </c>
      <c r="S728" t="s">
        <v>2885</v>
      </c>
      <c r="T728" t="s">
        <v>2886</v>
      </c>
    </row>
    <row r="729" spans="1:20">
      <c r="A729" s="241">
        <v>44001</v>
      </c>
      <c r="B729" t="s">
        <v>4176</v>
      </c>
      <c r="C729" t="s">
        <v>392</v>
      </c>
      <c r="D729" t="s">
        <v>443</v>
      </c>
      <c r="E729" t="s">
        <v>3006</v>
      </c>
      <c r="F729" t="s">
        <v>209</v>
      </c>
      <c r="G729" t="s">
        <v>777</v>
      </c>
      <c r="H729" t="s">
        <v>2663</v>
      </c>
      <c r="I729" t="s">
        <v>1391</v>
      </c>
      <c r="J729" t="s">
        <v>1681</v>
      </c>
      <c r="K729" t="s">
        <v>4177</v>
      </c>
      <c r="L729">
        <v>0.86</v>
      </c>
      <c r="M729" t="s">
        <v>4178</v>
      </c>
      <c r="N729" t="s">
        <v>4179</v>
      </c>
      <c r="O729" t="s">
        <v>4180</v>
      </c>
      <c r="P729" t="s">
        <v>485</v>
      </c>
      <c r="Q729" t="s">
        <v>2885</v>
      </c>
      <c r="R729" t="s">
        <v>2886</v>
      </c>
      <c r="S729" t="s">
        <v>2885</v>
      </c>
      <c r="T729" t="s">
        <v>2886</v>
      </c>
    </row>
    <row r="730" spans="1:20">
      <c r="A730" s="241">
        <v>44001</v>
      </c>
      <c r="B730" t="s">
        <v>4181</v>
      </c>
      <c r="C730" t="s">
        <v>631</v>
      </c>
      <c r="D730" t="s">
        <v>2549</v>
      </c>
      <c r="E730" t="s">
        <v>2893</v>
      </c>
      <c r="F730" t="s">
        <v>539</v>
      </c>
      <c r="G730" t="s">
        <v>1025</v>
      </c>
      <c r="H730" t="s">
        <v>3999</v>
      </c>
      <c r="I730" t="s">
        <v>1019</v>
      </c>
      <c r="J730" t="s">
        <v>1011</v>
      </c>
      <c r="K730" t="s">
        <v>781</v>
      </c>
      <c r="L730">
        <v>0.86</v>
      </c>
      <c r="M730" t="s">
        <v>4182</v>
      </c>
      <c r="N730" t="s">
        <v>4183</v>
      </c>
      <c r="O730" t="s">
        <v>4184</v>
      </c>
      <c r="P730" t="s">
        <v>485</v>
      </c>
      <c r="Q730" t="s">
        <v>2885</v>
      </c>
      <c r="R730" t="s">
        <v>2886</v>
      </c>
      <c r="S730" t="s">
        <v>2885</v>
      </c>
      <c r="T730" t="s">
        <v>2886</v>
      </c>
    </row>
    <row r="731" spans="1:20">
      <c r="A731" s="241">
        <v>44001</v>
      </c>
      <c r="B731" t="s">
        <v>4185</v>
      </c>
      <c r="C731" t="s">
        <v>1079</v>
      </c>
      <c r="D731" t="s">
        <v>2549</v>
      </c>
      <c r="E731" t="s">
        <v>2769</v>
      </c>
      <c r="F731" t="s">
        <v>239</v>
      </c>
      <c r="G731" t="s">
        <v>792</v>
      </c>
      <c r="H731" t="s">
        <v>1404</v>
      </c>
      <c r="I731" t="s">
        <v>793</v>
      </c>
      <c r="J731" t="s">
        <v>1020</v>
      </c>
      <c r="K731" t="s">
        <v>781</v>
      </c>
      <c r="L731">
        <v>0.86</v>
      </c>
      <c r="M731" t="s">
        <v>4186</v>
      </c>
      <c r="N731" t="s">
        <v>4187</v>
      </c>
      <c r="O731" t="s">
        <v>4188</v>
      </c>
      <c r="P731" t="s">
        <v>485</v>
      </c>
      <c r="Q731" t="s">
        <v>2885</v>
      </c>
      <c r="R731" t="s">
        <v>2886</v>
      </c>
      <c r="S731" t="s">
        <v>2885</v>
      </c>
      <c r="T731" t="s">
        <v>2886</v>
      </c>
    </row>
    <row r="732" spans="1:20">
      <c r="A732" s="241">
        <v>44001</v>
      </c>
      <c r="B732" t="s">
        <v>4189</v>
      </c>
      <c r="C732" t="s">
        <v>2478</v>
      </c>
      <c r="D732" t="s">
        <v>424</v>
      </c>
      <c r="E732" t="s">
        <v>3054</v>
      </c>
      <c r="F732" t="s">
        <v>335</v>
      </c>
      <c r="G732" t="s">
        <v>2075</v>
      </c>
      <c r="H732" t="s">
        <v>823</v>
      </c>
      <c r="I732" t="s">
        <v>1427</v>
      </c>
      <c r="J732" t="s">
        <v>1233</v>
      </c>
      <c r="K732" t="s">
        <v>3162</v>
      </c>
      <c r="L732">
        <v>0.86</v>
      </c>
      <c r="M732" t="s">
        <v>4190</v>
      </c>
      <c r="N732" t="s">
        <v>4191</v>
      </c>
      <c r="O732" t="s">
        <v>4192</v>
      </c>
      <c r="P732" t="s">
        <v>485</v>
      </c>
      <c r="Q732" t="s">
        <v>2885</v>
      </c>
      <c r="R732" t="s">
        <v>2886</v>
      </c>
      <c r="S732" t="s">
        <v>2885</v>
      </c>
      <c r="T732" t="s">
        <v>2886</v>
      </c>
    </row>
    <row r="733" spans="1:20">
      <c r="A733" s="241">
        <v>44001</v>
      </c>
      <c r="B733" t="s">
        <v>4193</v>
      </c>
      <c r="C733" t="s">
        <v>392</v>
      </c>
      <c r="D733" t="s">
        <v>2535</v>
      </c>
      <c r="E733" t="s">
        <v>2870</v>
      </c>
      <c r="F733" t="s">
        <v>1255</v>
      </c>
      <c r="G733" t="s">
        <v>210</v>
      </c>
      <c r="H733" t="s">
        <v>559</v>
      </c>
      <c r="I733" t="s">
        <v>1421</v>
      </c>
      <c r="J733" t="s">
        <v>533</v>
      </c>
      <c r="K733" t="s">
        <v>781</v>
      </c>
      <c r="L733">
        <v>0.86</v>
      </c>
      <c r="M733" t="s">
        <v>4194</v>
      </c>
      <c r="N733" t="s">
        <v>4195</v>
      </c>
      <c r="O733" t="s">
        <v>4196</v>
      </c>
      <c r="P733" t="s">
        <v>485</v>
      </c>
      <c r="Q733" t="s">
        <v>2885</v>
      </c>
      <c r="R733" t="s">
        <v>2886</v>
      </c>
      <c r="S733" t="s">
        <v>2885</v>
      </c>
      <c r="T733" t="s">
        <v>2886</v>
      </c>
    </row>
    <row r="734" spans="1:20">
      <c r="A734" s="241">
        <v>44001</v>
      </c>
      <c r="B734" t="s">
        <v>4197</v>
      </c>
      <c r="C734" t="s">
        <v>402</v>
      </c>
      <c r="D734" t="s">
        <v>208</v>
      </c>
      <c r="E734" t="s">
        <v>2932</v>
      </c>
      <c r="F734" t="s">
        <v>1467</v>
      </c>
      <c r="G734" t="s">
        <v>1781</v>
      </c>
      <c r="H734" t="s">
        <v>316</v>
      </c>
      <c r="I734" t="s">
        <v>278</v>
      </c>
      <c r="J734" t="s">
        <v>570</v>
      </c>
      <c r="K734" t="s">
        <v>1399</v>
      </c>
      <c r="L734">
        <v>0.86</v>
      </c>
      <c r="M734" t="s">
        <v>4198</v>
      </c>
      <c r="N734" t="s">
        <v>4199</v>
      </c>
      <c r="O734" t="s">
        <v>4200</v>
      </c>
      <c r="P734" t="s">
        <v>485</v>
      </c>
      <c r="Q734" t="s">
        <v>2885</v>
      </c>
      <c r="R734" t="s">
        <v>2886</v>
      </c>
      <c r="S734" t="s">
        <v>2885</v>
      </c>
      <c r="T734" t="s">
        <v>2886</v>
      </c>
    </row>
    <row r="735" spans="1:20">
      <c r="A735" s="241">
        <v>44001</v>
      </c>
      <c r="B735" t="s">
        <v>4201</v>
      </c>
      <c r="C735" t="s">
        <v>343</v>
      </c>
      <c r="D735" t="s">
        <v>402</v>
      </c>
      <c r="E735" t="s">
        <v>1314</v>
      </c>
      <c r="F735" t="s">
        <v>713</v>
      </c>
      <c r="G735" t="s">
        <v>875</v>
      </c>
      <c r="H735" t="s">
        <v>584</v>
      </c>
      <c r="I735" t="s">
        <v>869</v>
      </c>
      <c r="J735" t="s">
        <v>1812</v>
      </c>
      <c r="K735" t="s">
        <v>534</v>
      </c>
      <c r="L735">
        <v>0.86</v>
      </c>
      <c r="M735" t="s">
        <v>4202</v>
      </c>
      <c r="N735" t="s">
        <v>4203</v>
      </c>
      <c r="O735" t="s">
        <v>4204</v>
      </c>
      <c r="P735" t="s">
        <v>485</v>
      </c>
      <c r="Q735" t="s">
        <v>2885</v>
      </c>
      <c r="R735" t="s">
        <v>2886</v>
      </c>
      <c r="S735" t="s">
        <v>2885</v>
      </c>
      <c r="T735" t="s">
        <v>2886</v>
      </c>
    </row>
    <row r="736" spans="1:20">
      <c r="A736" s="241">
        <v>44001</v>
      </c>
      <c r="B736" t="s">
        <v>4205</v>
      </c>
      <c r="C736" t="s">
        <v>208</v>
      </c>
      <c r="D736" t="s">
        <v>443</v>
      </c>
      <c r="E736" t="s">
        <v>2731</v>
      </c>
      <c r="F736" t="s">
        <v>713</v>
      </c>
      <c r="G736" t="s">
        <v>875</v>
      </c>
      <c r="H736" t="s">
        <v>876</v>
      </c>
      <c r="I736" t="s">
        <v>1087</v>
      </c>
      <c r="J736" t="s">
        <v>1484</v>
      </c>
      <c r="K736" t="s">
        <v>571</v>
      </c>
      <c r="L736">
        <v>0.86</v>
      </c>
      <c r="M736" t="s">
        <v>4206</v>
      </c>
      <c r="N736" t="s">
        <v>4207</v>
      </c>
      <c r="O736" t="s">
        <v>4208</v>
      </c>
      <c r="P736" t="s">
        <v>485</v>
      </c>
      <c r="Q736" t="s">
        <v>2885</v>
      </c>
      <c r="R736" t="s">
        <v>2886</v>
      </c>
      <c r="S736" t="s">
        <v>2885</v>
      </c>
      <c r="T736" t="s">
        <v>2886</v>
      </c>
    </row>
    <row r="737" spans="1:20">
      <c r="A737" s="241">
        <v>44001</v>
      </c>
      <c r="B737" t="s">
        <v>4209</v>
      </c>
      <c r="C737" t="s">
        <v>2478</v>
      </c>
      <c r="D737" t="s">
        <v>556</v>
      </c>
      <c r="E737" t="s">
        <v>2769</v>
      </c>
      <c r="F737" t="s">
        <v>445</v>
      </c>
      <c r="G737" t="s">
        <v>591</v>
      </c>
      <c r="H737" t="s">
        <v>566</v>
      </c>
      <c r="I737" t="s">
        <v>317</v>
      </c>
      <c r="J737" t="s">
        <v>309</v>
      </c>
      <c r="K737" t="s">
        <v>534</v>
      </c>
      <c r="L737">
        <v>0.86</v>
      </c>
      <c r="M737" t="s">
        <v>4210</v>
      </c>
      <c r="N737" t="s">
        <v>4211</v>
      </c>
      <c r="O737" t="s">
        <v>4212</v>
      </c>
      <c r="P737" t="s">
        <v>485</v>
      </c>
      <c r="Q737" t="s">
        <v>2885</v>
      </c>
      <c r="R737" t="s">
        <v>2886</v>
      </c>
      <c r="S737" t="s">
        <v>2885</v>
      </c>
      <c r="T737" t="s">
        <v>2886</v>
      </c>
    </row>
    <row r="738" spans="1:20">
      <c r="A738" s="241">
        <v>44001</v>
      </c>
      <c r="B738" t="s">
        <v>4213</v>
      </c>
      <c r="C738" t="s">
        <v>392</v>
      </c>
      <c r="D738" t="s">
        <v>343</v>
      </c>
      <c r="E738" t="s">
        <v>3054</v>
      </c>
      <c r="F738" t="s">
        <v>333</v>
      </c>
      <c r="G738" t="s">
        <v>1292</v>
      </c>
      <c r="H738" t="s">
        <v>876</v>
      </c>
      <c r="I738" t="s">
        <v>1842</v>
      </c>
      <c r="J738" t="s">
        <v>1484</v>
      </c>
      <c r="K738" t="s">
        <v>524</v>
      </c>
      <c r="L738">
        <v>0.86</v>
      </c>
      <c r="M738" t="s">
        <v>4214</v>
      </c>
      <c r="N738" t="s">
        <v>4215</v>
      </c>
      <c r="O738" t="s">
        <v>4216</v>
      </c>
      <c r="P738" t="s">
        <v>485</v>
      </c>
      <c r="Q738" t="s">
        <v>2885</v>
      </c>
      <c r="R738" t="s">
        <v>2886</v>
      </c>
      <c r="S738" t="s">
        <v>2885</v>
      </c>
      <c r="T738" t="s">
        <v>2886</v>
      </c>
    </row>
    <row r="739" spans="1:20">
      <c r="A739" s="241">
        <v>44001</v>
      </c>
      <c r="B739" t="s">
        <v>4217</v>
      </c>
      <c r="C739" t="s">
        <v>2478</v>
      </c>
      <c r="D739" t="s">
        <v>382</v>
      </c>
      <c r="E739" t="s">
        <v>2875</v>
      </c>
      <c r="F739" t="s">
        <v>1493</v>
      </c>
      <c r="G739" t="s">
        <v>1500</v>
      </c>
      <c r="H739" t="s">
        <v>813</v>
      </c>
      <c r="I739" t="s">
        <v>1087</v>
      </c>
      <c r="J739" t="s">
        <v>309</v>
      </c>
      <c r="K739" t="s">
        <v>534</v>
      </c>
      <c r="L739">
        <v>0.86</v>
      </c>
      <c r="M739" t="s">
        <v>4218</v>
      </c>
      <c r="N739" t="s">
        <v>4219</v>
      </c>
      <c r="O739" t="s">
        <v>4220</v>
      </c>
      <c r="P739" t="s">
        <v>485</v>
      </c>
      <c r="Q739" t="s">
        <v>2885</v>
      </c>
      <c r="R739" t="s">
        <v>2886</v>
      </c>
      <c r="S739" t="s">
        <v>2885</v>
      </c>
      <c r="T739" t="s">
        <v>2886</v>
      </c>
    </row>
    <row r="740" spans="1:20">
      <c r="A740" s="241">
        <v>44001</v>
      </c>
      <c r="B740" t="s">
        <v>4221</v>
      </c>
      <c r="C740" t="s">
        <v>1139</v>
      </c>
      <c r="D740" t="s">
        <v>556</v>
      </c>
      <c r="E740" t="s">
        <v>2888</v>
      </c>
      <c r="F740" t="s">
        <v>445</v>
      </c>
      <c r="G740" t="s">
        <v>2764</v>
      </c>
      <c r="H740" t="s">
        <v>868</v>
      </c>
      <c r="I740" t="s">
        <v>1501</v>
      </c>
      <c r="J740" t="s">
        <v>1812</v>
      </c>
      <c r="K740" t="s">
        <v>524</v>
      </c>
      <c r="L740">
        <v>0.86</v>
      </c>
      <c r="M740" t="s">
        <v>4222</v>
      </c>
      <c r="N740" t="s">
        <v>4223</v>
      </c>
      <c r="O740" t="s">
        <v>4224</v>
      </c>
      <c r="P740" t="s">
        <v>485</v>
      </c>
      <c r="Q740" t="s">
        <v>2885</v>
      </c>
      <c r="R740" t="s">
        <v>2886</v>
      </c>
      <c r="S740" t="s">
        <v>2885</v>
      </c>
      <c r="T740" t="s">
        <v>2886</v>
      </c>
    </row>
    <row r="741" spans="1:20">
      <c r="A741" s="241">
        <v>44001</v>
      </c>
      <c r="B741" t="s">
        <v>4225</v>
      </c>
      <c r="C741" t="s">
        <v>208</v>
      </c>
      <c r="D741" t="s">
        <v>402</v>
      </c>
      <c r="E741" t="s">
        <v>2769</v>
      </c>
      <c r="F741" t="s">
        <v>435</v>
      </c>
      <c r="G741" t="s">
        <v>1841</v>
      </c>
      <c r="H741" t="s">
        <v>356</v>
      </c>
      <c r="I741" t="s">
        <v>1842</v>
      </c>
      <c r="J741" t="s">
        <v>620</v>
      </c>
      <c r="K741" t="s">
        <v>534</v>
      </c>
      <c r="L741">
        <v>0.86</v>
      </c>
      <c r="M741" t="s">
        <v>4226</v>
      </c>
      <c r="N741" t="s">
        <v>4227</v>
      </c>
      <c r="O741" t="s">
        <v>4228</v>
      </c>
      <c r="P741" t="s">
        <v>485</v>
      </c>
      <c r="Q741" t="s">
        <v>2885</v>
      </c>
      <c r="R741" t="s">
        <v>2886</v>
      </c>
      <c r="S741" t="s">
        <v>2885</v>
      </c>
      <c r="T741" t="s">
        <v>2886</v>
      </c>
    </row>
    <row r="742" spans="1:20">
      <c r="A742" s="241">
        <v>44001</v>
      </c>
      <c r="B742" t="s">
        <v>4229</v>
      </c>
      <c r="C742" t="s">
        <v>332</v>
      </c>
      <c r="D742" t="s">
        <v>402</v>
      </c>
      <c r="E742" t="s">
        <v>1049</v>
      </c>
      <c r="F742" t="s">
        <v>713</v>
      </c>
      <c r="G742" t="s">
        <v>1832</v>
      </c>
      <c r="H742" t="s">
        <v>316</v>
      </c>
      <c r="I742" t="s">
        <v>1811</v>
      </c>
      <c r="J742" t="s">
        <v>857</v>
      </c>
      <c r="K742" t="s">
        <v>1032</v>
      </c>
      <c r="L742">
        <v>0.86</v>
      </c>
      <c r="M742" t="s">
        <v>4230</v>
      </c>
      <c r="N742" t="s">
        <v>4231</v>
      </c>
      <c r="O742" t="s">
        <v>4232</v>
      </c>
      <c r="P742" t="s">
        <v>485</v>
      </c>
      <c r="Q742" t="s">
        <v>2885</v>
      </c>
      <c r="R742" t="s">
        <v>2886</v>
      </c>
      <c r="S742" t="s">
        <v>2885</v>
      </c>
      <c r="T742" t="s">
        <v>2886</v>
      </c>
    </row>
    <row r="743" spans="1:20">
      <c r="A743" s="241">
        <v>44001</v>
      </c>
      <c r="B743" t="s">
        <v>4233</v>
      </c>
      <c r="C743" t="s">
        <v>392</v>
      </c>
      <c r="D743" t="s">
        <v>556</v>
      </c>
      <c r="E743" t="s">
        <v>3054</v>
      </c>
      <c r="F743" t="s">
        <v>364</v>
      </c>
      <c r="G743" t="s">
        <v>2160</v>
      </c>
      <c r="H743" t="s">
        <v>649</v>
      </c>
      <c r="I743" t="s">
        <v>347</v>
      </c>
      <c r="J743" t="s">
        <v>1495</v>
      </c>
      <c r="K743" t="s">
        <v>214</v>
      </c>
      <c r="L743">
        <v>0.86</v>
      </c>
      <c r="M743" t="s">
        <v>4234</v>
      </c>
      <c r="N743" t="s">
        <v>4235</v>
      </c>
      <c r="O743" t="s">
        <v>4236</v>
      </c>
      <c r="P743" t="s">
        <v>485</v>
      </c>
      <c r="Q743" t="s">
        <v>2885</v>
      </c>
      <c r="R743" t="s">
        <v>2886</v>
      </c>
      <c r="S743" t="s">
        <v>2885</v>
      </c>
      <c r="T743" t="s">
        <v>2886</v>
      </c>
    </row>
    <row r="744" spans="1:20">
      <c r="A744" s="241">
        <v>44001</v>
      </c>
      <c r="B744" t="s">
        <v>4237</v>
      </c>
      <c r="C744" t="s">
        <v>1139</v>
      </c>
      <c r="D744" t="s">
        <v>2535</v>
      </c>
      <c r="E744" t="s">
        <v>3317</v>
      </c>
      <c r="F744" t="s">
        <v>374</v>
      </c>
      <c r="G744" t="s">
        <v>2764</v>
      </c>
      <c r="H744" t="s">
        <v>263</v>
      </c>
      <c r="I744" t="s">
        <v>325</v>
      </c>
      <c r="J744" t="s">
        <v>1827</v>
      </c>
      <c r="K744" t="s">
        <v>244</v>
      </c>
      <c r="L744">
        <v>0.86</v>
      </c>
      <c r="M744" t="s">
        <v>4238</v>
      </c>
      <c r="N744" t="s">
        <v>4239</v>
      </c>
      <c r="O744" t="s">
        <v>4240</v>
      </c>
      <c r="P744" t="s">
        <v>485</v>
      </c>
      <c r="Q744" t="s">
        <v>2885</v>
      </c>
      <c r="R744" t="s">
        <v>2886</v>
      </c>
      <c r="S744" t="s">
        <v>2885</v>
      </c>
      <c r="T744" t="s">
        <v>2886</v>
      </c>
    </row>
    <row r="745" spans="1:20">
      <c r="A745" s="241">
        <v>44001</v>
      </c>
      <c r="B745" t="s">
        <v>4241</v>
      </c>
      <c r="C745" t="s">
        <v>208</v>
      </c>
      <c r="D745" t="s">
        <v>2535</v>
      </c>
      <c r="E745" t="s">
        <v>2880</v>
      </c>
      <c r="F745" t="s">
        <v>333</v>
      </c>
      <c r="G745" t="s">
        <v>1115</v>
      </c>
      <c r="H745" t="s">
        <v>263</v>
      </c>
      <c r="I745" t="s">
        <v>336</v>
      </c>
      <c r="J745" t="s">
        <v>1495</v>
      </c>
      <c r="K745" t="s">
        <v>214</v>
      </c>
      <c r="L745">
        <v>0.86</v>
      </c>
      <c r="M745" t="s">
        <v>4242</v>
      </c>
      <c r="N745" t="s">
        <v>4243</v>
      </c>
      <c r="O745" t="s">
        <v>4244</v>
      </c>
      <c r="P745" t="s">
        <v>485</v>
      </c>
      <c r="Q745" t="s">
        <v>2885</v>
      </c>
      <c r="R745" t="s">
        <v>2886</v>
      </c>
      <c r="S745" t="s">
        <v>2885</v>
      </c>
      <c r="T745" t="s">
        <v>2886</v>
      </c>
    </row>
    <row r="746" spans="1:20">
      <c r="A746" s="241">
        <v>44001</v>
      </c>
      <c r="B746" t="s">
        <v>4245</v>
      </c>
      <c r="C746" t="s">
        <v>443</v>
      </c>
      <c r="D746" t="s">
        <v>343</v>
      </c>
      <c r="E746" t="s">
        <v>2544</v>
      </c>
      <c r="F746" t="s">
        <v>344</v>
      </c>
      <c r="G746" t="s">
        <v>2177</v>
      </c>
      <c r="H746" t="s">
        <v>1769</v>
      </c>
      <c r="I746" t="s">
        <v>357</v>
      </c>
      <c r="J746" t="s">
        <v>337</v>
      </c>
      <c r="K746" t="s">
        <v>244</v>
      </c>
      <c r="L746">
        <v>0.86</v>
      </c>
      <c r="M746" t="s">
        <v>4246</v>
      </c>
      <c r="N746" t="s">
        <v>4247</v>
      </c>
      <c r="O746" t="s">
        <v>4248</v>
      </c>
      <c r="P746" t="s">
        <v>485</v>
      </c>
      <c r="Q746" t="s">
        <v>2885</v>
      </c>
      <c r="R746" t="s">
        <v>2886</v>
      </c>
      <c r="S746" t="s">
        <v>2885</v>
      </c>
      <c r="T746" t="s">
        <v>2886</v>
      </c>
    </row>
    <row r="747" spans="1:20">
      <c r="A747" s="241">
        <v>44001</v>
      </c>
      <c r="B747" t="s">
        <v>4249</v>
      </c>
      <c r="C747" t="s">
        <v>2478</v>
      </c>
      <c r="D747" t="s">
        <v>2549</v>
      </c>
      <c r="E747" t="s">
        <v>2584</v>
      </c>
      <c r="F747" t="s">
        <v>454</v>
      </c>
      <c r="G747" t="s">
        <v>1115</v>
      </c>
      <c r="H747" t="s">
        <v>1056</v>
      </c>
      <c r="I747" t="s">
        <v>1518</v>
      </c>
      <c r="J747" t="s">
        <v>640</v>
      </c>
      <c r="K747" t="s">
        <v>579</v>
      </c>
      <c r="L747">
        <v>0.86</v>
      </c>
      <c r="M747" t="s">
        <v>4250</v>
      </c>
      <c r="N747" t="s">
        <v>4251</v>
      </c>
      <c r="O747" t="s">
        <v>4252</v>
      </c>
      <c r="P747" t="s">
        <v>485</v>
      </c>
      <c r="Q747" t="s">
        <v>2885</v>
      </c>
      <c r="R747" t="s">
        <v>2886</v>
      </c>
      <c r="S747" t="s">
        <v>2885</v>
      </c>
      <c r="T747" t="s">
        <v>2886</v>
      </c>
    </row>
    <row r="748" spans="1:20">
      <c r="A748" s="241">
        <v>44001</v>
      </c>
      <c r="B748" t="s">
        <v>4253</v>
      </c>
      <c r="C748" t="s">
        <v>392</v>
      </c>
      <c r="D748" t="s">
        <v>382</v>
      </c>
      <c r="E748" t="s">
        <v>3054</v>
      </c>
      <c r="F748" t="s">
        <v>333</v>
      </c>
      <c r="G748" t="s">
        <v>1122</v>
      </c>
      <c r="H748" t="s">
        <v>1262</v>
      </c>
      <c r="I748" t="s">
        <v>357</v>
      </c>
      <c r="J748" t="s">
        <v>640</v>
      </c>
      <c r="K748" t="s">
        <v>231</v>
      </c>
      <c r="L748">
        <v>0.86</v>
      </c>
      <c r="M748" t="s">
        <v>4254</v>
      </c>
      <c r="N748" t="s">
        <v>4255</v>
      </c>
      <c r="O748" t="s">
        <v>4256</v>
      </c>
      <c r="P748" t="s">
        <v>485</v>
      </c>
      <c r="Q748" t="s">
        <v>2885</v>
      </c>
      <c r="R748" t="s">
        <v>2886</v>
      </c>
      <c r="S748" t="s">
        <v>2885</v>
      </c>
      <c r="T748" t="s">
        <v>2886</v>
      </c>
    </row>
    <row r="749" spans="1:20">
      <c r="A749" s="241">
        <v>44001</v>
      </c>
      <c r="B749" t="s">
        <v>4257</v>
      </c>
      <c r="C749" t="s">
        <v>2549</v>
      </c>
      <c r="D749" t="s">
        <v>2549</v>
      </c>
      <c r="E749" t="s">
        <v>2584</v>
      </c>
      <c r="F749" t="s">
        <v>647</v>
      </c>
      <c r="G749" t="s">
        <v>1115</v>
      </c>
      <c r="H749" t="s">
        <v>616</v>
      </c>
      <c r="I749" t="s">
        <v>888</v>
      </c>
      <c r="J749" t="s">
        <v>337</v>
      </c>
      <c r="K749" t="s">
        <v>571</v>
      </c>
      <c r="L749">
        <v>0.86</v>
      </c>
      <c r="M749" t="s">
        <v>4258</v>
      </c>
      <c r="N749" t="s">
        <v>4259</v>
      </c>
      <c r="O749" t="s">
        <v>4260</v>
      </c>
      <c r="P749" t="s">
        <v>485</v>
      </c>
      <c r="Q749" t="s">
        <v>2885</v>
      </c>
      <c r="R749" t="s">
        <v>2886</v>
      </c>
      <c r="S749" t="s">
        <v>2885</v>
      </c>
      <c r="T749" t="s">
        <v>2886</v>
      </c>
    </row>
    <row r="750" spans="1:20">
      <c r="A750" s="241">
        <v>44001</v>
      </c>
      <c r="B750" t="s">
        <v>4261</v>
      </c>
      <c r="C750" t="s">
        <v>402</v>
      </c>
      <c r="D750" t="s">
        <v>443</v>
      </c>
      <c r="E750" t="s">
        <v>2584</v>
      </c>
      <c r="F750" t="s">
        <v>1127</v>
      </c>
      <c r="G750" t="s">
        <v>2774</v>
      </c>
      <c r="H750" t="s">
        <v>1056</v>
      </c>
      <c r="I750" t="s">
        <v>1523</v>
      </c>
      <c r="J750" t="s">
        <v>2372</v>
      </c>
      <c r="K750" t="s">
        <v>571</v>
      </c>
      <c r="L750">
        <v>0.86</v>
      </c>
      <c r="M750" t="s">
        <v>4262</v>
      </c>
      <c r="N750" t="s">
        <v>4263</v>
      </c>
      <c r="O750" t="s">
        <v>4264</v>
      </c>
      <c r="P750" t="s">
        <v>485</v>
      </c>
      <c r="Q750" t="s">
        <v>2885</v>
      </c>
      <c r="R750" t="s">
        <v>2886</v>
      </c>
      <c r="S750" t="s">
        <v>2885</v>
      </c>
      <c r="T750" t="s">
        <v>2886</v>
      </c>
    </row>
    <row r="751" spans="1:20">
      <c r="A751" s="241">
        <v>44001</v>
      </c>
      <c r="B751" t="s">
        <v>4265</v>
      </c>
      <c r="C751" t="s">
        <v>402</v>
      </c>
      <c r="D751" t="s">
        <v>208</v>
      </c>
      <c r="E751" t="s">
        <v>646</v>
      </c>
      <c r="F751" t="s">
        <v>672</v>
      </c>
      <c r="G751" t="s">
        <v>673</v>
      </c>
      <c r="H751" t="s">
        <v>285</v>
      </c>
      <c r="I751" t="s">
        <v>367</v>
      </c>
      <c r="J751" t="s">
        <v>358</v>
      </c>
      <c r="K751" t="s">
        <v>256</v>
      </c>
      <c r="L751">
        <v>0.86</v>
      </c>
      <c r="M751" t="s">
        <v>4266</v>
      </c>
      <c r="N751" t="s">
        <v>4267</v>
      </c>
      <c r="O751" t="s">
        <v>4268</v>
      </c>
      <c r="P751" t="s">
        <v>485</v>
      </c>
      <c r="Q751" t="s">
        <v>2885</v>
      </c>
      <c r="R751" t="s">
        <v>2886</v>
      </c>
      <c r="S751" t="s">
        <v>2885</v>
      </c>
      <c r="T751" t="s">
        <v>2886</v>
      </c>
    </row>
    <row r="752" spans="1:20">
      <c r="A752" s="241">
        <v>44001</v>
      </c>
      <c r="B752" t="s">
        <v>4269</v>
      </c>
      <c r="C752" t="s">
        <v>392</v>
      </c>
      <c r="D752" t="s">
        <v>208</v>
      </c>
      <c r="E752" t="s">
        <v>2893</v>
      </c>
      <c r="F752" t="s">
        <v>904</v>
      </c>
      <c r="G752" t="s">
        <v>1562</v>
      </c>
      <c r="H752" t="s">
        <v>626</v>
      </c>
      <c r="I752" t="s">
        <v>376</v>
      </c>
      <c r="J752" t="s">
        <v>1116</v>
      </c>
      <c r="K752" t="s">
        <v>579</v>
      </c>
      <c r="L752">
        <v>0.86</v>
      </c>
      <c r="M752" t="s">
        <v>4270</v>
      </c>
      <c r="N752" t="s">
        <v>4271</v>
      </c>
      <c r="O752" t="s">
        <v>4272</v>
      </c>
      <c r="P752" t="s">
        <v>485</v>
      </c>
      <c r="Q752" t="s">
        <v>2885</v>
      </c>
      <c r="R752" t="s">
        <v>2886</v>
      </c>
      <c r="S752" t="s">
        <v>2885</v>
      </c>
      <c r="T752" t="s">
        <v>2886</v>
      </c>
    </row>
    <row r="753" spans="1:20">
      <c r="A753" s="241">
        <v>44001</v>
      </c>
      <c r="B753" t="s">
        <v>4273</v>
      </c>
      <c r="C753" t="s">
        <v>2535</v>
      </c>
      <c r="D753" t="s">
        <v>208</v>
      </c>
      <c r="E753" t="s">
        <v>2584</v>
      </c>
      <c r="F753" t="s">
        <v>2574</v>
      </c>
      <c r="G753" t="s">
        <v>404</v>
      </c>
      <c r="H753" t="s">
        <v>855</v>
      </c>
      <c r="I753" t="s">
        <v>386</v>
      </c>
      <c r="J753" t="s">
        <v>665</v>
      </c>
      <c r="K753" t="s">
        <v>299</v>
      </c>
      <c r="L753">
        <v>0.86</v>
      </c>
      <c r="M753" t="s">
        <v>4274</v>
      </c>
      <c r="N753" t="s">
        <v>4275</v>
      </c>
      <c r="O753" t="s">
        <v>4276</v>
      </c>
      <c r="P753" t="s">
        <v>485</v>
      </c>
      <c r="Q753" t="s">
        <v>2885</v>
      </c>
      <c r="R753" t="s">
        <v>2886</v>
      </c>
      <c r="S753" t="s">
        <v>2885</v>
      </c>
      <c r="T753" t="s">
        <v>2886</v>
      </c>
    </row>
    <row r="754" spans="1:20">
      <c r="A754" s="241">
        <v>44001</v>
      </c>
      <c r="B754" t="s">
        <v>4277</v>
      </c>
      <c r="C754" t="s">
        <v>1139</v>
      </c>
      <c r="D754" t="s">
        <v>208</v>
      </c>
      <c r="E754" t="s">
        <v>2544</v>
      </c>
      <c r="F754" t="s">
        <v>2206</v>
      </c>
      <c r="G754" t="s">
        <v>918</v>
      </c>
      <c r="H754" t="s">
        <v>285</v>
      </c>
      <c r="I754" t="s">
        <v>1563</v>
      </c>
      <c r="J754" t="s">
        <v>899</v>
      </c>
      <c r="K754" t="s">
        <v>231</v>
      </c>
      <c r="L754">
        <v>0.86</v>
      </c>
      <c r="M754" t="s">
        <v>4278</v>
      </c>
      <c r="N754" t="s">
        <v>4279</v>
      </c>
      <c r="O754" t="s">
        <v>4280</v>
      </c>
      <c r="P754" t="s">
        <v>485</v>
      </c>
      <c r="Q754" t="s">
        <v>2885</v>
      </c>
      <c r="R754" t="s">
        <v>2886</v>
      </c>
      <c r="S754" t="s">
        <v>2885</v>
      </c>
      <c r="T754" t="s">
        <v>2886</v>
      </c>
    </row>
    <row r="755" spans="1:20">
      <c r="A755" s="241">
        <v>44001</v>
      </c>
      <c r="B755" t="s">
        <v>4281</v>
      </c>
      <c r="C755" t="s">
        <v>343</v>
      </c>
      <c r="D755" t="s">
        <v>556</v>
      </c>
      <c r="E755" t="s">
        <v>2544</v>
      </c>
      <c r="F755" t="s">
        <v>904</v>
      </c>
      <c r="G755" t="s">
        <v>918</v>
      </c>
      <c r="H755" t="s">
        <v>1511</v>
      </c>
      <c r="I755" t="s">
        <v>1134</v>
      </c>
      <c r="J755" t="s">
        <v>377</v>
      </c>
      <c r="K755" t="s">
        <v>579</v>
      </c>
      <c r="L755">
        <v>0.86</v>
      </c>
      <c r="M755" t="s">
        <v>4282</v>
      </c>
      <c r="N755" t="s">
        <v>4283</v>
      </c>
      <c r="O755" t="s">
        <v>4284</v>
      </c>
      <c r="P755" t="s">
        <v>485</v>
      </c>
      <c r="Q755" t="s">
        <v>2885</v>
      </c>
      <c r="R755" t="s">
        <v>2886</v>
      </c>
      <c r="S755" t="s">
        <v>2885</v>
      </c>
      <c r="T755" t="s">
        <v>2886</v>
      </c>
    </row>
    <row r="756" spans="1:20">
      <c r="A756" s="241">
        <v>44001</v>
      </c>
      <c r="B756" t="s">
        <v>4285</v>
      </c>
      <c r="C756" t="s">
        <v>392</v>
      </c>
      <c r="D756" t="s">
        <v>402</v>
      </c>
      <c r="E756" t="s">
        <v>2888</v>
      </c>
      <c r="F756" t="s">
        <v>689</v>
      </c>
      <c r="G756" t="s">
        <v>918</v>
      </c>
      <c r="H756" t="s">
        <v>1147</v>
      </c>
      <c r="I756" t="s">
        <v>1134</v>
      </c>
      <c r="J756" t="s">
        <v>1128</v>
      </c>
      <c r="K756" t="s">
        <v>256</v>
      </c>
      <c r="L756">
        <v>0.86</v>
      </c>
      <c r="M756" t="s">
        <v>4286</v>
      </c>
      <c r="N756" t="s">
        <v>4287</v>
      </c>
      <c r="O756" t="s">
        <v>4288</v>
      </c>
      <c r="P756" t="s">
        <v>485</v>
      </c>
      <c r="Q756" t="s">
        <v>2885</v>
      </c>
      <c r="R756" t="s">
        <v>2886</v>
      </c>
      <c r="S756" t="s">
        <v>2885</v>
      </c>
      <c r="T756" t="s">
        <v>2886</v>
      </c>
    </row>
    <row r="757" spans="1:20">
      <c r="A757" s="241">
        <v>44001</v>
      </c>
      <c r="B757" t="s">
        <v>4289</v>
      </c>
      <c r="C757" t="s">
        <v>645</v>
      </c>
      <c r="D757" t="s">
        <v>208</v>
      </c>
      <c r="E757" t="s">
        <v>1314</v>
      </c>
      <c r="F757" t="s">
        <v>904</v>
      </c>
      <c r="G757" t="s">
        <v>681</v>
      </c>
      <c r="H757" t="s">
        <v>1574</v>
      </c>
      <c r="I757" t="s">
        <v>683</v>
      </c>
      <c r="J757" t="s">
        <v>1128</v>
      </c>
      <c r="K757" t="s">
        <v>280</v>
      </c>
      <c r="L757">
        <v>0.86</v>
      </c>
      <c r="M757" t="s">
        <v>4290</v>
      </c>
      <c r="N757" t="s">
        <v>4291</v>
      </c>
      <c r="O757" t="s">
        <v>4292</v>
      </c>
      <c r="P757" t="s">
        <v>485</v>
      </c>
      <c r="Q757" t="s">
        <v>2885</v>
      </c>
      <c r="R757" t="s">
        <v>2886</v>
      </c>
      <c r="S757" t="s">
        <v>2885</v>
      </c>
      <c r="T757" t="s">
        <v>2886</v>
      </c>
    </row>
    <row r="758" spans="1:20">
      <c r="A758" s="241">
        <v>44001</v>
      </c>
      <c r="B758" t="s">
        <v>4293</v>
      </c>
      <c r="C758" t="s">
        <v>1079</v>
      </c>
      <c r="D758" t="s">
        <v>343</v>
      </c>
      <c r="E758" t="s">
        <v>2880</v>
      </c>
      <c r="F758" t="s">
        <v>1584</v>
      </c>
      <c r="G758" t="s">
        <v>697</v>
      </c>
      <c r="H758" t="s">
        <v>706</v>
      </c>
      <c r="I758" t="s">
        <v>396</v>
      </c>
      <c r="J758" t="s">
        <v>387</v>
      </c>
      <c r="K758" t="s">
        <v>579</v>
      </c>
      <c r="L758">
        <v>0.86</v>
      </c>
      <c r="M758" t="s">
        <v>4294</v>
      </c>
      <c r="N758" t="s">
        <v>4295</v>
      </c>
      <c r="O758" t="s">
        <v>4296</v>
      </c>
      <c r="P758" t="s">
        <v>485</v>
      </c>
      <c r="Q758" t="s">
        <v>2885</v>
      </c>
      <c r="R758" t="s">
        <v>2886</v>
      </c>
      <c r="S758" t="s">
        <v>2885</v>
      </c>
      <c r="T758" t="s">
        <v>2886</v>
      </c>
    </row>
    <row r="759" spans="1:20">
      <c r="A759" s="241">
        <v>44001</v>
      </c>
      <c r="B759" t="s">
        <v>4297</v>
      </c>
      <c r="C759" t="s">
        <v>392</v>
      </c>
      <c r="D759" t="s">
        <v>208</v>
      </c>
      <c r="E759" t="s">
        <v>2769</v>
      </c>
      <c r="F759" t="s">
        <v>393</v>
      </c>
      <c r="G759" t="s">
        <v>414</v>
      </c>
      <c r="H759" t="s">
        <v>706</v>
      </c>
      <c r="I759" t="s">
        <v>396</v>
      </c>
      <c r="J759" t="s">
        <v>387</v>
      </c>
      <c r="K759" t="s">
        <v>299</v>
      </c>
      <c r="L759">
        <v>0.86</v>
      </c>
      <c r="M759" t="s">
        <v>4298</v>
      </c>
      <c r="N759" t="s">
        <v>4299</v>
      </c>
      <c r="O759" t="s">
        <v>4300</v>
      </c>
      <c r="P759" t="s">
        <v>485</v>
      </c>
      <c r="Q759" t="s">
        <v>2885</v>
      </c>
      <c r="R759" t="s">
        <v>2886</v>
      </c>
      <c r="S759" t="s">
        <v>2885</v>
      </c>
      <c r="T759" t="s">
        <v>2886</v>
      </c>
    </row>
    <row r="760" spans="1:20">
      <c r="A760" s="241">
        <v>44001</v>
      </c>
      <c r="B760" t="s">
        <v>4301</v>
      </c>
      <c r="C760" t="s">
        <v>392</v>
      </c>
      <c r="D760" t="s">
        <v>250</v>
      </c>
      <c r="E760" t="s">
        <v>2544</v>
      </c>
      <c r="F760" t="s">
        <v>1584</v>
      </c>
      <c r="G760" t="s">
        <v>414</v>
      </c>
      <c r="H760" t="s">
        <v>1109</v>
      </c>
      <c r="I760" t="s">
        <v>1140</v>
      </c>
      <c r="J760" t="s">
        <v>1569</v>
      </c>
      <c r="K760" t="s">
        <v>244</v>
      </c>
      <c r="L760">
        <v>0.86</v>
      </c>
      <c r="M760" t="s">
        <v>4302</v>
      </c>
      <c r="N760" t="s">
        <v>4303</v>
      </c>
      <c r="O760" t="s">
        <v>4304</v>
      </c>
      <c r="P760" t="s">
        <v>485</v>
      </c>
      <c r="Q760" t="s">
        <v>2885</v>
      </c>
      <c r="R760" t="s">
        <v>2886</v>
      </c>
      <c r="S760" t="s">
        <v>2885</v>
      </c>
      <c r="T760" t="s">
        <v>2886</v>
      </c>
    </row>
    <row r="761" spans="1:20">
      <c r="A761" s="241">
        <v>44001</v>
      </c>
      <c r="B761" t="s">
        <v>4305</v>
      </c>
      <c r="C761" t="s">
        <v>382</v>
      </c>
      <c r="D761" t="s">
        <v>392</v>
      </c>
      <c r="E761" t="s">
        <v>2769</v>
      </c>
      <c r="F761" t="s">
        <v>413</v>
      </c>
      <c r="G761" t="s">
        <v>414</v>
      </c>
      <c r="H761" t="s">
        <v>713</v>
      </c>
      <c r="I761" t="s">
        <v>406</v>
      </c>
      <c r="J761" t="s">
        <v>691</v>
      </c>
      <c r="K761" t="s">
        <v>256</v>
      </c>
      <c r="L761">
        <v>0.86</v>
      </c>
      <c r="M761" t="s">
        <v>4306</v>
      </c>
      <c r="N761" t="s">
        <v>4307</v>
      </c>
      <c r="O761" t="s">
        <v>4308</v>
      </c>
      <c r="P761" t="s">
        <v>485</v>
      </c>
      <c r="Q761" t="s">
        <v>2885</v>
      </c>
      <c r="R761" t="s">
        <v>2886</v>
      </c>
      <c r="S761" t="s">
        <v>2885</v>
      </c>
      <c r="T761" t="s">
        <v>2886</v>
      </c>
    </row>
    <row r="762" spans="1:20">
      <c r="A762" s="241">
        <v>44001</v>
      </c>
      <c r="B762" t="s">
        <v>4309</v>
      </c>
      <c r="C762" t="s">
        <v>2535</v>
      </c>
      <c r="D762" t="s">
        <v>382</v>
      </c>
      <c r="E762" t="s">
        <v>3006</v>
      </c>
      <c r="F762" t="s">
        <v>1156</v>
      </c>
      <c r="G762" t="s">
        <v>925</v>
      </c>
      <c r="H762" t="s">
        <v>426</v>
      </c>
      <c r="I762" t="s">
        <v>1579</v>
      </c>
      <c r="J762" t="s">
        <v>691</v>
      </c>
      <c r="K762" t="s">
        <v>651</v>
      </c>
      <c r="L762">
        <v>0.86</v>
      </c>
      <c r="M762" t="s">
        <v>4310</v>
      </c>
      <c r="N762" t="s">
        <v>4311</v>
      </c>
      <c r="O762" t="s">
        <v>4312</v>
      </c>
      <c r="P762" t="s">
        <v>485</v>
      </c>
      <c r="Q762" t="s">
        <v>2885</v>
      </c>
      <c r="R762" t="s">
        <v>2886</v>
      </c>
      <c r="S762" t="s">
        <v>2885</v>
      </c>
      <c r="T762" t="s">
        <v>2886</v>
      </c>
    </row>
    <row r="763" spans="1:20">
      <c r="A763" s="241">
        <v>44001</v>
      </c>
      <c r="B763" t="s">
        <v>4313</v>
      </c>
      <c r="C763" t="s">
        <v>392</v>
      </c>
      <c r="D763" t="s">
        <v>392</v>
      </c>
      <c r="E763" t="s">
        <v>3180</v>
      </c>
      <c r="F763" t="s">
        <v>945</v>
      </c>
      <c r="G763" t="s">
        <v>2419</v>
      </c>
      <c r="H763" t="s">
        <v>323</v>
      </c>
      <c r="I763" t="s">
        <v>939</v>
      </c>
      <c r="J763" t="s">
        <v>407</v>
      </c>
      <c r="K763" t="s">
        <v>280</v>
      </c>
      <c r="L763">
        <v>0.86</v>
      </c>
      <c r="M763" t="s">
        <v>4314</v>
      </c>
      <c r="N763" t="s">
        <v>4315</v>
      </c>
      <c r="O763" t="s">
        <v>4316</v>
      </c>
      <c r="P763" t="s">
        <v>218</v>
      </c>
      <c r="Q763" t="s">
        <v>2885</v>
      </c>
      <c r="R763" t="s">
        <v>2886</v>
      </c>
      <c r="S763" t="s">
        <v>2885</v>
      </c>
      <c r="T763" t="s">
        <v>2886</v>
      </c>
    </row>
    <row r="764" spans="1:20">
      <c r="A764" s="241">
        <v>44001</v>
      </c>
      <c r="B764" t="s">
        <v>4317</v>
      </c>
      <c r="C764" t="s">
        <v>1079</v>
      </c>
      <c r="D764" t="s">
        <v>443</v>
      </c>
      <c r="E764" t="s">
        <v>2880</v>
      </c>
      <c r="F764" t="s">
        <v>1945</v>
      </c>
      <c r="G764" t="s">
        <v>1157</v>
      </c>
      <c r="H764" t="s">
        <v>1620</v>
      </c>
      <c r="I764" t="s">
        <v>939</v>
      </c>
      <c r="J764" t="s">
        <v>1304</v>
      </c>
      <c r="K764" t="s">
        <v>651</v>
      </c>
      <c r="L764">
        <v>0.86</v>
      </c>
      <c r="M764" t="s">
        <v>4318</v>
      </c>
      <c r="N764" t="s">
        <v>4319</v>
      </c>
      <c r="O764" t="s">
        <v>4320</v>
      </c>
      <c r="P764" t="s">
        <v>218</v>
      </c>
      <c r="Q764" t="s">
        <v>2885</v>
      </c>
      <c r="R764" t="s">
        <v>2886</v>
      </c>
      <c r="S764" t="s">
        <v>2885</v>
      </c>
      <c r="T764" t="s">
        <v>2886</v>
      </c>
    </row>
    <row r="765" spans="1:20">
      <c r="A765" s="241">
        <v>44001</v>
      </c>
      <c r="B765" t="s">
        <v>4321</v>
      </c>
      <c r="C765" t="s">
        <v>2535</v>
      </c>
      <c r="D765" t="s">
        <v>625</v>
      </c>
      <c r="E765" t="s">
        <v>2731</v>
      </c>
      <c r="F765" t="s">
        <v>1156</v>
      </c>
      <c r="G765" t="s">
        <v>1324</v>
      </c>
      <c r="H765" t="s">
        <v>1511</v>
      </c>
      <c r="I765" t="s">
        <v>427</v>
      </c>
      <c r="J765" t="s">
        <v>707</v>
      </c>
      <c r="K765" t="s">
        <v>327</v>
      </c>
      <c r="L765">
        <v>0.86</v>
      </c>
      <c r="M765" t="s">
        <v>4322</v>
      </c>
      <c r="N765" t="s">
        <v>4323</v>
      </c>
      <c r="O765" t="s">
        <v>4324</v>
      </c>
      <c r="P765" t="s">
        <v>218</v>
      </c>
      <c r="Q765" t="s">
        <v>2885</v>
      </c>
      <c r="R765" t="s">
        <v>2886</v>
      </c>
      <c r="S765" t="s">
        <v>2885</v>
      </c>
      <c r="T765" t="s">
        <v>2886</v>
      </c>
    </row>
    <row r="766" spans="1:20">
      <c r="A766" s="241">
        <v>44001</v>
      </c>
      <c r="B766" t="s">
        <v>4325</v>
      </c>
      <c r="C766" t="s">
        <v>1139</v>
      </c>
      <c r="D766" t="s">
        <v>443</v>
      </c>
      <c r="E766" t="s">
        <v>2731</v>
      </c>
      <c r="F766" t="s">
        <v>1303</v>
      </c>
      <c r="G766" t="s">
        <v>946</v>
      </c>
      <c r="H766" t="s">
        <v>639</v>
      </c>
      <c r="I766" t="s">
        <v>416</v>
      </c>
      <c r="J766" t="s">
        <v>919</v>
      </c>
      <c r="K766" t="s">
        <v>268</v>
      </c>
      <c r="L766">
        <v>0.86</v>
      </c>
      <c r="M766" t="s">
        <v>4326</v>
      </c>
      <c r="N766" t="s">
        <v>4327</v>
      </c>
      <c r="O766" t="s">
        <v>4328</v>
      </c>
      <c r="P766" t="s">
        <v>218</v>
      </c>
      <c r="Q766" t="s">
        <v>2885</v>
      </c>
      <c r="R766" t="s">
        <v>2886</v>
      </c>
      <c r="S766" t="s">
        <v>2885</v>
      </c>
      <c r="T766" t="s">
        <v>2886</v>
      </c>
    </row>
    <row r="767" spans="1:20">
      <c r="A767" s="241">
        <v>44001</v>
      </c>
      <c r="B767" t="s">
        <v>4329</v>
      </c>
      <c r="C767" t="s">
        <v>392</v>
      </c>
      <c r="D767" t="s">
        <v>2478</v>
      </c>
      <c r="E767" t="s">
        <v>1314</v>
      </c>
      <c r="F767" t="s">
        <v>1338</v>
      </c>
      <c r="G767" t="s">
        <v>3072</v>
      </c>
      <c r="H767" t="s">
        <v>1493</v>
      </c>
      <c r="I767" t="s">
        <v>1158</v>
      </c>
      <c r="J767" t="s">
        <v>417</v>
      </c>
      <c r="K767" t="s">
        <v>327</v>
      </c>
      <c r="L767">
        <v>0.86</v>
      </c>
      <c r="M767" t="s">
        <v>4330</v>
      </c>
      <c r="N767" t="s">
        <v>4331</v>
      </c>
      <c r="O767" t="s">
        <v>4332</v>
      </c>
      <c r="P767" t="s">
        <v>218</v>
      </c>
      <c r="Q767" t="s">
        <v>2885</v>
      </c>
      <c r="R767" t="s">
        <v>2886</v>
      </c>
      <c r="S767" t="s">
        <v>2885</v>
      </c>
      <c r="T767" t="s">
        <v>2886</v>
      </c>
    </row>
    <row r="768" spans="1:20">
      <c r="A768" s="241">
        <v>44001</v>
      </c>
      <c r="B768" t="s">
        <v>4333</v>
      </c>
      <c r="C768" t="s">
        <v>2549</v>
      </c>
      <c r="D768" t="s">
        <v>2478</v>
      </c>
      <c r="E768" t="s">
        <v>2888</v>
      </c>
      <c r="F768" t="s">
        <v>1156</v>
      </c>
      <c r="G768" t="s">
        <v>453</v>
      </c>
      <c r="H768" t="s">
        <v>364</v>
      </c>
      <c r="I768" t="s">
        <v>1165</v>
      </c>
      <c r="J768" t="s">
        <v>417</v>
      </c>
      <c r="K768" t="s">
        <v>651</v>
      </c>
      <c r="L768">
        <v>0.86</v>
      </c>
      <c r="M768" t="s">
        <v>4334</v>
      </c>
      <c r="N768" t="s">
        <v>4335</v>
      </c>
      <c r="O768" t="s">
        <v>4336</v>
      </c>
      <c r="P768" t="s">
        <v>218</v>
      </c>
      <c r="Q768" t="s">
        <v>2885</v>
      </c>
      <c r="R768" t="s">
        <v>2886</v>
      </c>
      <c r="S768" t="s">
        <v>2885</v>
      </c>
      <c r="T768" t="s">
        <v>2886</v>
      </c>
    </row>
    <row r="769" spans="1:20">
      <c r="A769" s="241">
        <v>44001</v>
      </c>
      <c r="B769" t="s">
        <v>4337</v>
      </c>
      <c r="C769" t="s">
        <v>208</v>
      </c>
      <c r="D769" t="s">
        <v>208</v>
      </c>
      <c r="E769" t="s">
        <v>3180</v>
      </c>
      <c r="F769" t="s">
        <v>3077</v>
      </c>
      <c r="G769" t="s">
        <v>3087</v>
      </c>
      <c r="H769" t="s">
        <v>333</v>
      </c>
      <c r="I769" t="s">
        <v>947</v>
      </c>
      <c r="J769" t="s">
        <v>437</v>
      </c>
      <c r="K769" t="s">
        <v>338</v>
      </c>
      <c r="L769">
        <v>0.86</v>
      </c>
      <c r="M769" t="s">
        <v>4338</v>
      </c>
      <c r="N769" t="s">
        <v>4339</v>
      </c>
      <c r="O769" t="s">
        <v>4340</v>
      </c>
      <c r="P769" t="s">
        <v>218</v>
      </c>
      <c r="Q769" t="s">
        <v>2885</v>
      </c>
      <c r="R769" t="s">
        <v>2886</v>
      </c>
      <c r="S769" t="s">
        <v>2885</v>
      </c>
      <c r="T769" t="s">
        <v>2886</v>
      </c>
    </row>
    <row r="770" spans="1:20">
      <c r="A770" s="241">
        <v>44001</v>
      </c>
      <c r="B770" t="s">
        <v>4341</v>
      </c>
      <c r="C770" t="s">
        <v>631</v>
      </c>
      <c r="D770" t="s">
        <v>556</v>
      </c>
      <c r="E770" t="s">
        <v>2870</v>
      </c>
      <c r="F770" t="s">
        <v>1951</v>
      </c>
      <c r="G770" t="s">
        <v>3449</v>
      </c>
      <c r="H770" t="s">
        <v>887</v>
      </c>
      <c r="I770" t="s">
        <v>1631</v>
      </c>
      <c r="J770" t="s">
        <v>437</v>
      </c>
      <c r="K770" t="s">
        <v>268</v>
      </c>
      <c r="L770">
        <v>0.86</v>
      </c>
      <c r="M770" t="s">
        <v>4342</v>
      </c>
      <c r="N770" t="s">
        <v>4343</v>
      </c>
      <c r="O770" t="s">
        <v>4344</v>
      </c>
      <c r="P770" t="s">
        <v>218</v>
      </c>
      <c r="Q770" t="s">
        <v>2885</v>
      </c>
      <c r="R770" t="s">
        <v>2886</v>
      </c>
      <c r="S770" t="s">
        <v>2885</v>
      </c>
      <c r="T770" t="s">
        <v>2886</v>
      </c>
    </row>
    <row r="771" spans="1:20">
      <c r="A771" s="241">
        <v>44001</v>
      </c>
      <c r="B771" t="s">
        <v>4345</v>
      </c>
      <c r="C771" t="s">
        <v>1377</v>
      </c>
      <c r="D771" t="s">
        <v>3669</v>
      </c>
      <c r="E771" t="s">
        <v>712</v>
      </c>
      <c r="F771" t="s">
        <v>1349</v>
      </c>
      <c r="G771" t="s">
        <v>4346</v>
      </c>
      <c r="H771" t="s">
        <v>757</v>
      </c>
      <c r="I771" t="s">
        <v>4347</v>
      </c>
      <c r="J771" t="s">
        <v>4348</v>
      </c>
      <c r="K771" t="s">
        <v>4349</v>
      </c>
      <c r="L771">
        <v>0.89</v>
      </c>
      <c r="M771" t="s">
        <v>4350</v>
      </c>
      <c r="N771" t="s">
        <v>4351</v>
      </c>
      <c r="O771" t="s">
        <v>4352</v>
      </c>
      <c r="P771" t="s">
        <v>218</v>
      </c>
      <c r="Q771" t="s">
        <v>2885</v>
      </c>
      <c r="R771" t="s">
        <v>2886</v>
      </c>
      <c r="S771" t="s">
        <v>2885</v>
      </c>
      <c r="T771" t="s">
        <v>2886</v>
      </c>
    </row>
    <row r="772" spans="1:20">
      <c r="A772" s="241">
        <v>44001</v>
      </c>
      <c r="B772" t="s">
        <v>4353</v>
      </c>
      <c r="C772" t="s">
        <v>2626</v>
      </c>
      <c r="D772" t="s">
        <v>2626</v>
      </c>
      <c r="E772" t="s">
        <v>274</v>
      </c>
      <c r="F772" t="s">
        <v>4354</v>
      </c>
      <c r="G772" t="s">
        <v>477</v>
      </c>
      <c r="H772" t="s">
        <v>4355</v>
      </c>
      <c r="I772" t="s">
        <v>4356</v>
      </c>
      <c r="J772" t="s">
        <v>4357</v>
      </c>
      <c r="K772" t="s">
        <v>4358</v>
      </c>
      <c r="L772">
        <v>0.89</v>
      </c>
      <c r="M772" t="s">
        <v>4359</v>
      </c>
      <c r="N772" t="s">
        <v>4360</v>
      </c>
      <c r="O772" t="s">
        <v>4361</v>
      </c>
      <c r="P772" t="s">
        <v>485</v>
      </c>
      <c r="Q772" t="s">
        <v>2885</v>
      </c>
      <c r="R772" t="s">
        <v>2886</v>
      </c>
      <c r="S772" t="s">
        <v>2885</v>
      </c>
      <c r="T772" t="s">
        <v>2886</v>
      </c>
    </row>
    <row r="773" spans="1:20">
      <c r="A773" s="241">
        <v>44001</v>
      </c>
      <c r="B773" t="s">
        <v>4362</v>
      </c>
      <c r="C773" t="s">
        <v>3831</v>
      </c>
      <c r="D773" t="s">
        <v>2626</v>
      </c>
      <c r="E773" t="s">
        <v>615</v>
      </c>
      <c r="F773" t="s">
        <v>4363</v>
      </c>
      <c r="G773" t="s">
        <v>2440</v>
      </c>
      <c r="H773" t="s">
        <v>1978</v>
      </c>
      <c r="I773" t="s">
        <v>2257</v>
      </c>
      <c r="J773" t="s">
        <v>2647</v>
      </c>
      <c r="K773" t="s">
        <v>3834</v>
      </c>
      <c r="L773">
        <v>0.89</v>
      </c>
      <c r="M773" t="s">
        <v>4364</v>
      </c>
      <c r="N773" t="s">
        <v>4365</v>
      </c>
      <c r="O773" t="s">
        <v>4366</v>
      </c>
      <c r="P773" t="s">
        <v>485</v>
      </c>
      <c r="Q773" t="s">
        <v>2885</v>
      </c>
      <c r="R773" t="s">
        <v>2886</v>
      </c>
      <c r="S773" t="s">
        <v>2885</v>
      </c>
      <c r="T773" t="s">
        <v>2886</v>
      </c>
    </row>
    <row r="774" spans="1:20">
      <c r="A774" s="241">
        <v>44001</v>
      </c>
      <c r="B774" t="s">
        <v>4367</v>
      </c>
      <c r="C774" t="s">
        <v>249</v>
      </c>
      <c r="D774" t="s">
        <v>631</v>
      </c>
      <c r="E774" t="s">
        <v>250</v>
      </c>
      <c r="F774" t="s">
        <v>4368</v>
      </c>
      <c r="G774" t="s">
        <v>3999</v>
      </c>
      <c r="H774" t="s">
        <v>2266</v>
      </c>
      <c r="I774" t="s">
        <v>4369</v>
      </c>
      <c r="J774" t="s">
        <v>4370</v>
      </c>
      <c r="K774" t="s">
        <v>4371</v>
      </c>
      <c r="L774">
        <v>0.87</v>
      </c>
      <c r="M774" t="s">
        <v>4372</v>
      </c>
      <c r="N774" t="s">
        <v>4373</v>
      </c>
      <c r="O774" t="s">
        <v>4374</v>
      </c>
      <c r="P774" t="s">
        <v>485</v>
      </c>
      <c r="Q774" t="s">
        <v>2885</v>
      </c>
      <c r="R774" t="s">
        <v>2886</v>
      </c>
      <c r="S774" t="s">
        <v>2885</v>
      </c>
      <c r="T774" t="s">
        <v>2886</v>
      </c>
    </row>
    <row r="775" spans="1:20">
      <c r="A775" s="241">
        <v>44001</v>
      </c>
      <c r="B775" t="s">
        <v>4375</v>
      </c>
      <c r="C775" t="s">
        <v>671</v>
      </c>
      <c r="D775" t="s">
        <v>631</v>
      </c>
      <c r="E775" t="s">
        <v>2769</v>
      </c>
      <c r="F775" t="s">
        <v>1397</v>
      </c>
      <c r="G775" t="s">
        <v>2016</v>
      </c>
      <c r="H775" t="s">
        <v>4376</v>
      </c>
      <c r="I775" t="s">
        <v>4377</v>
      </c>
      <c r="J775" t="s">
        <v>4378</v>
      </c>
      <c r="K775" t="s">
        <v>3155</v>
      </c>
      <c r="L775">
        <v>0.87</v>
      </c>
      <c r="M775" t="s">
        <v>4379</v>
      </c>
      <c r="N775" t="s">
        <v>4380</v>
      </c>
      <c r="O775" t="s">
        <v>4381</v>
      </c>
      <c r="P775" t="s">
        <v>485</v>
      </c>
      <c r="Q775" t="s">
        <v>2885</v>
      </c>
      <c r="R775" t="s">
        <v>2886</v>
      </c>
      <c r="S775" t="s">
        <v>2885</v>
      </c>
      <c r="T775" t="s">
        <v>2886</v>
      </c>
    </row>
    <row r="776" spans="1:20">
      <c r="A776" s="241">
        <v>44001</v>
      </c>
      <c r="B776" t="s">
        <v>4382</v>
      </c>
      <c r="C776" t="s">
        <v>1079</v>
      </c>
      <c r="D776" t="s">
        <v>392</v>
      </c>
      <c r="E776" t="s">
        <v>2544</v>
      </c>
      <c r="F776" t="s">
        <v>307</v>
      </c>
      <c r="G776" t="s">
        <v>1389</v>
      </c>
      <c r="H776" t="s">
        <v>4383</v>
      </c>
      <c r="I776" t="s">
        <v>2011</v>
      </c>
      <c r="J776" t="s">
        <v>1681</v>
      </c>
      <c r="K776" t="s">
        <v>3162</v>
      </c>
      <c r="L776">
        <v>0.86</v>
      </c>
      <c r="M776" t="s">
        <v>4384</v>
      </c>
      <c r="N776" t="s">
        <v>4385</v>
      </c>
      <c r="O776" t="s">
        <v>4386</v>
      </c>
      <c r="P776" t="s">
        <v>485</v>
      </c>
      <c r="Q776" t="s">
        <v>2885</v>
      </c>
      <c r="R776" t="s">
        <v>2886</v>
      </c>
      <c r="S776" t="s">
        <v>2885</v>
      </c>
      <c r="T776" t="s">
        <v>2886</v>
      </c>
    </row>
    <row r="777" spans="1:20">
      <c r="A777" s="241">
        <v>44001</v>
      </c>
      <c r="B777" t="s">
        <v>4387</v>
      </c>
      <c r="C777" t="s">
        <v>645</v>
      </c>
      <c r="D777" t="s">
        <v>2535</v>
      </c>
      <c r="E777" t="s">
        <v>2731</v>
      </c>
      <c r="F777" t="s">
        <v>862</v>
      </c>
      <c r="G777" t="s">
        <v>530</v>
      </c>
      <c r="H777" t="s">
        <v>1215</v>
      </c>
      <c r="I777" t="s">
        <v>1698</v>
      </c>
      <c r="J777" t="s">
        <v>1392</v>
      </c>
      <c r="K777" t="s">
        <v>781</v>
      </c>
      <c r="L777">
        <v>0.86</v>
      </c>
      <c r="M777" t="s">
        <v>4388</v>
      </c>
      <c r="N777" t="s">
        <v>4389</v>
      </c>
      <c r="O777" t="s">
        <v>4390</v>
      </c>
      <c r="P777" t="s">
        <v>485</v>
      </c>
      <c r="Q777" t="s">
        <v>2885</v>
      </c>
      <c r="R777" t="s">
        <v>2886</v>
      </c>
      <c r="S777" t="s">
        <v>2885</v>
      </c>
      <c r="T777" t="s">
        <v>2886</v>
      </c>
    </row>
    <row r="778" spans="1:20">
      <c r="A778" s="241">
        <v>44001</v>
      </c>
      <c r="B778" t="s">
        <v>4391</v>
      </c>
      <c r="C778" t="s">
        <v>645</v>
      </c>
      <c r="D778" t="s">
        <v>392</v>
      </c>
      <c r="E778" t="s">
        <v>2893</v>
      </c>
      <c r="F778" t="s">
        <v>209</v>
      </c>
      <c r="G778" t="s">
        <v>530</v>
      </c>
      <c r="H778" t="s">
        <v>2017</v>
      </c>
      <c r="I778" t="s">
        <v>1686</v>
      </c>
      <c r="J778" t="s">
        <v>4000</v>
      </c>
      <c r="K778" t="s">
        <v>2277</v>
      </c>
      <c r="L778">
        <v>0.86</v>
      </c>
      <c r="M778" t="s">
        <v>4392</v>
      </c>
      <c r="N778" t="s">
        <v>4393</v>
      </c>
      <c r="O778" t="s">
        <v>4394</v>
      </c>
      <c r="P778" t="s">
        <v>485</v>
      </c>
      <c r="Q778" t="s">
        <v>2885</v>
      </c>
      <c r="R778" t="s">
        <v>2886</v>
      </c>
      <c r="S778" t="s">
        <v>2885</v>
      </c>
      <c r="T778" t="s">
        <v>2886</v>
      </c>
    </row>
    <row r="779" spans="1:20">
      <c r="A779" s="241">
        <v>44001</v>
      </c>
      <c r="B779" t="s">
        <v>4395</v>
      </c>
      <c r="C779" t="s">
        <v>2549</v>
      </c>
      <c r="D779" t="s">
        <v>392</v>
      </c>
      <c r="E779" t="s">
        <v>2544</v>
      </c>
      <c r="F779" t="s">
        <v>600</v>
      </c>
      <c r="G779" t="s">
        <v>786</v>
      </c>
      <c r="H779" t="s">
        <v>521</v>
      </c>
      <c r="I779" t="s">
        <v>2029</v>
      </c>
      <c r="J779" t="s">
        <v>1687</v>
      </c>
      <c r="K779" t="s">
        <v>2668</v>
      </c>
      <c r="L779">
        <v>0.86</v>
      </c>
      <c r="M779" t="s">
        <v>4396</v>
      </c>
      <c r="N779" t="s">
        <v>4397</v>
      </c>
      <c r="O779" t="s">
        <v>4398</v>
      </c>
      <c r="P779" t="s">
        <v>485</v>
      </c>
      <c r="Q779" t="s">
        <v>2885</v>
      </c>
      <c r="R779" t="s">
        <v>2886</v>
      </c>
      <c r="S779" t="s">
        <v>2885</v>
      </c>
      <c r="T779" t="s">
        <v>2886</v>
      </c>
    </row>
    <row r="780" spans="1:20">
      <c r="A780" s="241">
        <v>44001</v>
      </c>
      <c r="B780" t="s">
        <v>4399</v>
      </c>
      <c r="C780" t="s">
        <v>1079</v>
      </c>
      <c r="D780" t="s">
        <v>671</v>
      </c>
      <c r="E780" t="s">
        <v>3054</v>
      </c>
      <c r="F780" t="s">
        <v>2074</v>
      </c>
      <c r="G780" t="s">
        <v>1725</v>
      </c>
      <c r="H780" t="s">
        <v>2663</v>
      </c>
      <c r="I780" t="s">
        <v>2472</v>
      </c>
      <c r="J780" t="s">
        <v>1011</v>
      </c>
      <c r="K780" t="s">
        <v>2668</v>
      </c>
      <c r="L780">
        <v>0.86</v>
      </c>
      <c r="M780" t="s">
        <v>4400</v>
      </c>
      <c r="N780" t="s">
        <v>4401</v>
      </c>
      <c r="O780" t="s">
        <v>4402</v>
      </c>
      <c r="P780" t="s">
        <v>485</v>
      </c>
      <c r="Q780" t="s">
        <v>2885</v>
      </c>
      <c r="R780" t="s">
        <v>2886</v>
      </c>
      <c r="S780" t="s">
        <v>2885</v>
      </c>
      <c r="T780" t="s">
        <v>2886</v>
      </c>
    </row>
    <row r="781" spans="1:20">
      <c r="A781" s="241">
        <v>44001</v>
      </c>
      <c r="B781" t="s">
        <v>4403</v>
      </c>
      <c r="C781" t="s">
        <v>712</v>
      </c>
      <c r="D781" t="s">
        <v>443</v>
      </c>
      <c r="E781" t="s">
        <v>2731</v>
      </c>
      <c r="F781" t="s">
        <v>251</v>
      </c>
      <c r="G781" t="s">
        <v>1725</v>
      </c>
      <c r="H781" t="s">
        <v>815</v>
      </c>
      <c r="I781" t="s">
        <v>1727</v>
      </c>
      <c r="J781" t="s">
        <v>533</v>
      </c>
      <c r="K781" t="s">
        <v>1399</v>
      </c>
      <c r="L781">
        <v>0.86</v>
      </c>
      <c r="M781" t="s">
        <v>4404</v>
      </c>
      <c r="N781" t="s">
        <v>4405</v>
      </c>
      <c r="O781" t="s">
        <v>4406</v>
      </c>
      <c r="P781" t="s">
        <v>485</v>
      </c>
      <c r="Q781" t="s">
        <v>2885</v>
      </c>
      <c r="R781" t="s">
        <v>2886</v>
      </c>
      <c r="S781" t="s">
        <v>2885</v>
      </c>
      <c r="T781" t="s">
        <v>2886</v>
      </c>
    </row>
    <row r="782" spans="1:20">
      <c r="A782" s="241">
        <v>44001</v>
      </c>
      <c r="B782" t="s">
        <v>4407</v>
      </c>
      <c r="C782" t="s">
        <v>392</v>
      </c>
      <c r="D782" t="s">
        <v>208</v>
      </c>
      <c r="E782" t="s">
        <v>2544</v>
      </c>
      <c r="F782" t="s">
        <v>868</v>
      </c>
      <c r="G782" t="s">
        <v>798</v>
      </c>
      <c r="H782" t="s">
        <v>541</v>
      </c>
      <c r="I782" t="s">
        <v>1727</v>
      </c>
      <c r="J782" t="s">
        <v>1710</v>
      </c>
      <c r="K782" t="s">
        <v>2458</v>
      </c>
      <c r="L782">
        <v>0.86</v>
      </c>
      <c r="M782" t="s">
        <v>4408</v>
      </c>
      <c r="N782" t="s">
        <v>4409</v>
      </c>
      <c r="O782" t="s">
        <v>4410</v>
      </c>
      <c r="P782" t="s">
        <v>485</v>
      </c>
      <c r="Q782" t="s">
        <v>2885</v>
      </c>
      <c r="R782" t="s">
        <v>2886</v>
      </c>
      <c r="S782" t="s">
        <v>2885</v>
      </c>
      <c r="T782" t="s">
        <v>2886</v>
      </c>
    </row>
    <row r="783" spans="1:20">
      <c r="A783" s="241">
        <v>44001</v>
      </c>
      <c r="B783" t="s">
        <v>4411</v>
      </c>
      <c r="C783" t="s">
        <v>402</v>
      </c>
      <c r="D783" t="s">
        <v>443</v>
      </c>
      <c r="E783" t="s">
        <v>2893</v>
      </c>
      <c r="F783" t="s">
        <v>2074</v>
      </c>
      <c r="G783" t="s">
        <v>1411</v>
      </c>
      <c r="H783" t="s">
        <v>799</v>
      </c>
      <c r="I783" t="s">
        <v>1232</v>
      </c>
      <c r="J783" t="s">
        <v>1020</v>
      </c>
      <c r="K783" t="s">
        <v>3162</v>
      </c>
      <c r="L783">
        <v>0.86</v>
      </c>
      <c r="M783" t="s">
        <v>4412</v>
      </c>
      <c r="N783" t="s">
        <v>4413</v>
      </c>
      <c r="O783" t="s">
        <v>4414</v>
      </c>
      <c r="P783" t="s">
        <v>485</v>
      </c>
      <c r="Q783" t="s">
        <v>2885</v>
      </c>
      <c r="R783" t="s">
        <v>2886</v>
      </c>
      <c r="S783" t="s">
        <v>2885</v>
      </c>
      <c r="T783" t="s">
        <v>2886</v>
      </c>
    </row>
    <row r="784" spans="1:20">
      <c r="A784" s="241">
        <v>44001</v>
      </c>
      <c r="B784" t="s">
        <v>4415</v>
      </c>
      <c r="C784" t="s">
        <v>1079</v>
      </c>
      <c r="D784" t="s">
        <v>343</v>
      </c>
      <c r="E784" t="s">
        <v>2880</v>
      </c>
      <c r="F784" t="s">
        <v>2074</v>
      </c>
      <c r="G784" t="s">
        <v>804</v>
      </c>
      <c r="H784" t="s">
        <v>1746</v>
      </c>
      <c r="I784" t="s">
        <v>1727</v>
      </c>
      <c r="J784" t="s">
        <v>1026</v>
      </c>
      <c r="K784" t="s">
        <v>1406</v>
      </c>
      <c r="L784">
        <v>0.86</v>
      </c>
      <c r="M784" t="s">
        <v>4416</v>
      </c>
      <c r="N784" t="s">
        <v>4417</v>
      </c>
      <c r="O784" t="s">
        <v>4418</v>
      </c>
      <c r="P784" t="s">
        <v>485</v>
      </c>
      <c r="Q784" t="s">
        <v>2885</v>
      </c>
      <c r="R784" t="s">
        <v>2886</v>
      </c>
      <c r="S784" t="s">
        <v>2885</v>
      </c>
      <c r="T784" t="s">
        <v>2886</v>
      </c>
    </row>
    <row r="785" spans="1:20">
      <c r="A785" s="241">
        <v>44001</v>
      </c>
      <c r="B785" t="s">
        <v>4419</v>
      </c>
      <c r="C785" t="s">
        <v>392</v>
      </c>
      <c r="D785" t="s">
        <v>392</v>
      </c>
      <c r="E785" t="s">
        <v>2888</v>
      </c>
      <c r="F785" t="s">
        <v>1050</v>
      </c>
      <c r="G785" t="s">
        <v>240</v>
      </c>
      <c r="H785" t="s">
        <v>1051</v>
      </c>
      <c r="I785" t="s">
        <v>1747</v>
      </c>
      <c r="J785" t="s">
        <v>551</v>
      </c>
      <c r="K785" t="s">
        <v>1406</v>
      </c>
      <c r="L785">
        <v>0.86</v>
      </c>
      <c r="M785" t="s">
        <v>4420</v>
      </c>
      <c r="N785" t="s">
        <v>4421</v>
      </c>
      <c r="O785" t="s">
        <v>4422</v>
      </c>
      <c r="P785" t="s">
        <v>485</v>
      </c>
      <c r="Q785" t="s">
        <v>2885</v>
      </c>
      <c r="R785" t="s">
        <v>2886</v>
      </c>
      <c r="S785" t="s">
        <v>2885</v>
      </c>
      <c r="T785" t="s">
        <v>2886</v>
      </c>
    </row>
    <row r="786" spans="1:20">
      <c r="A786" s="241">
        <v>44001</v>
      </c>
      <c r="B786" t="s">
        <v>4423</v>
      </c>
      <c r="C786" t="s">
        <v>2478</v>
      </c>
      <c r="D786" t="s">
        <v>2535</v>
      </c>
      <c r="E786" t="s">
        <v>2888</v>
      </c>
      <c r="F786" t="s">
        <v>346</v>
      </c>
      <c r="G786" t="s">
        <v>210</v>
      </c>
      <c r="H786" t="s">
        <v>228</v>
      </c>
      <c r="I786" t="s">
        <v>1031</v>
      </c>
      <c r="J786" t="s">
        <v>1428</v>
      </c>
      <c r="K786" t="s">
        <v>1003</v>
      </c>
      <c r="L786">
        <v>0.86</v>
      </c>
      <c r="M786" t="s">
        <v>4424</v>
      </c>
      <c r="N786" t="s">
        <v>4425</v>
      </c>
      <c r="O786" t="s">
        <v>4426</v>
      </c>
      <c r="P786" t="s">
        <v>485</v>
      </c>
      <c r="Q786" t="s">
        <v>2885</v>
      </c>
      <c r="R786" t="s">
        <v>2886</v>
      </c>
      <c r="S786" t="s">
        <v>2885</v>
      </c>
      <c r="T786" t="s">
        <v>2886</v>
      </c>
    </row>
    <row r="787" spans="1:20">
      <c r="A787" s="241">
        <v>44001</v>
      </c>
      <c r="B787" t="s">
        <v>4427</v>
      </c>
      <c r="C787" t="s">
        <v>2478</v>
      </c>
      <c r="D787" t="s">
        <v>382</v>
      </c>
      <c r="E787" t="s">
        <v>1314</v>
      </c>
      <c r="F787" t="s">
        <v>1452</v>
      </c>
      <c r="G787" t="s">
        <v>1442</v>
      </c>
      <c r="H787" t="s">
        <v>1257</v>
      </c>
      <c r="I787" t="s">
        <v>560</v>
      </c>
      <c r="J787" t="s">
        <v>817</v>
      </c>
      <c r="K787" t="s">
        <v>1012</v>
      </c>
      <c r="L787">
        <v>0.86</v>
      </c>
      <c r="M787" t="s">
        <v>4428</v>
      </c>
      <c r="N787" t="s">
        <v>4429</v>
      </c>
      <c r="O787" t="s">
        <v>4430</v>
      </c>
      <c r="P787" t="s">
        <v>485</v>
      </c>
      <c r="Q787" t="s">
        <v>2885</v>
      </c>
      <c r="R787" t="s">
        <v>2886</v>
      </c>
      <c r="S787" t="s">
        <v>2885</v>
      </c>
      <c r="T787" t="s">
        <v>2886</v>
      </c>
    </row>
    <row r="788" spans="1:20">
      <c r="A788" s="241">
        <v>44001</v>
      </c>
      <c r="B788" t="s">
        <v>4431</v>
      </c>
      <c r="C788" t="s">
        <v>1079</v>
      </c>
      <c r="D788" t="s">
        <v>2478</v>
      </c>
      <c r="E788" t="s">
        <v>2888</v>
      </c>
      <c r="F788" t="s">
        <v>881</v>
      </c>
      <c r="G788" t="s">
        <v>567</v>
      </c>
      <c r="H788" t="s">
        <v>1017</v>
      </c>
      <c r="I788" t="s">
        <v>1250</v>
      </c>
      <c r="J788" t="s">
        <v>1039</v>
      </c>
      <c r="K788" t="s">
        <v>1399</v>
      </c>
      <c r="L788">
        <v>0.86</v>
      </c>
      <c r="M788" t="s">
        <v>4432</v>
      </c>
      <c r="N788" t="s">
        <v>4433</v>
      </c>
      <c r="O788" t="s">
        <v>4434</v>
      </c>
      <c r="P788" t="s">
        <v>485</v>
      </c>
      <c r="Q788" t="s">
        <v>2885</v>
      </c>
      <c r="R788" t="s">
        <v>2886</v>
      </c>
      <c r="S788" t="s">
        <v>2885</v>
      </c>
      <c r="T788" t="s">
        <v>2886</v>
      </c>
    </row>
    <row r="789" spans="1:20">
      <c r="A789" s="241">
        <v>44001</v>
      </c>
      <c r="B789" t="s">
        <v>4435</v>
      </c>
      <c r="C789" t="s">
        <v>2535</v>
      </c>
      <c r="D789" t="s">
        <v>2535</v>
      </c>
      <c r="E789" t="s">
        <v>1314</v>
      </c>
      <c r="F789" t="s">
        <v>1756</v>
      </c>
      <c r="G789" t="s">
        <v>830</v>
      </c>
      <c r="H789" t="s">
        <v>823</v>
      </c>
      <c r="I789" t="s">
        <v>242</v>
      </c>
      <c r="J789" t="s">
        <v>1039</v>
      </c>
      <c r="K789" t="s">
        <v>1234</v>
      </c>
      <c r="L789">
        <v>0.86</v>
      </c>
      <c r="M789" t="s">
        <v>4436</v>
      </c>
      <c r="N789" t="s">
        <v>4437</v>
      </c>
      <c r="O789" t="s">
        <v>4438</v>
      </c>
      <c r="P789" t="s">
        <v>485</v>
      </c>
      <c r="Q789" t="s">
        <v>2885</v>
      </c>
      <c r="R789" t="s">
        <v>2886</v>
      </c>
      <c r="S789" t="s">
        <v>2885</v>
      </c>
      <c r="T789" t="s">
        <v>2886</v>
      </c>
    </row>
    <row r="790" spans="1:20">
      <c r="A790" s="241">
        <v>44001</v>
      </c>
      <c r="B790" t="s">
        <v>4439</v>
      </c>
      <c r="C790" t="s">
        <v>679</v>
      </c>
      <c r="D790" t="s">
        <v>443</v>
      </c>
      <c r="E790" t="s">
        <v>1102</v>
      </c>
      <c r="F790" t="s">
        <v>1769</v>
      </c>
      <c r="G790" t="s">
        <v>276</v>
      </c>
      <c r="H790" t="s">
        <v>568</v>
      </c>
      <c r="I790" t="s">
        <v>254</v>
      </c>
      <c r="J790" t="s">
        <v>561</v>
      </c>
      <c r="K790" t="s">
        <v>1406</v>
      </c>
      <c r="L790">
        <v>0.86</v>
      </c>
      <c r="M790" t="s">
        <v>4440</v>
      </c>
      <c r="N790" t="s">
        <v>4441</v>
      </c>
      <c r="O790" t="s">
        <v>4442</v>
      </c>
      <c r="P790" t="s">
        <v>485</v>
      </c>
      <c r="Q790" t="s">
        <v>2885</v>
      </c>
      <c r="R790" t="s">
        <v>2886</v>
      </c>
      <c r="S790" t="s">
        <v>2885</v>
      </c>
      <c r="T790" t="s">
        <v>2886</v>
      </c>
    </row>
    <row r="791" spans="1:20">
      <c r="A791" s="241">
        <v>44001</v>
      </c>
      <c r="B791" t="s">
        <v>4443</v>
      </c>
      <c r="C791" t="s">
        <v>392</v>
      </c>
      <c r="D791" t="s">
        <v>343</v>
      </c>
      <c r="E791" t="s">
        <v>1314</v>
      </c>
      <c r="F791" t="s">
        <v>285</v>
      </c>
      <c r="G791" t="s">
        <v>306</v>
      </c>
      <c r="H791" t="s">
        <v>805</v>
      </c>
      <c r="I791" t="s">
        <v>266</v>
      </c>
      <c r="J791" t="s">
        <v>1770</v>
      </c>
      <c r="K791" t="s">
        <v>1234</v>
      </c>
      <c r="L791">
        <v>0.86</v>
      </c>
      <c r="M791" t="s">
        <v>4444</v>
      </c>
      <c r="N791" t="s">
        <v>4445</v>
      </c>
      <c r="O791" t="s">
        <v>4446</v>
      </c>
      <c r="P791" t="s">
        <v>485</v>
      </c>
      <c r="Q791" t="s">
        <v>2885</v>
      </c>
      <c r="R791" t="s">
        <v>2886</v>
      </c>
      <c r="S791" t="s">
        <v>2885</v>
      </c>
      <c r="T791" t="s">
        <v>2886</v>
      </c>
    </row>
    <row r="792" spans="1:20">
      <c r="A792" s="241">
        <v>44001</v>
      </c>
      <c r="B792" t="s">
        <v>4447</v>
      </c>
      <c r="C792" t="s">
        <v>1139</v>
      </c>
      <c r="D792" t="s">
        <v>2535</v>
      </c>
      <c r="E792" t="s">
        <v>3054</v>
      </c>
      <c r="F792" t="s">
        <v>598</v>
      </c>
      <c r="G792" t="s">
        <v>1068</v>
      </c>
      <c r="H792" t="s">
        <v>1017</v>
      </c>
      <c r="I792" t="s">
        <v>2329</v>
      </c>
      <c r="J792" t="s">
        <v>1770</v>
      </c>
      <c r="K792" t="s">
        <v>515</v>
      </c>
      <c r="L792">
        <v>0.86</v>
      </c>
      <c r="M792" t="s">
        <v>4448</v>
      </c>
      <c r="N792" t="s">
        <v>4449</v>
      </c>
      <c r="O792" t="s">
        <v>4450</v>
      </c>
      <c r="P792" t="s">
        <v>485</v>
      </c>
      <c r="Q792" t="s">
        <v>2885</v>
      </c>
      <c r="R792" t="s">
        <v>2886</v>
      </c>
      <c r="S792" t="s">
        <v>2885</v>
      </c>
      <c r="T792" t="s">
        <v>2886</v>
      </c>
    </row>
    <row r="793" spans="1:20">
      <c r="A793" s="241">
        <v>44001</v>
      </c>
      <c r="B793" t="s">
        <v>4451</v>
      </c>
      <c r="C793" t="s">
        <v>679</v>
      </c>
      <c r="D793" t="s">
        <v>402</v>
      </c>
      <c r="E793" t="s">
        <v>2584</v>
      </c>
      <c r="F793" t="s">
        <v>263</v>
      </c>
      <c r="G793" t="s">
        <v>345</v>
      </c>
      <c r="H793" t="s">
        <v>1453</v>
      </c>
      <c r="I793" t="s">
        <v>266</v>
      </c>
      <c r="J793" t="s">
        <v>570</v>
      </c>
      <c r="K793" t="s">
        <v>515</v>
      </c>
      <c r="L793">
        <v>0.86</v>
      </c>
      <c r="M793" t="s">
        <v>4452</v>
      </c>
      <c r="N793" t="s">
        <v>4453</v>
      </c>
      <c r="O793" t="s">
        <v>4454</v>
      </c>
      <c r="P793" t="s">
        <v>485</v>
      </c>
      <c r="Q793" t="s">
        <v>2885</v>
      </c>
      <c r="R793" t="s">
        <v>2886</v>
      </c>
      <c r="S793" t="s">
        <v>2885</v>
      </c>
      <c r="T793" t="s">
        <v>2886</v>
      </c>
    </row>
    <row r="794" spans="1:20">
      <c r="A794" s="241">
        <v>44001</v>
      </c>
      <c r="B794" t="s">
        <v>4455</v>
      </c>
      <c r="C794" t="s">
        <v>671</v>
      </c>
      <c r="D794" t="s">
        <v>556</v>
      </c>
      <c r="E794" t="s">
        <v>2893</v>
      </c>
      <c r="F794" t="s">
        <v>835</v>
      </c>
      <c r="G794" t="s">
        <v>1269</v>
      </c>
      <c r="H794" t="s">
        <v>1057</v>
      </c>
      <c r="I794" t="s">
        <v>577</v>
      </c>
      <c r="J794" t="s">
        <v>825</v>
      </c>
      <c r="K794" t="s">
        <v>1012</v>
      </c>
      <c r="L794">
        <v>0.86</v>
      </c>
      <c r="M794" t="s">
        <v>4456</v>
      </c>
      <c r="N794" t="s">
        <v>4457</v>
      </c>
      <c r="O794" t="s">
        <v>4458</v>
      </c>
      <c r="P794" t="s">
        <v>485</v>
      </c>
      <c r="Q794" t="s">
        <v>2885</v>
      </c>
      <c r="R794" t="s">
        <v>2886</v>
      </c>
      <c r="S794" t="s">
        <v>2885</v>
      </c>
      <c r="T794" t="s">
        <v>2886</v>
      </c>
    </row>
    <row r="795" spans="1:20">
      <c r="A795" s="241">
        <v>44001</v>
      </c>
      <c r="B795" t="s">
        <v>4459</v>
      </c>
      <c r="C795" t="s">
        <v>679</v>
      </c>
      <c r="D795" t="s">
        <v>208</v>
      </c>
      <c r="E795" t="s">
        <v>2731</v>
      </c>
      <c r="F795" t="s">
        <v>1552</v>
      </c>
      <c r="G795" t="s">
        <v>306</v>
      </c>
      <c r="H795" t="s">
        <v>585</v>
      </c>
      <c r="I795" t="s">
        <v>1264</v>
      </c>
      <c r="J795" t="s">
        <v>1063</v>
      </c>
      <c r="K795" t="s">
        <v>1032</v>
      </c>
      <c r="L795">
        <v>0.86</v>
      </c>
      <c r="M795" t="s">
        <v>4460</v>
      </c>
      <c r="N795" t="s">
        <v>4461</v>
      </c>
      <c r="O795" t="s">
        <v>4462</v>
      </c>
      <c r="P795" t="s">
        <v>485</v>
      </c>
      <c r="Q795" t="s">
        <v>2885</v>
      </c>
      <c r="R795" t="s">
        <v>2886</v>
      </c>
      <c r="S795" t="s">
        <v>2885</v>
      </c>
      <c r="T795" t="s">
        <v>2886</v>
      </c>
    </row>
    <row r="796" spans="1:20">
      <c r="A796" s="241">
        <v>44001</v>
      </c>
      <c r="B796" t="s">
        <v>4463</v>
      </c>
      <c r="C796" t="s">
        <v>382</v>
      </c>
      <c r="D796" t="s">
        <v>392</v>
      </c>
      <c r="E796" t="s">
        <v>2544</v>
      </c>
      <c r="F796" t="s">
        <v>1080</v>
      </c>
      <c r="G796" t="s">
        <v>591</v>
      </c>
      <c r="H796" t="s">
        <v>277</v>
      </c>
      <c r="I796" t="s">
        <v>1264</v>
      </c>
      <c r="J796" t="s">
        <v>267</v>
      </c>
      <c r="K796" t="s">
        <v>534</v>
      </c>
      <c r="L796">
        <v>0.86</v>
      </c>
      <c r="M796" t="s">
        <v>4464</v>
      </c>
      <c r="N796" t="s">
        <v>4465</v>
      </c>
      <c r="O796" t="s">
        <v>4466</v>
      </c>
      <c r="P796" t="s">
        <v>485</v>
      </c>
      <c r="Q796" t="s">
        <v>2885</v>
      </c>
      <c r="R796" t="s">
        <v>2886</v>
      </c>
      <c r="S796" t="s">
        <v>2885</v>
      </c>
      <c r="T796" t="s">
        <v>2886</v>
      </c>
    </row>
    <row r="797" spans="1:20">
      <c r="A797" s="241">
        <v>44001</v>
      </c>
      <c r="B797" t="s">
        <v>4467</v>
      </c>
      <c r="C797" t="s">
        <v>392</v>
      </c>
      <c r="D797" t="s">
        <v>392</v>
      </c>
      <c r="E797" t="s">
        <v>2769</v>
      </c>
      <c r="F797" t="s">
        <v>405</v>
      </c>
      <c r="G797" t="s">
        <v>1462</v>
      </c>
      <c r="H797" t="s">
        <v>1274</v>
      </c>
      <c r="I797" t="s">
        <v>609</v>
      </c>
      <c r="J797" t="s">
        <v>289</v>
      </c>
      <c r="K797" t="s">
        <v>534</v>
      </c>
      <c r="L797">
        <v>0.86</v>
      </c>
      <c r="M797" t="s">
        <v>4468</v>
      </c>
      <c r="N797" t="s">
        <v>4469</v>
      </c>
      <c r="O797" t="s">
        <v>4470</v>
      </c>
      <c r="P797" t="s">
        <v>485</v>
      </c>
      <c r="Q797" t="s">
        <v>2885</v>
      </c>
      <c r="R797" t="s">
        <v>2886</v>
      </c>
      <c r="S797" t="s">
        <v>2885</v>
      </c>
      <c r="T797" t="s">
        <v>2886</v>
      </c>
    </row>
    <row r="798" spans="1:20">
      <c r="A798" s="241">
        <v>44001</v>
      </c>
      <c r="B798" t="s">
        <v>4471</v>
      </c>
      <c r="C798" t="s">
        <v>1139</v>
      </c>
      <c r="D798" t="s">
        <v>392</v>
      </c>
      <c r="E798" t="s">
        <v>2731</v>
      </c>
      <c r="F798" t="s">
        <v>926</v>
      </c>
      <c r="G798" t="s">
        <v>591</v>
      </c>
      <c r="H798" t="s">
        <v>307</v>
      </c>
      <c r="I798" t="s">
        <v>849</v>
      </c>
      <c r="J798" t="s">
        <v>1070</v>
      </c>
      <c r="K798" t="s">
        <v>534</v>
      </c>
      <c r="L798">
        <v>0.86</v>
      </c>
      <c r="M798" t="s">
        <v>4472</v>
      </c>
      <c r="N798" t="s">
        <v>4473</v>
      </c>
      <c r="O798" t="s">
        <v>4474</v>
      </c>
      <c r="P798" t="s">
        <v>485</v>
      </c>
      <c r="Q798" t="s">
        <v>2885</v>
      </c>
      <c r="R798" t="s">
        <v>2886</v>
      </c>
      <c r="S798" t="s">
        <v>2885</v>
      </c>
      <c r="T798" t="s">
        <v>2886</v>
      </c>
    </row>
    <row r="799" spans="1:20">
      <c r="A799" s="241">
        <v>44001</v>
      </c>
      <c r="B799" t="s">
        <v>4475</v>
      </c>
      <c r="C799" t="s">
        <v>645</v>
      </c>
      <c r="D799" t="s">
        <v>556</v>
      </c>
      <c r="E799" t="s">
        <v>1314</v>
      </c>
      <c r="F799" t="s">
        <v>405</v>
      </c>
      <c r="G799" t="s">
        <v>315</v>
      </c>
      <c r="H799" t="s">
        <v>529</v>
      </c>
      <c r="I799" t="s">
        <v>609</v>
      </c>
      <c r="J799" t="s">
        <v>289</v>
      </c>
      <c r="K799" t="s">
        <v>534</v>
      </c>
      <c r="L799">
        <v>0.86</v>
      </c>
      <c r="M799" t="s">
        <v>4476</v>
      </c>
      <c r="N799" t="s">
        <v>4477</v>
      </c>
      <c r="O799" t="s">
        <v>4478</v>
      </c>
      <c r="P799" t="s">
        <v>485</v>
      </c>
      <c r="Q799" t="s">
        <v>2885</v>
      </c>
      <c r="R799" t="s">
        <v>2886</v>
      </c>
      <c r="S799" t="s">
        <v>2885</v>
      </c>
      <c r="T799" t="s">
        <v>2886</v>
      </c>
    </row>
    <row r="800" spans="1:20">
      <c r="A800" s="241">
        <v>44001</v>
      </c>
      <c r="B800" t="s">
        <v>4479</v>
      </c>
      <c r="C800" t="s">
        <v>392</v>
      </c>
      <c r="D800" t="s">
        <v>392</v>
      </c>
      <c r="E800" t="s">
        <v>2584</v>
      </c>
      <c r="F800" t="s">
        <v>926</v>
      </c>
      <c r="G800" t="s">
        <v>1841</v>
      </c>
      <c r="H800" t="s">
        <v>226</v>
      </c>
      <c r="I800" t="s">
        <v>863</v>
      </c>
      <c r="J800" t="s">
        <v>298</v>
      </c>
      <c r="K800" t="s">
        <v>214</v>
      </c>
      <c r="L800">
        <v>0.86</v>
      </c>
      <c r="M800" t="s">
        <v>4480</v>
      </c>
      <c r="N800" t="s">
        <v>4481</v>
      </c>
      <c r="O800" t="s">
        <v>4482</v>
      </c>
      <c r="P800" t="s">
        <v>485</v>
      </c>
      <c r="Q800" t="s">
        <v>2885</v>
      </c>
      <c r="R800" t="s">
        <v>2886</v>
      </c>
      <c r="S800" t="s">
        <v>2885</v>
      </c>
      <c r="T800" t="s">
        <v>2886</v>
      </c>
    </row>
    <row r="801" spans="1:20">
      <c r="A801" s="241">
        <v>44001</v>
      </c>
      <c r="B801" t="s">
        <v>4483</v>
      </c>
      <c r="C801" t="s">
        <v>631</v>
      </c>
      <c r="D801" t="s">
        <v>402</v>
      </c>
      <c r="E801" t="s">
        <v>1314</v>
      </c>
      <c r="F801" t="s">
        <v>395</v>
      </c>
      <c r="G801" t="s">
        <v>617</v>
      </c>
      <c r="H801" t="s">
        <v>226</v>
      </c>
      <c r="I801" t="s">
        <v>1082</v>
      </c>
      <c r="J801" t="s">
        <v>857</v>
      </c>
      <c r="K801" t="s">
        <v>1032</v>
      </c>
      <c r="L801">
        <v>0.86</v>
      </c>
      <c r="M801" t="s">
        <v>4484</v>
      </c>
      <c r="N801" t="s">
        <v>4485</v>
      </c>
      <c r="O801" t="s">
        <v>4486</v>
      </c>
      <c r="P801" t="s">
        <v>485</v>
      </c>
      <c r="Q801" t="s">
        <v>2885</v>
      </c>
      <c r="R801" t="s">
        <v>2886</v>
      </c>
      <c r="S801" t="s">
        <v>2885</v>
      </c>
      <c r="T801" t="s">
        <v>2886</v>
      </c>
    </row>
    <row r="802" spans="1:20">
      <c r="A802" s="241">
        <v>44001</v>
      </c>
      <c r="B802" t="s">
        <v>4487</v>
      </c>
      <c r="C802" t="s">
        <v>679</v>
      </c>
      <c r="D802" t="s">
        <v>645</v>
      </c>
      <c r="E802" t="s">
        <v>3054</v>
      </c>
      <c r="F802" t="s">
        <v>314</v>
      </c>
      <c r="G802" t="s">
        <v>1500</v>
      </c>
      <c r="H802" t="s">
        <v>1818</v>
      </c>
      <c r="I802" t="s">
        <v>1811</v>
      </c>
      <c r="J802" t="s">
        <v>309</v>
      </c>
      <c r="K802" t="s">
        <v>571</v>
      </c>
      <c r="L802">
        <v>0.86</v>
      </c>
      <c r="M802" t="s">
        <v>4488</v>
      </c>
      <c r="N802" t="s">
        <v>4489</v>
      </c>
      <c r="O802" t="s">
        <v>4490</v>
      </c>
      <c r="P802" t="s">
        <v>485</v>
      </c>
      <c r="Q802" t="s">
        <v>2885</v>
      </c>
      <c r="R802" t="s">
        <v>2886</v>
      </c>
      <c r="S802" t="s">
        <v>2885</v>
      </c>
      <c r="T802" t="s">
        <v>2886</v>
      </c>
    </row>
    <row r="803" spans="1:20">
      <c r="A803" s="241">
        <v>44001</v>
      </c>
      <c r="B803" t="s">
        <v>4491</v>
      </c>
      <c r="C803" t="s">
        <v>2535</v>
      </c>
      <c r="D803" t="s">
        <v>382</v>
      </c>
      <c r="E803" t="s">
        <v>2893</v>
      </c>
      <c r="F803" t="s">
        <v>405</v>
      </c>
      <c r="G803" t="s">
        <v>1292</v>
      </c>
      <c r="H803" t="s">
        <v>1818</v>
      </c>
      <c r="I803" t="s">
        <v>1087</v>
      </c>
      <c r="J803" t="s">
        <v>601</v>
      </c>
      <c r="K803" t="s">
        <v>515</v>
      </c>
      <c r="L803">
        <v>0.86</v>
      </c>
      <c r="M803" t="s">
        <v>4492</v>
      </c>
      <c r="N803" t="s">
        <v>4493</v>
      </c>
      <c r="O803" t="s">
        <v>4494</v>
      </c>
      <c r="P803" t="s">
        <v>485</v>
      </c>
      <c r="Q803" t="s">
        <v>2885</v>
      </c>
      <c r="R803" t="s">
        <v>2886</v>
      </c>
      <c r="S803" t="s">
        <v>2885</v>
      </c>
      <c r="T803" t="s">
        <v>2886</v>
      </c>
    </row>
    <row r="804" spans="1:20">
      <c r="A804" s="241">
        <v>44001</v>
      </c>
      <c r="B804" t="s">
        <v>4495</v>
      </c>
      <c r="C804" t="s">
        <v>392</v>
      </c>
      <c r="D804" t="s">
        <v>343</v>
      </c>
      <c r="E804" t="s">
        <v>1314</v>
      </c>
      <c r="F804" t="s">
        <v>1511</v>
      </c>
      <c r="G804" t="s">
        <v>1292</v>
      </c>
      <c r="H804" t="s">
        <v>566</v>
      </c>
      <c r="I804" t="s">
        <v>1501</v>
      </c>
      <c r="J804" t="s">
        <v>620</v>
      </c>
      <c r="K804" t="s">
        <v>214</v>
      </c>
      <c r="L804">
        <v>0.86</v>
      </c>
      <c r="M804" t="s">
        <v>4496</v>
      </c>
      <c r="N804" t="s">
        <v>4497</v>
      </c>
      <c r="O804" t="s">
        <v>4498</v>
      </c>
      <c r="P804" t="s">
        <v>485</v>
      </c>
      <c r="Q804" t="s">
        <v>2885</v>
      </c>
      <c r="R804" t="s">
        <v>2886</v>
      </c>
      <c r="S804" t="s">
        <v>2885</v>
      </c>
      <c r="T804" t="s">
        <v>2886</v>
      </c>
    </row>
    <row r="805" spans="1:20">
      <c r="A805" s="241">
        <v>44001</v>
      </c>
      <c r="B805" t="s">
        <v>4499</v>
      </c>
      <c r="C805" t="s">
        <v>2535</v>
      </c>
      <c r="D805" t="s">
        <v>208</v>
      </c>
      <c r="E805" t="s">
        <v>632</v>
      </c>
      <c r="F805" t="s">
        <v>639</v>
      </c>
      <c r="G805" t="s">
        <v>334</v>
      </c>
      <c r="H805" t="s">
        <v>618</v>
      </c>
      <c r="I805" t="s">
        <v>317</v>
      </c>
      <c r="J805" t="s">
        <v>1484</v>
      </c>
      <c r="K805" t="s">
        <v>571</v>
      </c>
      <c r="L805">
        <v>0.86</v>
      </c>
      <c r="M805" t="s">
        <v>4500</v>
      </c>
      <c r="N805" t="s">
        <v>4501</v>
      </c>
      <c r="O805" t="s">
        <v>4502</v>
      </c>
      <c r="P805" t="s">
        <v>485</v>
      </c>
      <c r="Q805" t="s">
        <v>2885</v>
      </c>
      <c r="R805" t="s">
        <v>2886</v>
      </c>
      <c r="S805" t="s">
        <v>2885</v>
      </c>
      <c r="T805" t="s">
        <v>2886</v>
      </c>
    </row>
    <row r="806" spans="1:20">
      <c r="A806" s="241">
        <v>44001</v>
      </c>
      <c r="B806" t="s">
        <v>4503</v>
      </c>
      <c r="C806" t="s">
        <v>615</v>
      </c>
      <c r="D806" t="s">
        <v>671</v>
      </c>
      <c r="E806" t="s">
        <v>1049</v>
      </c>
      <c r="F806" t="s">
        <v>364</v>
      </c>
      <c r="G806" t="s">
        <v>875</v>
      </c>
      <c r="H806" t="s">
        <v>881</v>
      </c>
      <c r="I806" t="s">
        <v>336</v>
      </c>
      <c r="J806" t="s">
        <v>1506</v>
      </c>
      <c r="K806" t="s">
        <v>244</v>
      </c>
      <c r="L806">
        <v>0.86</v>
      </c>
      <c r="M806" t="s">
        <v>4504</v>
      </c>
      <c r="N806" t="s">
        <v>4505</v>
      </c>
      <c r="O806" t="s">
        <v>4506</v>
      </c>
      <c r="P806" t="s">
        <v>485</v>
      </c>
      <c r="Q806" t="s">
        <v>2885</v>
      </c>
      <c r="R806" t="s">
        <v>2886</v>
      </c>
      <c r="S806" t="s">
        <v>2885</v>
      </c>
      <c r="T806" t="s">
        <v>2886</v>
      </c>
    </row>
    <row r="807" spans="1:20">
      <c r="A807" s="241">
        <v>44001</v>
      </c>
      <c r="B807" t="s">
        <v>4507</v>
      </c>
      <c r="C807" t="s">
        <v>2535</v>
      </c>
      <c r="D807" t="s">
        <v>2478</v>
      </c>
      <c r="E807" t="s">
        <v>2932</v>
      </c>
      <c r="F807" t="s">
        <v>454</v>
      </c>
      <c r="G807" t="s">
        <v>1832</v>
      </c>
      <c r="H807" t="s">
        <v>1056</v>
      </c>
      <c r="I807" t="s">
        <v>1097</v>
      </c>
      <c r="J807" t="s">
        <v>1827</v>
      </c>
      <c r="K807" t="s">
        <v>231</v>
      </c>
      <c r="L807">
        <v>0.86</v>
      </c>
      <c r="M807" t="s">
        <v>4508</v>
      </c>
      <c r="N807" t="s">
        <v>4509</v>
      </c>
      <c r="O807" t="s">
        <v>4510</v>
      </c>
      <c r="P807" t="s">
        <v>218</v>
      </c>
      <c r="Q807" t="s">
        <v>2885</v>
      </c>
      <c r="R807" t="s">
        <v>2886</v>
      </c>
      <c r="S807" t="s">
        <v>2885</v>
      </c>
      <c r="T807" t="s">
        <v>2886</v>
      </c>
    </row>
    <row r="808" spans="1:20">
      <c r="A808" s="241">
        <v>44001</v>
      </c>
      <c r="B808" t="s">
        <v>4511</v>
      </c>
      <c r="C808" t="s">
        <v>679</v>
      </c>
      <c r="D808" t="s">
        <v>424</v>
      </c>
      <c r="E808" t="s">
        <v>2932</v>
      </c>
      <c r="F808" t="s">
        <v>887</v>
      </c>
      <c r="G808" t="s">
        <v>1512</v>
      </c>
      <c r="H808" t="s">
        <v>649</v>
      </c>
      <c r="I808" t="s">
        <v>1097</v>
      </c>
      <c r="J808" t="s">
        <v>1827</v>
      </c>
      <c r="K808" t="s">
        <v>231</v>
      </c>
      <c r="L808">
        <v>0.86</v>
      </c>
      <c r="M808" t="s">
        <v>4512</v>
      </c>
      <c r="N808" t="s">
        <v>4513</v>
      </c>
      <c r="O808" t="s">
        <v>4514</v>
      </c>
      <c r="P808" t="s">
        <v>218</v>
      </c>
      <c r="Q808" t="s">
        <v>2885</v>
      </c>
      <c r="R808" t="s">
        <v>2886</v>
      </c>
      <c r="S808" t="s">
        <v>2885</v>
      </c>
      <c r="T808" t="s">
        <v>2886</v>
      </c>
    </row>
    <row r="809" spans="1:20">
      <c r="A809" s="241">
        <v>44001</v>
      </c>
      <c r="B809" t="s">
        <v>4515</v>
      </c>
      <c r="C809" t="s">
        <v>2478</v>
      </c>
      <c r="D809" t="s">
        <v>250</v>
      </c>
      <c r="E809" t="s">
        <v>1102</v>
      </c>
      <c r="F809" t="s">
        <v>285</v>
      </c>
      <c r="G809" t="s">
        <v>617</v>
      </c>
      <c r="H809" t="s">
        <v>1262</v>
      </c>
      <c r="I809" t="s">
        <v>317</v>
      </c>
      <c r="J809" t="s">
        <v>601</v>
      </c>
      <c r="K809" t="s">
        <v>1012</v>
      </c>
      <c r="L809">
        <v>0.86</v>
      </c>
      <c r="M809" t="s">
        <v>4516</v>
      </c>
      <c r="N809" t="s">
        <v>4517</v>
      </c>
      <c r="O809" t="s">
        <v>4518</v>
      </c>
      <c r="P809" t="s">
        <v>218</v>
      </c>
      <c r="Q809" t="s">
        <v>2885</v>
      </c>
      <c r="R809" t="s">
        <v>2886</v>
      </c>
      <c r="S809" t="s">
        <v>2885</v>
      </c>
      <c r="T809" t="s">
        <v>2886</v>
      </c>
    </row>
    <row r="810" spans="1:20">
      <c r="A810" s="241">
        <v>44001</v>
      </c>
      <c r="B810" t="s">
        <v>4519</v>
      </c>
      <c r="C810" t="s">
        <v>679</v>
      </c>
      <c r="D810" t="s">
        <v>671</v>
      </c>
      <c r="E810" t="s">
        <v>2932</v>
      </c>
      <c r="F810" t="s">
        <v>887</v>
      </c>
      <c r="G810" t="s">
        <v>648</v>
      </c>
      <c r="H810" t="s">
        <v>616</v>
      </c>
      <c r="I810" t="s">
        <v>357</v>
      </c>
      <c r="J810" t="s">
        <v>2372</v>
      </c>
      <c r="K810" t="s">
        <v>268</v>
      </c>
      <c r="L810">
        <v>0.86</v>
      </c>
      <c r="M810" t="s">
        <v>4520</v>
      </c>
      <c r="N810" t="s">
        <v>4521</v>
      </c>
      <c r="O810" t="s">
        <v>4522</v>
      </c>
      <c r="P810" t="s">
        <v>218</v>
      </c>
      <c r="Q810" t="s">
        <v>2885</v>
      </c>
      <c r="R810" t="s">
        <v>2886</v>
      </c>
      <c r="S810" t="s">
        <v>2885</v>
      </c>
      <c r="T810" t="s">
        <v>2886</v>
      </c>
    </row>
    <row r="811" spans="1:20">
      <c r="A811" s="241">
        <v>44001</v>
      </c>
      <c r="B811" t="s">
        <v>4523</v>
      </c>
      <c r="C811" t="s">
        <v>645</v>
      </c>
      <c r="D811" t="s">
        <v>2535</v>
      </c>
      <c r="E811" t="s">
        <v>2893</v>
      </c>
      <c r="F811" t="s">
        <v>897</v>
      </c>
      <c r="G811" t="s">
        <v>617</v>
      </c>
      <c r="H811" t="s">
        <v>1056</v>
      </c>
      <c r="I811" t="s">
        <v>1518</v>
      </c>
      <c r="J811" t="s">
        <v>337</v>
      </c>
      <c r="K811" t="s">
        <v>299</v>
      </c>
      <c r="L811">
        <v>0.86</v>
      </c>
      <c r="M811" t="s">
        <v>4524</v>
      </c>
      <c r="N811" t="s">
        <v>4525</v>
      </c>
      <c r="O811" t="s">
        <v>4526</v>
      </c>
      <c r="P811" t="s">
        <v>218</v>
      </c>
      <c r="Q811" t="s">
        <v>2885</v>
      </c>
      <c r="R811" t="s">
        <v>2886</v>
      </c>
      <c r="S811" t="s">
        <v>2885</v>
      </c>
      <c r="T811" t="s">
        <v>2886</v>
      </c>
    </row>
    <row r="812" spans="1:20">
      <c r="A812" s="241">
        <v>44001</v>
      </c>
      <c r="B812" t="s">
        <v>4527</v>
      </c>
      <c r="C812" t="s">
        <v>712</v>
      </c>
      <c r="D812" t="s">
        <v>208</v>
      </c>
      <c r="E812" t="s">
        <v>2769</v>
      </c>
      <c r="F812" t="s">
        <v>2206</v>
      </c>
      <c r="G812" t="s">
        <v>2177</v>
      </c>
      <c r="H812" t="s">
        <v>649</v>
      </c>
      <c r="I812" t="s">
        <v>888</v>
      </c>
      <c r="J812" t="s">
        <v>2372</v>
      </c>
      <c r="K812" t="s">
        <v>256</v>
      </c>
      <c r="L812">
        <v>0.86</v>
      </c>
      <c r="M812" t="s">
        <v>4528</v>
      </c>
      <c r="N812" t="s">
        <v>4529</v>
      </c>
      <c r="O812" t="s">
        <v>4530</v>
      </c>
      <c r="P812" t="s">
        <v>218</v>
      </c>
      <c r="Q812" t="s">
        <v>2885</v>
      </c>
      <c r="R812" t="s">
        <v>2886</v>
      </c>
      <c r="S812" t="s">
        <v>2885</v>
      </c>
      <c r="T812" t="s">
        <v>2886</v>
      </c>
    </row>
    <row r="813" spans="1:20">
      <c r="A813" s="241">
        <v>44001</v>
      </c>
      <c r="B813" t="s">
        <v>4531</v>
      </c>
      <c r="C813" t="s">
        <v>631</v>
      </c>
      <c r="D813" t="s">
        <v>443</v>
      </c>
      <c r="E813" t="s">
        <v>1121</v>
      </c>
      <c r="F813" t="s">
        <v>662</v>
      </c>
      <c r="G813" t="s">
        <v>1115</v>
      </c>
      <c r="H813" t="s">
        <v>1056</v>
      </c>
      <c r="I813" t="s">
        <v>1523</v>
      </c>
      <c r="J813" t="s">
        <v>2372</v>
      </c>
      <c r="K813" t="s">
        <v>244</v>
      </c>
      <c r="L813">
        <v>0.86</v>
      </c>
      <c r="M813" t="s">
        <v>4532</v>
      </c>
      <c r="N813" t="s">
        <v>4533</v>
      </c>
      <c r="O813" t="s">
        <v>4534</v>
      </c>
      <c r="P813" t="s">
        <v>218</v>
      </c>
      <c r="Q813" t="s">
        <v>2885</v>
      </c>
      <c r="R813" t="s">
        <v>2886</v>
      </c>
      <c r="S813" t="s">
        <v>2885</v>
      </c>
      <c r="T813" t="s">
        <v>2886</v>
      </c>
    </row>
    <row r="814" spans="1:20">
      <c r="A814" s="241">
        <v>44001</v>
      </c>
      <c r="B814" t="s">
        <v>4535</v>
      </c>
      <c r="C814" t="s">
        <v>1139</v>
      </c>
      <c r="D814" t="s">
        <v>392</v>
      </c>
      <c r="E814" t="s">
        <v>2544</v>
      </c>
      <c r="F814" t="s">
        <v>689</v>
      </c>
      <c r="G814" t="s">
        <v>1122</v>
      </c>
      <c r="H814" t="s">
        <v>1056</v>
      </c>
      <c r="I814" t="s">
        <v>376</v>
      </c>
      <c r="J814" t="s">
        <v>665</v>
      </c>
      <c r="K814" t="s">
        <v>338</v>
      </c>
      <c r="L814">
        <v>0.86</v>
      </c>
      <c r="M814" t="s">
        <v>4536</v>
      </c>
      <c r="N814" t="s">
        <v>4537</v>
      </c>
      <c r="O814" t="s">
        <v>4538</v>
      </c>
      <c r="P814" t="s">
        <v>218</v>
      </c>
      <c r="Q814" t="s">
        <v>2885</v>
      </c>
      <c r="R814" t="s">
        <v>2886</v>
      </c>
      <c r="S814" t="s">
        <v>2885</v>
      </c>
      <c r="T814" t="s">
        <v>2886</v>
      </c>
    </row>
    <row r="815" spans="1:20">
      <c r="A815" s="241">
        <v>44001</v>
      </c>
      <c r="B815" t="s">
        <v>4539</v>
      </c>
      <c r="C815" t="s">
        <v>294</v>
      </c>
      <c r="D815" t="s">
        <v>343</v>
      </c>
      <c r="E815" t="s">
        <v>2769</v>
      </c>
      <c r="F815" t="s">
        <v>1315</v>
      </c>
      <c r="G815" t="s">
        <v>1115</v>
      </c>
      <c r="H815" t="s">
        <v>576</v>
      </c>
      <c r="I815" t="s">
        <v>367</v>
      </c>
      <c r="J815" t="s">
        <v>1868</v>
      </c>
      <c r="K815" t="s">
        <v>579</v>
      </c>
      <c r="L815">
        <v>0.86</v>
      </c>
      <c r="M815" t="s">
        <v>4540</v>
      </c>
      <c r="N815" t="s">
        <v>4541</v>
      </c>
      <c r="O815" t="s">
        <v>4542</v>
      </c>
      <c r="P815" t="s">
        <v>218</v>
      </c>
      <c r="Q815" t="s">
        <v>2885</v>
      </c>
      <c r="R815" t="s">
        <v>2886</v>
      </c>
      <c r="S815" t="s">
        <v>2885</v>
      </c>
      <c r="T815" t="s">
        <v>2886</v>
      </c>
    </row>
    <row r="816" spans="1:20">
      <c r="A816" s="241">
        <v>44001</v>
      </c>
      <c r="B816" t="s">
        <v>4543</v>
      </c>
      <c r="C816" t="s">
        <v>671</v>
      </c>
      <c r="D816" t="s">
        <v>392</v>
      </c>
      <c r="E816" t="s">
        <v>2731</v>
      </c>
      <c r="F816" t="s">
        <v>433</v>
      </c>
      <c r="G816" t="s">
        <v>1590</v>
      </c>
      <c r="H816" t="s">
        <v>1056</v>
      </c>
      <c r="I816" t="s">
        <v>1547</v>
      </c>
      <c r="J816" t="s">
        <v>899</v>
      </c>
      <c r="K816" t="s">
        <v>268</v>
      </c>
      <c r="L816">
        <v>0.86</v>
      </c>
      <c r="M816" t="s">
        <v>4544</v>
      </c>
      <c r="N816" t="s">
        <v>4545</v>
      </c>
      <c r="O816" t="s">
        <v>4546</v>
      </c>
      <c r="P816" t="s">
        <v>218</v>
      </c>
      <c r="Q816" t="s">
        <v>2885</v>
      </c>
      <c r="R816" t="s">
        <v>2886</v>
      </c>
      <c r="S816" t="s">
        <v>2885</v>
      </c>
      <c r="T816" t="s">
        <v>2886</v>
      </c>
    </row>
    <row r="817" spans="1:20">
      <c r="A817" s="241">
        <v>44001</v>
      </c>
      <c r="B817" t="s">
        <v>4547</v>
      </c>
      <c r="C817" t="s">
        <v>2478</v>
      </c>
      <c r="D817" t="s">
        <v>2478</v>
      </c>
      <c r="E817" t="s">
        <v>2544</v>
      </c>
      <c r="F817" t="s">
        <v>1882</v>
      </c>
      <c r="G817" t="s">
        <v>1590</v>
      </c>
      <c r="H817" t="s">
        <v>285</v>
      </c>
      <c r="I817" t="s">
        <v>664</v>
      </c>
      <c r="J817" t="s">
        <v>1116</v>
      </c>
      <c r="K817" t="s">
        <v>256</v>
      </c>
      <c r="L817">
        <v>0.86</v>
      </c>
      <c r="M817" t="s">
        <v>4548</v>
      </c>
      <c r="N817" t="s">
        <v>4549</v>
      </c>
      <c r="O817" t="s">
        <v>4550</v>
      </c>
      <c r="P817" t="s">
        <v>218</v>
      </c>
      <c r="Q817" t="s">
        <v>2885</v>
      </c>
      <c r="R817" t="s">
        <v>2886</v>
      </c>
      <c r="S817" t="s">
        <v>2885</v>
      </c>
      <c r="T817" t="s">
        <v>2886</v>
      </c>
    </row>
    <row r="818" spans="1:20">
      <c r="A818" s="241">
        <v>44001</v>
      </c>
      <c r="B818" t="s">
        <v>4551</v>
      </c>
      <c r="C818" t="s">
        <v>679</v>
      </c>
      <c r="D818" t="s">
        <v>1139</v>
      </c>
      <c r="E818" t="s">
        <v>646</v>
      </c>
      <c r="F818" t="s">
        <v>2579</v>
      </c>
      <c r="G818" t="s">
        <v>2393</v>
      </c>
      <c r="H818" t="s">
        <v>1552</v>
      </c>
      <c r="I818" t="s">
        <v>1563</v>
      </c>
      <c r="J818" t="s">
        <v>387</v>
      </c>
      <c r="K818" t="s">
        <v>651</v>
      </c>
      <c r="L818">
        <v>0.86</v>
      </c>
      <c r="M818" t="s">
        <v>4552</v>
      </c>
      <c r="N818" t="s">
        <v>4553</v>
      </c>
      <c r="O818" t="s">
        <v>4554</v>
      </c>
      <c r="P818" t="s">
        <v>218</v>
      </c>
      <c r="Q818" t="s">
        <v>2885</v>
      </c>
      <c r="R818" t="s">
        <v>2886</v>
      </c>
      <c r="S818" t="s">
        <v>2885</v>
      </c>
      <c r="T818" t="s">
        <v>2886</v>
      </c>
    </row>
    <row r="819" spans="1:20">
      <c r="A819" s="241">
        <v>44001</v>
      </c>
      <c r="B819" t="s">
        <v>4555</v>
      </c>
      <c r="C819" t="s">
        <v>679</v>
      </c>
      <c r="D819" t="s">
        <v>382</v>
      </c>
      <c r="E819" t="s">
        <v>680</v>
      </c>
      <c r="F819" t="s">
        <v>1584</v>
      </c>
      <c r="G819" t="s">
        <v>2393</v>
      </c>
      <c r="H819" t="s">
        <v>1574</v>
      </c>
      <c r="I819" t="s">
        <v>911</v>
      </c>
      <c r="J819" t="s">
        <v>684</v>
      </c>
      <c r="K819" t="s">
        <v>280</v>
      </c>
      <c r="L819">
        <v>0.86</v>
      </c>
      <c r="M819" t="s">
        <v>4556</v>
      </c>
      <c r="N819" t="s">
        <v>4557</v>
      </c>
      <c r="O819" t="s">
        <v>4558</v>
      </c>
      <c r="P819" t="s">
        <v>218</v>
      </c>
      <c r="Q819" t="s">
        <v>2885</v>
      </c>
      <c r="R819" t="s">
        <v>2886</v>
      </c>
      <c r="S819" t="s">
        <v>2885</v>
      </c>
      <c r="T819" t="s">
        <v>2886</v>
      </c>
    </row>
    <row r="820" spans="1:20">
      <c r="A820" s="241">
        <v>44001</v>
      </c>
      <c r="B820" t="s">
        <v>4559</v>
      </c>
      <c r="C820" t="s">
        <v>423</v>
      </c>
      <c r="D820" t="s">
        <v>392</v>
      </c>
      <c r="E820" t="s">
        <v>606</v>
      </c>
      <c r="F820" t="s">
        <v>1536</v>
      </c>
      <c r="G820" t="s">
        <v>705</v>
      </c>
      <c r="H820" t="s">
        <v>395</v>
      </c>
      <c r="I820" t="s">
        <v>911</v>
      </c>
      <c r="J820" t="s">
        <v>1298</v>
      </c>
      <c r="K820" t="s">
        <v>338</v>
      </c>
      <c r="L820">
        <v>0.86</v>
      </c>
      <c r="M820" t="s">
        <v>4560</v>
      </c>
      <c r="N820" t="s">
        <v>4561</v>
      </c>
      <c r="O820" t="s">
        <v>4562</v>
      </c>
      <c r="P820" t="s">
        <v>218</v>
      </c>
      <c r="Q820" t="s">
        <v>2885</v>
      </c>
      <c r="R820" t="s">
        <v>2886</v>
      </c>
      <c r="S820" t="s">
        <v>2885</v>
      </c>
      <c r="T820" t="s">
        <v>2886</v>
      </c>
    </row>
    <row r="821" spans="1:20">
      <c r="A821" s="241">
        <v>44001</v>
      </c>
      <c r="B821" t="s">
        <v>4563</v>
      </c>
      <c r="C821" t="s">
        <v>625</v>
      </c>
      <c r="D821" t="s">
        <v>1139</v>
      </c>
      <c r="E821" t="s">
        <v>646</v>
      </c>
      <c r="F821" t="s">
        <v>917</v>
      </c>
      <c r="G821" t="s">
        <v>1605</v>
      </c>
      <c r="H821" t="s">
        <v>926</v>
      </c>
      <c r="I821" t="s">
        <v>690</v>
      </c>
      <c r="J821" t="s">
        <v>1569</v>
      </c>
      <c r="K821" t="s">
        <v>280</v>
      </c>
      <c r="L821">
        <v>0.86</v>
      </c>
      <c r="M821" t="s">
        <v>4564</v>
      </c>
      <c r="N821" t="s">
        <v>4565</v>
      </c>
      <c r="O821" t="s">
        <v>4566</v>
      </c>
      <c r="P821" t="s">
        <v>218</v>
      </c>
      <c r="Q821" t="s">
        <v>2885</v>
      </c>
      <c r="R821" t="s">
        <v>2886</v>
      </c>
      <c r="S821" t="s">
        <v>2885</v>
      </c>
      <c r="T821" t="s">
        <v>2886</v>
      </c>
    </row>
    <row r="822" spans="1:20">
      <c r="A822" s="241">
        <v>44001</v>
      </c>
      <c r="B822" t="s">
        <v>4567</v>
      </c>
      <c r="C822" t="s">
        <v>294</v>
      </c>
      <c r="D822" t="s">
        <v>2478</v>
      </c>
      <c r="E822" t="s">
        <v>3054</v>
      </c>
      <c r="F822" t="s">
        <v>393</v>
      </c>
      <c r="G822" t="s">
        <v>425</v>
      </c>
      <c r="H822" t="s">
        <v>314</v>
      </c>
      <c r="I822" t="s">
        <v>690</v>
      </c>
      <c r="J822" t="s">
        <v>1569</v>
      </c>
      <c r="K822" t="s">
        <v>338</v>
      </c>
      <c r="L822">
        <v>0.86</v>
      </c>
      <c r="M822" t="s">
        <v>4568</v>
      </c>
      <c r="N822" t="s">
        <v>4569</v>
      </c>
      <c r="O822" t="s">
        <v>4570</v>
      </c>
      <c r="P822" t="s">
        <v>218</v>
      </c>
      <c r="Q822" t="s">
        <v>2885</v>
      </c>
      <c r="R822" t="s">
        <v>2886</v>
      </c>
      <c r="S822" t="s">
        <v>2885</v>
      </c>
      <c r="T822" t="s">
        <v>2886</v>
      </c>
    </row>
    <row r="823" spans="1:20">
      <c r="A823" s="241">
        <v>44001</v>
      </c>
      <c r="B823" t="s">
        <v>4571</v>
      </c>
      <c r="C823" t="s">
        <v>392</v>
      </c>
      <c r="D823" t="s">
        <v>1139</v>
      </c>
      <c r="E823" t="s">
        <v>606</v>
      </c>
      <c r="F823" t="s">
        <v>924</v>
      </c>
      <c r="G823" t="s">
        <v>931</v>
      </c>
      <c r="H823" t="s">
        <v>405</v>
      </c>
      <c r="I823" t="s">
        <v>698</v>
      </c>
      <c r="J823" t="s">
        <v>397</v>
      </c>
      <c r="K823" t="s">
        <v>327</v>
      </c>
      <c r="L823">
        <v>0.86</v>
      </c>
      <c r="M823" t="s">
        <v>4572</v>
      </c>
      <c r="N823" t="s">
        <v>4573</v>
      </c>
      <c r="O823" t="s">
        <v>4574</v>
      </c>
      <c r="P823" t="s">
        <v>218</v>
      </c>
      <c r="Q823" t="s">
        <v>2885</v>
      </c>
      <c r="R823" t="s">
        <v>2886</v>
      </c>
      <c r="S823" t="s">
        <v>2885</v>
      </c>
      <c r="T823" t="s">
        <v>2886</v>
      </c>
    </row>
    <row r="824" spans="1:20">
      <c r="A824" s="241">
        <v>44001</v>
      </c>
      <c r="B824" t="s">
        <v>4575</v>
      </c>
      <c r="C824" t="s">
        <v>645</v>
      </c>
      <c r="D824" t="s">
        <v>1139</v>
      </c>
      <c r="E824" t="s">
        <v>646</v>
      </c>
      <c r="F824" t="s">
        <v>689</v>
      </c>
      <c r="G824" t="s">
        <v>1324</v>
      </c>
      <c r="H824" t="s">
        <v>1574</v>
      </c>
      <c r="I824" t="s">
        <v>698</v>
      </c>
      <c r="J824" t="s">
        <v>397</v>
      </c>
      <c r="K824" t="s">
        <v>327</v>
      </c>
      <c r="L824">
        <v>0.86</v>
      </c>
      <c r="M824" t="s">
        <v>4576</v>
      </c>
      <c r="N824" t="s">
        <v>4577</v>
      </c>
      <c r="O824" t="s">
        <v>4578</v>
      </c>
      <c r="P824" t="s">
        <v>218</v>
      </c>
      <c r="Q824" t="s">
        <v>2885</v>
      </c>
      <c r="R824" t="s">
        <v>2886</v>
      </c>
      <c r="S824" t="s">
        <v>2885</v>
      </c>
      <c r="T824" t="s">
        <v>2886</v>
      </c>
    </row>
    <row r="825" spans="1:20">
      <c r="A825" s="241">
        <v>44001</v>
      </c>
      <c r="B825" t="s">
        <v>4579</v>
      </c>
      <c r="C825" t="s">
        <v>631</v>
      </c>
      <c r="D825" t="s">
        <v>712</v>
      </c>
      <c r="E825" t="s">
        <v>2893</v>
      </c>
      <c r="F825" t="s">
        <v>413</v>
      </c>
      <c r="G825" t="s">
        <v>938</v>
      </c>
      <c r="H825" t="s">
        <v>405</v>
      </c>
      <c r="I825" t="s">
        <v>932</v>
      </c>
      <c r="J825" t="s">
        <v>699</v>
      </c>
      <c r="K825" t="s">
        <v>651</v>
      </c>
      <c r="L825">
        <v>0.86</v>
      </c>
      <c r="M825" t="s">
        <v>4580</v>
      </c>
      <c r="N825" t="s">
        <v>4581</v>
      </c>
      <c r="O825" t="s">
        <v>4582</v>
      </c>
      <c r="P825" t="s">
        <v>218</v>
      </c>
      <c r="Q825" t="s">
        <v>2885</v>
      </c>
      <c r="R825" t="s">
        <v>2886</v>
      </c>
      <c r="S825" t="s">
        <v>2885</v>
      </c>
      <c r="T825" t="s">
        <v>2886</v>
      </c>
    </row>
    <row r="826" spans="1:20">
      <c r="A826" s="241">
        <v>44001</v>
      </c>
      <c r="B826" t="s">
        <v>4583</v>
      </c>
      <c r="C826" t="s">
        <v>1139</v>
      </c>
      <c r="D826" t="s">
        <v>645</v>
      </c>
      <c r="E826" t="s">
        <v>2893</v>
      </c>
      <c r="F826" t="s">
        <v>945</v>
      </c>
      <c r="G826" t="s">
        <v>931</v>
      </c>
      <c r="H826" t="s">
        <v>295</v>
      </c>
      <c r="I826" t="s">
        <v>1923</v>
      </c>
      <c r="J826" t="s">
        <v>707</v>
      </c>
      <c r="K826" t="s">
        <v>327</v>
      </c>
      <c r="L826">
        <v>0.86</v>
      </c>
      <c r="M826" t="s">
        <v>4584</v>
      </c>
      <c r="N826" t="s">
        <v>4585</v>
      </c>
      <c r="O826" t="s">
        <v>4586</v>
      </c>
      <c r="P826" t="s">
        <v>218</v>
      </c>
      <c r="Q826" t="s">
        <v>2885</v>
      </c>
      <c r="R826" t="s">
        <v>2886</v>
      </c>
      <c r="S826" t="s">
        <v>2885</v>
      </c>
      <c r="T826" t="s">
        <v>2886</v>
      </c>
    </row>
    <row r="827" spans="1:20">
      <c r="A827" s="241">
        <v>44001</v>
      </c>
      <c r="B827" t="s">
        <v>4587</v>
      </c>
      <c r="C827" t="s">
        <v>294</v>
      </c>
      <c r="D827" t="s">
        <v>2478</v>
      </c>
      <c r="E827" t="s">
        <v>2544</v>
      </c>
      <c r="F827" t="s">
        <v>689</v>
      </c>
      <c r="G827" t="s">
        <v>434</v>
      </c>
      <c r="H827" t="s">
        <v>926</v>
      </c>
      <c r="I827" t="s">
        <v>698</v>
      </c>
      <c r="J827" t="s">
        <v>1141</v>
      </c>
      <c r="K827" t="s">
        <v>666</v>
      </c>
      <c r="L827">
        <v>0.86</v>
      </c>
      <c r="M827" t="s">
        <v>4588</v>
      </c>
      <c r="N827" t="s">
        <v>4589</v>
      </c>
      <c r="O827" t="s">
        <v>4590</v>
      </c>
      <c r="P827" t="s">
        <v>218</v>
      </c>
      <c r="Q827" t="s">
        <v>2885</v>
      </c>
      <c r="R827" t="s">
        <v>2886</v>
      </c>
      <c r="S827" t="s">
        <v>2885</v>
      </c>
      <c r="T827" t="s">
        <v>2886</v>
      </c>
    </row>
    <row r="828" spans="1:20">
      <c r="A828" s="241">
        <v>44001</v>
      </c>
      <c r="B828" t="s">
        <v>4591</v>
      </c>
      <c r="C828" t="s">
        <v>615</v>
      </c>
      <c r="D828" t="s">
        <v>2535</v>
      </c>
      <c r="E828" t="s">
        <v>646</v>
      </c>
      <c r="F828" t="s">
        <v>1604</v>
      </c>
      <c r="G828" t="s">
        <v>414</v>
      </c>
      <c r="H828" t="s">
        <v>2410</v>
      </c>
      <c r="I828" t="s">
        <v>416</v>
      </c>
      <c r="J828" t="s">
        <v>1304</v>
      </c>
      <c r="K828" t="s">
        <v>349</v>
      </c>
      <c r="L828">
        <v>0.86</v>
      </c>
      <c r="M828" t="s">
        <v>4592</v>
      </c>
      <c r="N828" t="s">
        <v>4593</v>
      </c>
      <c r="O828" t="s">
        <v>4594</v>
      </c>
      <c r="P828" t="s">
        <v>218</v>
      </c>
      <c r="Q828" t="s">
        <v>2885</v>
      </c>
      <c r="R828" t="s">
        <v>2886</v>
      </c>
      <c r="S828" t="s">
        <v>2885</v>
      </c>
      <c r="T828" t="s">
        <v>2886</v>
      </c>
    </row>
    <row r="829" spans="1:20">
      <c r="A829" s="241">
        <v>44001</v>
      </c>
      <c r="B829" t="s">
        <v>4595</v>
      </c>
      <c r="C829" t="s">
        <v>1079</v>
      </c>
      <c r="D829" t="s">
        <v>392</v>
      </c>
      <c r="E829" t="s">
        <v>2888</v>
      </c>
      <c r="F829" t="s">
        <v>937</v>
      </c>
      <c r="G829" t="s">
        <v>1146</v>
      </c>
      <c r="H829" t="s">
        <v>639</v>
      </c>
      <c r="I829" t="s">
        <v>416</v>
      </c>
      <c r="J829" t="s">
        <v>919</v>
      </c>
      <c r="K829" t="s">
        <v>268</v>
      </c>
      <c r="L829">
        <v>0.86</v>
      </c>
      <c r="M829" t="s">
        <v>4596</v>
      </c>
      <c r="N829" t="s">
        <v>4597</v>
      </c>
      <c r="O829" t="s">
        <v>4598</v>
      </c>
      <c r="P829" t="s">
        <v>218</v>
      </c>
      <c r="Q829" t="s">
        <v>2885</v>
      </c>
      <c r="R829" t="s">
        <v>2886</v>
      </c>
      <c r="S829" t="s">
        <v>2885</v>
      </c>
      <c r="T829" t="s">
        <v>2886</v>
      </c>
    </row>
    <row r="830" spans="1:20">
      <c r="A830" s="241">
        <v>44001</v>
      </c>
      <c r="B830" t="s">
        <v>4599</v>
      </c>
      <c r="C830" t="s">
        <v>1139</v>
      </c>
      <c r="D830" t="s">
        <v>343</v>
      </c>
      <c r="E830" t="s">
        <v>2731</v>
      </c>
      <c r="F830" t="s">
        <v>3408</v>
      </c>
      <c r="G830" t="s">
        <v>953</v>
      </c>
      <c r="H830" t="s">
        <v>1103</v>
      </c>
      <c r="I830" t="s">
        <v>1158</v>
      </c>
      <c r="J830" t="s">
        <v>940</v>
      </c>
      <c r="K830" t="s">
        <v>349</v>
      </c>
      <c r="L830">
        <v>0.86</v>
      </c>
      <c r="M830" t="s">
        <v>4600</v>
      </c>
      <c r="N830" t="s">
        <v>4601</v>
      </c>
      <c r="O830" t="s">
        <v>4602</v>
      </c>
      <c r="P830" t="s">
        <v>218</v>
      </c>
      <c r="Q830" t="s">
        <v>2885</v>
      </c>
      <c r="R830" t="s">
        <v>2886</v>
      </c>
      <c r="S830" t="s">
        <v>2885</v>
      </c>
      <c r="T830" t="s">
        <v>2886</v>
      </c>
    </row>
    <row r="831" spans="1:20">
      <c r="A831" s="241">
        <v>44001</v>
      </c>
      <c r="B831" t="s">
        <v>4603</v>
      </c>
      <c r="C831" t="s">
        <v>2478</v>
      </c>
      <c r="D831" t="s">
        <v>2535</v>
      </c>
      <c r="E831" t="s">
        <v>2731</v>
      </c>
      <c r="F831" t="s">
        <v>1625</v>
      </c>
      <c r="G831" t="s">
        <v>3072</v>
      </c>
      <c r="H831" t="s">
        <v>364</v>
      </c>
      <c r="I831" t="s">
        <v>446</v>
      </c>
      <c r="J831" t="s">
        <v>954</v>
      </c>
      <c r="K831" t="s">
        <v>349</v>
      </c>
      <c r="L831">
        <v>0.86</v>
      </c>
      <c r="M831" t="s">
        <v>4604</v>
      </c>
      <c r="N831" t="s">
        <v>4605</v>
      </c>
      <c r="O831" t="s">
        <v>4606</v>
      </c>
      <c r="P831" t="s">
        <v>218</v>
      </c>
      <c r="Q831" t="s">
        <v>2885</v>
      </c>
      <c r="R831" t="s">
        <v>2886</v>
      </c>
      <c r="S831" t="s">
        <v>2885</v>
      </c>
      <c r="T831" t="s">
        <v>2886</v>
      </c>
    </row>
    <row r="832" spans="1:20">
      <c r="A832" s="241">
        <v>44001</v>
      </c>
      <c r="B832" t="s">
        <v>4607</v>
      </c>
      <c r="C832" t="s">
        <v>392</v>
      </c>
      <c r="D832" t="s">
        <v>2549</v>
      </c>
      <c r="E832" t="s">
        <v>2880</v>
      </c>
      <c r="F832" t="s">
        <v>3086</v>
      </c>
      <c r="G832" t="s">
        <v>2419</v>
      </c>
      <c r="H832" t="s">
        <v>1541</v>
      </c>
      <c r="I832" t="s">
        <v>1631</v>
      </c>
      <c r="J832" t="s">
        <v>1159</v>
      </c>
      <c r="K832" t="s">
        <v>651</v>
      </c>
      <c r="L832">
        <v>0.86</v>
      </c>
      <c r="M832" t="s">
        <v>4608</v>
      </c>
      <c r="N832" t="s">
        <v>4609</v>
      </c>
      <c r="O832" t="s">
        <v>4610</v>
      </c>
      <c r="P832" t="s">
        <v>218</v>
      </c>
      <c r="Q832" t="s">
        <v>2885</v>
      </c>
      <c r="R832" t="s">
        <v>2886</v>
      </c>
      <c r="S832" t="s">
        <v>2885</v>
      </c>
      <c r="T832" t="s">
        <v>2886</v>
      </c>
    </row>
    <row r="833" spans="1:20">
      <c r="A833" s="241">
        <v>44001</v>
      </c>
      <c r="B833" t="s">
        <v>4611</v>
      </c>
      <c r="C833" t="s">
        <v>2810</v>
      </c>
      <c r="D833" t="s">
        <v>2626</v>
      </c>
      <c r="E833" t="s">
        <v>712</v>
      </c>
      <c r="F833" t="s">
        <v>3504</v>
      </c>
      <c r="G833" t="s">
        <v>1668</v>
      </c>
      <c r="H833" t="s">
        <v>980</v>
      </c>
      <c r="I833" t="s">
        <v>4612</v>
      </c>
      <c r="J833" t="s">
        <v>4613</v>
      </c>
      <c r="K833" t="s">
        <v>4349</v>
      </c>
      <c r="L833">
        <v>0.89</v>
      </c>
      <c r="M833" t="s">
        <v>4614</v>
      </c>
      <c r="N833" t="s">
        <v>4615</v>
      </c>
      <c r="O833" t="s">
        <v>4616</v>
      </c>
      <c r="P833" t="s">
        <v>218</v>
      </c>
      <c r="Q833" t="s">
        <v>2885</v>
      </c>
      <c r="R833" t="s">
        <v>2886</v>
      </c>
      <c r="S833" t="s">
        <v>2885</v>
      </c>
      <c r="T833" t="s">
        <v>2886</v>
      </c>
    </row>
    <row r="834" spans="1:20">
      <c r="A834" s="241">
        <v>44001</v>
      </c>
      <c r="B834" t="s">
        <v>4617</v>
      </c>
      <c r="C834" t="s">
        <v>3831</v>
      </c>
      <c r="D834" t="s">
        <v>3679</v>
      </c>
      <c r="E834" t="s">
        <v>261</v>
      </c>
      <c r="F834" t="s">
        <v>4618</v>
      </c>
      <c r="G834" t="s">
        <v>4619</v>
      </c>
      <c r="H834" t="s">
        <v>4620</v>
      </c>
      <c r="I834" t="s">
        <v>4621</v>
      </c>
      <c r="J834" t="s">
        <v>2250</v>
      </c>
      <c r="K834" t="s">
        <v>481</v>
      </c>
      <c r="L834">
        <v>0.89</v>
      </c>
      <c r="M834" t="s">
        <v>4622</v>
      </c>
      <c r="N834" t="s">
        <v>4623</v>
      </c>
      <c r="O834" t="s">
        <v>4624</v>
      </c>
      <c r="P834" t="s">
        <v>218</v>
      </c>
      <c r="Q834" t="s">
        <v>2885</v>
      </c>
      <c r="R834" t="s">
        <v>2886</v>
      </c>
      <c r="S834" t="s">
        <v>2885</v>
      </c>
      <c r="T834" t="s">
        <v>2886</v>
      </c>
    </row>
    <row r="835" spans="1:20">
      <c r="A835" s="241">
        <v>44001</v>
      </c>
      <c r="B835" t="s">
        <v>4625</v>
      </c>
      <c r="C835" t="s">
        <v>2636</v>
      </c>
      <c r="D835" t="s">
        <v>2636</v>
      </c>
      <c r="E835" t="s">
        <v>237</v>
      </c>
      <c r="F835" t="s">
        <v>2645</v>
      </c>
      <c r="G835" t="s">
        <v>3977</v>
      </c>
      <c r="H835" t="s">
        <v>4626</v>
      </c>
      <c r="I835" t="s">
        <v>4627</v>
      </c>
      <c r="J835" t="s">
        <v>4628</v>
      </c>
      <c r="K835" t="s">
        <v>985</v>
      </c>
      <c r="L835">
        <v>0.89</v>
      </c>
      <c r="M835" t="s">
        <v>4629</v>
      </c>
      <c r="N835" t="s">
        <v>4630</v>
      </c>
      <c r="O835" t="s">
        <v>4631</v>
      </c>
      <c r="P835" t="s">
        <v>218</v>
      </c>
      <c r="Q835" t="s">
        <v>2885</v>
      </c>
      <c r="R835" t="s">
        <v>2886</v>
      </c>
      <c r="S835" t="s">
        <v>2885</v>
      </c>
      <c r="T835" t="s">
        <v>2886</v>
      </c>
    </row>
    <row r="836" spans="1:20">
      <c r="A836" s="241">
        <v>44001</v>
      </c>
      <c r="B836" t="s">
        <v>4632</v>
      </c>
      <c r="C836" t="s">
        <v>224</v>
      </c>
      <c r="D836" t="s">
        <v>631</v>
      </c>
      <c r="E836" t="s">
        <v>812</v>
      </c>
      <c r="F836" t="s">
        <v>4633</v>
      </c>
      <c r="G836" t="s">
        <v>305</v>
      </c>
      <c r="H836" t="s">
        <v>4634</v>
      </c>
      <c r="I836" t="s">
        <v>4635</v>
      </c>
      <c r="J836" t="s">
        <v>4636</v>
      </c>
      <c r="K836" t="s">
        <v>4637</v>
      </c>
      <c r="L836">
        <v>0.87</v>
      </c>
      <c r="M836" t="s">
        <v>4638</v>
      </c>
      <c r="N836" t="s">
        <v>4639</v>
      </c>
      <c r="O836" t="s">
        <v>4640</v>
      </c>
      <c r="P836" t="s">
        <v>485</v>
      </c>
      <c r="Q836" t="s">
        <v>2885</v>
      </c>
      <c r="R836" t="s">
        <v>2886</v>
      </c>
      <c r="S836" t="s">
        <v>2885</v>
      </c>
      <c r="T836" t="s">
        <v>2886</v>
      </c>
    </row>
    <row r="837" spans="1:20">
      <c r="A837" s="241">
        <v>44001</v>
      </c>
      <c r="B837" t="s">
        <v>4641</v>
      </c>
      <c r="C837" t="s">
        <v>392</v>
      </c>
      <c r="D837" t="s">
        <v>1139</v>
      </c>
      <c r="E837" t="s">
        <v>2584</v>
      </c>
      <c r="F837" t="s">
        <v>1038</v>
      </c>
      <c r="G837" t="s">
        <v>3839</v>
      </c>
      <c r="H837" t="s">
        <v>4642</v>
      </c>
      <c r="I837" t="s">
        <v>3840</v>
      </c>
      <c r="J837" t="s">
        <v>1002</v>
      </c>
      <c r="K837" t="s">
        <v>3155</v>
      </c>
      <c r="L837">
        <v>0.86</v>
      </c>
      <c r="M837" t="s">
        <v>4643</v>
      </c>
      <c r="N837" t="s">
        <v>4644</v>
      </c>
      <c r="O837" t="s">
        <v>4645</v>
      </c>
      <c r="P837" t="s">
        <v>485</v>
      </c>
      <c r="Q837" t="s">
        <v>2885</v>
      </c>
      <c r="R837" t="s">
        <v>2886</v>
      </c>
      <c r="S837" t="s">
        <v>2885</v>
      </c>
      <c r="T837" t="s">
        <v>2886</v>
      </c>
    </row>
    <row r="838" spans="1:20">
      <c r="A838" s="241">
        <v>44001</v>
      </c>
      <c r="B838" t="s">
        <v>4646</v>
      </c>
      <c r="C838" t="s">
        <v>2549</v>
      </c>
      <c r="D838" t="s">
        <v>679</v>
      </c>
      <c r="E838" t="s">
        <v>2731</v>
      </c>
      <c r="F838" t="s">
        <v>1397</v>
      </c>
      <c r="G838" t="s">
        <v>2463</v>
      </c>
      <c r="H838" t="s">
        <v>2005</v>
      </c>
      <c r="I838" t="s">
        <v>4647</v>
      </c>
      <c r="J838" t="s">
        <v>3154</v>
      </c>
      <c r="K838" t="s">
        <v>4177</v>
      </c>
      <c r="L838">
        <v>0.86</v>
      </c>
      <c r="M838" t="s">
        <v>4648</v>
      </c>
      <c r="N838" t="s">
        <v>4649</v>
      </c>
      <c r="O838" t="s">
        <v>4650</v>
      </c>
      <c r="P838" t="s">
        <v>485</v>
      </c>
      <c r="Q838" t="s">
        <v>2885</v>
      </c>
      <c r="R838" t="s">
        <v>2886</v>
      </c>
      <c r="S838" t="s">
        <v>2885</v>
      </c>
      <c r="T838" t="s">
        <v>2886</v>
      </c>
    </row>
    <row r="839" spans="1:20">
      <c r="A839" s="241">
        <v>44001</v>
      </c>
      <c r="B839" t="s">
        <v>4651</v>
      </c>
      <c r="C839" t="s">
        <v>671</v>
      </c>
      <c r="D839" t="s">
        <v>679</v>
      </c>
      <c r="E839" t="s">
        <v>680</v>
      </c>
      <c r="F839" t="s">
        <v>1397</v>
      </c>
      <c r="G839" t="s">
        <v>2686</v>
      </c>
      <c r="H839" t="s">
        <v>1215</v>
      </c>
      <c r="I839" t="s">
        <v>4647</v>
      </c>
      <c r="J839" t="s">
        <v>1216</v>
      </c>
      <c r="K839" t="s">
        <v>1406</v>
      </c>
      <c r="L839">
        <v>0.87</v>
      </c>
      <c r="M839" t="s">
        <v>4652</v>
      </c>
      <c r="N839" t="s">
        <v>4653</v>
      </c>
      <c r="O839" t="s">
        <v>4654</v>
      </c>
      <c r="P839" t="s">
        <v>485</v>
      </c>
      <c r="Q839" t="s">
        <v>2885</v>
      </c>
      <c r="R839" t="s">
        <v>2886</v>
      </c>
      <c r="S839" t="s">
        <v>2885</v>
      </c>
      <c r="T839" t="s">
        <v>2886</v>
      </c>
    </row>
    <row r="840" spans="1:20">
      <c r="A840" s="241">
        <v>44001</v>
      </c>
      <c r="B840" t="s">
        <v>4655</v>
      </c>
      <c r="C840" t="s">
        <v>294</v>
      </c>
      <c r="D840" t="s">
        <v>631</v>
      </c>
      <c r="E840" t="s">
        <v>1049</v>
      </c>
      <c r="F840" t="s">
        <v>1478</v>
      </c>
      <c r="G840" t="s">
        <v>3839</v>
      </c>
      <c r="H840" t="s">
        <v>1215</v>
      </c>
      <c r="I840" t="s">
        <v>1686</v>
      </c>
      <c r="J840" t="s">
        <v>4000</v>
      </c>
      <c r="K840" t="s">
        <v>2277</v>
      </c>
      <c r="L840">
        <v>0.86</v>
      </c>
      <c r="M840" t="s">
        <v>4656</v>
      </c>
      <c r="N840" t="s">
        <v>4657</v>
      </c>
      <c r="O840" t="s">
        <v>4658</v>
      </c>
      <c r="P840" t="s">
        <v>485</v>
      </c>
      <c r="Q840" t="s">
        <v>2885</v>
      </c>
      <c r="R840" t="s">
        <v>2886</v>
      </c>
      <c r="S840" t="s">
        <v>2885</v>
      </c>
      <c r="T840" t="s">
        <v>2886</v>
      </c>
    </row>
    <row r="841" spans="1:20">
      <c r="A841" s="241">
        <v>44001</v>
      </c>
      <c r="B841" t="s">
        <v>4659</v>
      </c>
      <c r="C841" t="s">
        <v>625</v>
      </c>
      <c r="D841" t="s">
        <v>2478</v>
      </c>
      <c r="E841" t="s">
        <v>1049</v>
      </c>
      <c r="F841" t="s">
        <v>608</v>
      </c>
      <c r="G841" t="s">
        <v>1715</v>
      </c>
      <c r="H841" t="s">
        <v>4660</v>
      </c>
      <c r="I841" t="s">
        <v>522</v>
      </c>
      <c r="J841" t="s">
        <v>1405</v>
      </c>
      <c r="K841" t="s">
        <v>1234</v>
      </c>
      <c r="L841">
        <v>0.86</v>
      </c>
      <c r="M841" t="s">
        <v>4661</v>
      </c>
      <c r="N841" t="s">
        <v>4662</v>
      </c>
      <c r="O841" t="s">
        <v>4663</v>
      </c>
      <c r="P841" t="s">
        <v>485</v>
      </c>
      <c r="Q841" t="s">
        <v>2885</v>
      </c>
      <c r="R841" t="s">
        <v>2886</v>
      </c>
      <c r="S841" t="s">
        <v>2885</v>
      </c>
      <c r="T841" t="s">
        <v>2886</v>
      </c>
    </row>
    <row r="842" spans="1:20">
      <c r="A842" s="241">
        <v>44001</v>
      </c>
      <c r="B842" t="s">
        <v>4664</v>
      </c>
      <c r="C842" t="s">
        <v>237</v>
      </c>
      <c r="D842" t="s">
        <v>679</v>
      </c>
      <c r="E842" t="s">
        <v>646</v>
      </c>
      <c r="F842" t="s">
        <v>1692</v>
      </c>
      <c r="G842" t="s">
        <v>2314</v>
      </c>
      <c r="H842" t="s">
        <v>1009</v>
      </c>
      <c r="I842" t="s">
        <v>2024</v>
      </c>
      <c r="J842" t="s">
        <v>2473</v>
      </c>
      <c r="K842" t="s">
        <v>524</v>
      </c>
      <c r="L842">
        <v>0.87</v>
      </c>
      <c r="M842" t="s">
        <v>4665</v>
      </c>
      <c r="N842" t="s">
        <v>4666</v>
      </c>
      <c r="O842" t="s">
        <v>4667</v>
      </c>
      <c r="P842" t="s">
        <v>485</v>
      </c>
      <c r="Q842" t="s">
        <v>2885</v>
      </c>
      <c r="R842" t="s">
        <v>2886</v>
      </c>
      <c r="S842" t="s">
        <v>2885</v>
      </c>
      <c r="T842" t="s">
        <v>2886</v>
      </c>
    </row>
    <row r="843" spans="1:20">
      <c r="A843" s="241">
        <v>44001</v>
      </c>
      <c r="B843" t="s">
        <v>4668</v>
      </c>
      <c r="C843" t="s">
        <v>671</v>
      </c>
      <c r="D843" t="s">
        <v>1139</v>
      </c>
      <c r="E843" t="s">
        <v>1121</v>
      </c>
      <c r="F843" t="s">
        <v>618</v>
      </c>
      <c r="G843" t="s">
        <v>792</v>
      </c>
      <c r="H843" t="s">
        <v>1404</v>
      </c>
      <c r="I843" t="s">
        <v>793</v>
      </c>
      <c r="J843" t="s">
        <v>2681</v>
      </c>
      <c r="K843" t="s">
        <v>1399</v>
      </c>
      <c r="L843">
        <v>0.86</v>
      </c>
      <c r="M843" t="s">
        <v>4669</v>
      </c>
      <c r="N843" t="s">
        <v>4670</v>
      </c>
      <c r="O843" t="s">
        <v>4671</v>
      </c>
      <c r="P843" t="s">
        <v>485</v>
      </c>
      <c r="Q843" t="s">
        <v>2885</v>
      </c>
      <c r="R843" t="s">
        <v>2886</v>
      </c>
      <c r="S843" t="s">
        <v>2885</v>
      </c>
      <c r="T843" t="s">
        <v>2886</v>
      </c>
    </row>
    <row r="844" spans="1:20">
      <c r="A844" s="241">
        <v>44001</v>
      </c>
      <c r="B844" t="s">
        <v>4672</v>
      </c>
      <c r="C844" t="s">
        <v>615</v>
      </c>
      <c r="D844" t="s">
        <v>392</v>
      </c>
      <c r="E844" t="s">
        <v>1049</v>
      </c>
      <c r="F844" t="s">
        <v>1231</v>
      </c>
      <c r="G844" t="s">
        <v>2080</v>
      </c>
      <c r="H844" t="s">
        <v>211</v>
      </c>
      <c r="I844" t="s">
        <v>793</v>
      </c>
      <c r="J844" t="s">
        <v>1233</v>
      </c>
      <c r="K844" t="s">
        <v>515</v>
      </c>
      <c r="L844">
        <v>0.86</v>
      </c>
      <c r="M844" t="s">
        <v>4673</v>
      </c>
      <c r="N844" t="s">
        <v>4674</v>
      </c>
      <c r="O844" t="s">
        <v>4675</v>
      </c>
      <c r="P844" t="s">
        <v>485</v>
      </c>
      <c r="Q844" t="s">
        <v>2885</v>
      </c>
      <c r="R844" t="s">
        <v>2886</v>
      </c>
      <c r="S844" t="s">
        <v>2885</v>
      </c>
      <c r="T844" t="s">
        <v>2886</v>
      </c>
    </row>
    <row r="845" spans="1:20">
      <c r="A845" s="241">
        <v>44001</v>
      </c>
      <c r="B845" t="s">
        <v>4676</v>
      </c>
      <c r="C845" t="s">
        <v>274</v>
      </c>
      <c r="D845" t="s">
        <v>1139</v>
      </c>
      <c r="E845" t="s">
        <v>1102</v>
      </c>
      <c r="F845" t="s">
        <v>1255</v>
      </c>
      <c r="G845" t="s">
        <v>2314</v>
      </c>
      <c r="H845" t="s">
        <v>1225</v>
      </c>
      <c r="I845" t="s">
        <v>542</v>
      </c>
      <c r="J845" t="s">
        <v>533</v>
      </c>
      <c r="K845" t="s">
        <v>524</v>
      </c>
      <c r="L845">
        <v>0.86</v>
      </c>
      <c r="M845" t="s">
        <v>4677</v>
      </c>
      <c r="N845" t="s">
        <v>4678</v>
      </c>
      <c r="O845" t="s">
        <v>4679</v>
      </c>
      <c r="P845" t="s">
        <v>485</v>
      </c>
      <c r="Q845" t="s">
        <v>2885</v>
      </c>
      <c r="R845" t="s">
        <v>2886</v>
      </c>
      <c r="S845" t="s">
        <v>2885</v>
      </c>
      <c r="T845" t="s">
        <v>2886</v>
      </c>
    </row>
    <row r="846" spans="1:20">
      <c r="A846" s="241">
        <v>44001</v>
      </c>
      <c r="B846" t="s">
        <v>4680</v>
      </c>
      <c r="C846" t="s">
        <v>671</v>
      </c>
      <c r="D846" t="s">
        <v>1139</v>
      </c>
      <c r="E846" t="s">
        <v>696</v>
      </c>
      <c r="F846" t="s">
        <v>385</v>
      </c>
      <c r="G846" t="s">
        <v>548</v>
      </c>
      <c r="H846" t="s">
        <v>531</v>
      </c>
      <c r="I846" t="s">
        <v>1747</v>
      </c>
      <c r="J846" t="s">
        <v>2881</v>
      </c>
      <c r="K846" t="s">
        <v>524</v>
      </c>
      <c r="L846">
        <v>0.86</v>
      </c>
      <c r="M846" t="s">
        <v>4681</v>
      </c>
      <c r="N846" t="s">
        <v>4682</v>
      </c>
      <c r="O846" t="s">
        <v>4683</v>
      </c>
      <c r="P846" t="s">
        <v>218</v>
      </c>
      <c r="Q846" t="s">
        <v>2885</v>
      </c>
      <c r="R846" t="s">
        <v>2886</v>
      </c>
      <c r="S846" t="s">
        <v>2885</v>
      </c>
      <c r="T846" t="s">
        <v>2886</v>
      </c>
    </row>
    <row r="847" spans="1:20">
      <c r="A847" s="241">
        <v>44001</v>
      </c>
      <c r="B847" t="s">
        <v>4684</v>
      </c>
      <c r="C847" t="s">
        <v>645</v>
      </c>
      <c r="D847" t="s">
        <v>679</v>
      </c>
      <c r="E847" t="s">
        <v>680</v>
      </c>
      <c r="F847" t="s">
        <v>868</v>
      </c>
      <c r="G847" t="s">
        <v>1420</v>
      </c>
      <c r="H847" t="s">
        <v>1746</v>
      </c>
      <c r="I847" t="s">
        <v>1427</v>
      </c>
      <c r="J847" t="s">
        <v>1428</v>
      </c>
      <c r="K847" t="s">
        <v>524</v>
      </c>
      <c r="L847">
        <v>0.86</v>
      </c>
      <c r="M847" t="s">
        <v>4685</v>
      </c>
      <c r="N847" t="s">
        <v>4686</v>
      </c>
      <c r="O847" t="s">
        <v>4687</v>
      </c>
      <c r="P847" t="s">
        <v>218</v>
      </c>
      <c r="Q847" t="s">
        <v>2885</v>
      </c>
      <c r="R847" t="s">
        <v>2886</v>
      </c>
      <c r="S847" t="s">
        <v>2885</v>
      </c>
      <c r="T847" t="s">
        <v>2886</v>
      </c>
    </row>
    <row r="848" spans="1:20">
      <c r="A848" s="241">
        <v>44001</v>
      </c>
      <c r="B848" t="s">
        <v>4688</v>
      </c>
      <c r="C848" t="s">
        <v>274</v>
      </c>
      <c r="D848" t="s">
        <v>679</v>
      </c>
      <c r="E848" t="s">
        <v>646</v>
      </c>
      <c r="F848" t="s">
        <v>2074</v>
      </c>
      <c r="G848" t="s">
        <v>2075</v>
      </c>
      <c r="H848" t="s">
        <v>541</v>
      </c>
      <c r="I848" t="s">
        <v>550</v>
      </c>
      <c r="J848" t="s">
        <v>1026</v>
      </c>
      <c r="K848" t="s">
        <v>2277</v>
      </c>
      <c r="L848">
        <v>0.86</v>
      </c>
      <c r="M848" t="s">
        <v>4689</v>
      </c>
      <c r="N848" t="s">
        <v>4690</v>
      </c>
      <c r="O848" t="s">
        <v>4691</v>
      </c>
      <c r="P848" t="s">
        <v>218</v>
      </c>
      <c r="Q848" t="s">
        <v>2885</v>
      </c>
      <c r="R848" t="s">
        <v>2886</v>
      </c>
      <c r="S848" t="s">
        <v>2885</v>
      </c>
      <c r="T848" t="s">
        <v>2886</v>
      </c>
    </row>
    <row r="849" spans="1:20">
      <c r="A849" s="241">
        <v>44001</v>
      </c>
      <c r="B849" t="s">
        <v>4692</v>
      </c>
      <c r="C849" t="s">
        <v>614</v>
      </c>
      <c r="D849" t="s">
        <v>631</v>
      </c>
      <c r="E849" t="s">
        <v>632</v>
      </c>
      <c r="F849" t="s">
        <v>822</v>
      </c>
      <c r="G849" t="s">
        <v>798</v>
      </c>
      <c r="H849" t="s">
        <v>823</v>
      </c>
      <c r="I849" t="s">
        <v>1031</v>
      </c>
      <c r="J849" t="s">
        <v>213</v>
      </c>
      <c r="K849" t="s">
        <v>214</v>
      </c>
      <c r="L849">
        <v>0.86</v>
      </c>
      <c r="M849" t="s">
        <v>4693</v>
      </c>
      <c r="N849" t="s">
        <v>4694</v>
      </c>
      <c r="O849" t="s">
        <v>4695</v>
      </c>
      <c r="P849" t="s">
        <v>218</v>
      </c>
      <c r="Q849" t="s">
        <v>2885</v>
      </c>
      <c r="R849" t="s">
        <v>2886</v>
      </c>
      <c r="S849" t="s">
        <v>2885</v>
      </c>
      <c r="T849" t="s">
        <v>2886</v>
      </c>
    </row>
    <row r="850" spans="1:20">
      <c r="A850" s="241">
        <v>44001</v>
      </c>
      <c r="B850" t="s">
        <v>4696</v>
      </c>
      <c r="C850" t="s">
        <v>614</v>
      </c>
      <c r="D850" t="s">
        <v>631</v>
      </c>
      <c r="E850" t="s">
        <v>632</v>
      </c>
      <c r="F850" t="s">
        <v>584</v>
      </c>
      <c r="G850" t="s">
        <v>2075</v>
      </c>
      <c r="H850" t="s">
        <v>2324</v>
      </c>
      <c r="I850" t="s">
        <v>816</v>
      </c>
      <c r="J850" t="s">
        <v>213</v>
      </c>
      <c r="K850" t="s">
        <v>524</v>
      </c>
      <c r="L850">
        <v>0.86</v>
      </c>
      <c r="M850" t="s">
        <v>4697</v>
      </c>
      <c r="N850" t="s">
        <v>4698</v>
      </c>
      <c r="O850" t="s">
        <v>4699</v>
      </c>
      <c r="P850" t="s">
        <v>218</v>
      </c>
      <c r="Q850" t="s">
        <v>2885</v>
      </c>
      <c r="R850" t="s">
        <v>2886</v>
      </c>
      <c r="S850" t="s">
        <v>2885</v>
      </c>
      <c r="T850" t="s">
        <v>2886</v>
      </c>
    </row>
    <row r="851" spans="1:20">
      <c r="A851" s="241">
        <v>44001</v>
      </c>
      <c r="B851" t="s">
        <v>4700</v>
      </c>
      <c r="C851" t="s">
        <v>615</v>
      </c>
      <c r="D851" t="s">
        <v>2478</v>
      </c>
      <c r="E851" t="s">
        <v>632</v>
      </c>
      <c r="F851" t="s">
        <v>1056</v>
      </c>
      <c r="G851" t="s">
        <v>240</v>
      </c>
      <c r="H851" t="s">
        <v>211</v>
      </c>
      <c r="I851" t="s">
        <v>560</v>
      </c>
      <c r="J851" t="s">
        <v>1039</v>
      </c>
      <c r="K851" t="s">
        <v>515</v>
      </c>
      <c r="L851">
        <v>0.86</v>
      </c>
      <c r="M851" t="s">
        <v>4701</v>
      </c>
      <c r="N851" t="s">
        <v>4702</v>
      </c>
      <c r="O851" t="s">
        <v>4703</v>
      </c>
      <c r="P851" t="s">
        <v>218</v>
      </c>
      <c r="Q851" t="s">
        <v>2885</v>
      </c>
      <c r="R851" t="s">
        <v>2886</v>
      </c>
      <c r="S851" t="s">
        <v>2885</v>
      </c>
      <c r="T851" t="s">
        <v>2886</v>
      </c>
    </row>
    <row r="852" spans="1:20">
      <c r="A852" s="241">
        <v>44001</v>
      </c>
      <c r="B852" t="s">
        <v>4704</v>
      </c>
      <c r="C852" t="s">
        <v>614</v>
      </c>
      <c r="D852" t="s">
        <v>1139</v>
      </c>
      <c r="E852" t="s">
        <v>1121</v>
      </c>
      <c r="F852" t="s">
        <v>855</v>
      </c>
      <c r="G852" t="s">
        <v>558</v>
      </c>
      <c r="H852" t="s">
        <v>1677</v>
      </c>
      <c r="I852" t="s">
        <v>2329</v>
      </c>
      <c r="J852" t="s">
        <v>570</v>
      </c>
      <c r="K852" t="s">
        <v>1032</v>
      </c>
      <c r="L852">
        <v>0.86</v>
      </c>
      <c r="M852" t="s">
        <v>4705</v>
      </c>
      <c r="N852" t="s">
        <v>4706</v>
      </c>
      <c r="O852" t="s">
        <v>4707</v>
      </c>
      <c r="P852" t="s">
        <v>218</v>
      </c>
      <c r="Q852" t="s">
        <v>2885</v>
      </c>
      <c r="R852" t="s">
        <v>2886</v>
      </c>
      <c r="S852" t="s">
        <v>2885</v>
      </c>
      <c r="T852" t="s">
        <v>2886</v>
      </c>
    </row>
    <row r="853" spans="1:20">
      <c r="A853" s="241">
        <v>44001</v>
      </c>
      <c r="B853" t="s">
        <v>4708</v>
      </c>
      <c r="C853" t="s">
        <v>294</v>
      </c>
      <c r="D853" t="s">
        <v>2478</v>
      </c>
      <c r="E853" t="s">
        <v>632</v>
      </c>
      <c r="F853" t="s">
        <v>576</v>
      </c>
      <c r="G853" t="s">
        <v>830</v>
      </c>
      <c r="H853" t="s">
        <v>1704</v>
      </c>
      <c r="I853" t="s">
        <v>569</v>
      </c>
      <c r="J853" t="s">
        <v>825</v>
      </c>
      <c r="K853" t="s">
        <v>515</v>
      </c>
      <c r="L853">
        <v>0.86</v>
      </c>
      <c r="M853" t="s">
        <v>4709</v>
      </c>
      <c r="N853" t="s">
        <v>4710</v>
      </c>
      <c r="O853" t="s">
        <v>4711</v>
      </c>
      <c r="P853" t="s">
        <v>218</v>
      </c>
      <c r="Q853" t="s">
        <v>2885</v>
      </c>
      <c r="R853" t="s">
        <v>2886</v>
      </c>
      <c r="S853" t="s">
        <v>2885</v>
      </c>
      <c r="T853" t="s">
        <v>2886</v>
      </c>
    </row>
    <row r="854" spans="1:20">
      <c r="A854" s="241">
        <v>44001</v>
      </c>
      <c r="B854" t="s">
        <v>4712</v>
      </c>
      <c r="C854" t="s">
        <v>679</v>
      </c>
      <c r="D854" t="s">
        <v>645</v>
      </c>
      <c r="E854" t="s">
        <v>812</v>
      </c>
      <c r="F854" t="s">
        <v>848</v>
      </c>
      <c r="G854" t="s">
        <v>1044</v>
      </c>
      <c r="H854" t="s">
        <v>1388</v>
      </c>
      <c r="I854" t="s">
        <v>2329</v>
      </c>
      <c r="J854" t="s">
        <v>1770</v>
      </c>
      <c r="K854" t="s">
        <v>534</v>
      </c>
      <c r="L854">
        <v>0.86</v>
      </c>
      <c r="M854" t="s">
        <v>4713</v>
      </c>
      <c r="N854" t="s">
        <v>4714</v>
      </c>
      <c r="O854" t="s">
        <v>4715</v>
      </c>
      <c r="P854" t="s">
        <v>218</v>
      </c>
      <c r="Q854" t="s">
        <v>2885</v>
      </c>
      <c r="R854" t="s">
        <v>2886</v>
      </c>
      <c r="S854" t="s">
        <v>2885</v>
      </c>
      <c r="T854" t="s">
        <v>2886</v>
      </c>
    </row>
    <row r="855" spans="1:20">
      <c r="A855" s="241">
        <v>44001</v>
      </c>
      <c r="B855" t="s">
        <v>4716</v>
      </c>
      <c r="C855" t="s">
        <v>645</v>
      </c>
      <c r="D855" t="s">
        <v>615</v>
      </c>
      <c r="E855" t="s">
        <v>680</v>
      </c>
      <c r="F855" t="s">
        <v>1080</v>
      </c>
      <c r="G855" t="s">
        <v>276</v>
      </c>
      <c r="H855" t="s">
        <v>287</v>
      </c>
      <c r="I855" t="s">
        <v>278</v>
      </c>
      <c r="J855" t="s">
        <v>578</v>
      </c>
      <c r="K855" t="s">
        <v>1032</v>
      </c>
      <c r="L855">
        <v>0.86</v>
      </c>
      <c r="M855" t="s">
        <v>4717</v>
      </c>
      <c r="N855" t="s">
        <v>4718</v>
      </c>
      <c r="O855" t="s">
        <v>4719</v>
      </c>
      <c r="P855" t="s">
        <v>218</v>
      </c>
      <c r="Q855" t="s">
        <v>2885</v>
      </c>
      <c r="R855" t="s">
        <v>2886</v>
      </c>
      <c r="S855" t="s">
        <v>2885</v>
      </c>
      <c r="T855" t="s">
        <v>2886</v>
      </c>
    </row>
    <row r="856" spans="1:20">
      <c r="A856" s="241">
        <v>44001</v>
      </c>
      <c r="B856" t="s">
        <v>4720</v>
      </c>
      <c r="C856" t="s">
        <v>261</v>
      </c>
      <c r="D856" t="s">
        <v>614</v>
      </c>
      <c r="E856" t="s">
        <v>424</v>
      </c>
      <c r="F856" t="s">
        <v>576</v>
      </c>
      <c r="G856" t="s">
        <v>558</v>
      </c>
      <c r="H856" t="s">
        <v>1677</v>
      </c>
      <c r="I856" t="s">
        <v>569</v>
      </c>
      <c r="J856" t="s">
        <v>1770</v>
      </c>
      <c r="K856" t="s">
        <v>214</v>
      </c>
      <c r="L856">
        <v>0.86</v>
      </c>
      <c r="M856" t="s">
        <v>4721</v>
      </c>
      <c r="N856" t="s">
        <v>4722</v>
      </c>
      <c r="O856" t="s">
        <v>4723</v>
      </c>
      <c r="P856" t="s">
        <v>218</v>
      </c>
      <c r="Q856" t="s">
        <v>2885</v>
      </c>
      <c r="R856" t="s">
        <v>2886</v>
      </c>
      <c r="S856" t="s">
        <v>2885</v>
      </c>
      <c r="T856" t="s">
        <v>2886</v>
      </c>
    </row>
    <row r="857" spans="1:20">
      <c r="A857" s="241">
        <v>44001</v>
      </c>
      <c r="B857" t="s">
        <v>4724</v>
      </c>
      <c r="C857" t="s">
        <v>679</v>
      </c>
      <c r="D857" t="s">
        <v>645</v>
      </c>
      <c r="E857" t="s">
        <v>304</v>
      </c>
      <c r="F857" t="s">
        <v>590</v>
      </c>
      <c r="G857" t="s">
        <v>296</v>
      </c>
      <c r="H857" t="s">
        <v>209</v>
      </c>
      <c r="I857" t="s">
        <v>278</v>
      </c>
      <c r="J857" t="s">
        <v>1786</v>
      </c>
      <c r="K857" t="s">
        <v>571</v>
      </c>
      <c r="L857">
        <v>0.86</v>
      </c>
      <c r="M857" t="s">
        <v>4725</v>
      </c>
      <c r="N857" t="s">
        <v>4726</v>
      </c>
      <c r="O857" t="s">
        <v>4727</v>
      </c>
      <c r="P857" t="s">
        <v>218</v>
      </c>
      <c r="Q857" t="s">
        <v>2885</v>
      </c>
      <c r="R857" t="s">
        <v>2886</v>
      </c>
      <c r="S857" t="s">
        <v>2885</v>
      </c>
      <c r="T857" t="s">
        <v>2886</v>
      </c>
    </row>
    <row r="858" spans="1:20">
      <c r="A858" s="241">
        <v>44001</v>
      </c>
      <c r="B858" t="s">
        <v>4728</v>
      </c>
      <c r="C858" t="s">
        <v>614</v>
      </c>
      <c r="D858" t="s">
        <v>712</v>
      </c>
      <c r="E858" t="s">
        <v>208</v>
      </c>
      <c r="F858" t="s">
        <v>855</v>
      </c>
      <c r="G858" t="s">
        <v>1256</v>
      </c>
      <c r="H858" t="s">
        <v>1453</v>
      </c>
      <c r="I858" t="s">
        <v>838</v>
      </c>
      <c r="J858" t="s">
        <v>279</v>
      </c>
      <c r="K858" t="s">
        <v>256</v>
      </c>
      <c r="L858">
        <v>0.86</v>
      </c>
      <c r="M858" t="s">
        <v>4729</v>
      </c>
      <c r="N858" t="s">
        <v>4730</v>
      </c>
      <c r="O858" t="s">
        <v>4731</v>
      </c>
      <c r="P858" t="s">
        <v>218</v>
      </c>
      <c r="Q858" t="s">
        <v>2885</v>
      </c>
      <c r="R858" t="s">
        <v>2886</v>
      </c>
      <c r="S858" t="s">
        <v>2885</v>
      </c>
      <c r="T858" t="s">
        <v>2886</v>
      </c>
    </row>
    <row r="859" spans="1:20">
      <c r="A859" s="241">
        <v>44001</v>
      </c>
      <c r="B859" t="s">
        <v>4732</v>
      </c>
      <c r="C859" t="s">
        <v>614</v>
      </c>
      <c r="D859" t="s">
        <v>712</v>
      </c>
      <c r="E859" t="s">
        <v>1049</v>
      </c>
      <c r="F859" t="s">
        <v>855</v>
      </c>
      <c r="G859" t="s">
        <v>1447</v>
      </c>
      <c r="H859" t="s">
        <v>539</v>
      </c>
      <c r="I859" t="s">
        <v>1264</v>
      </c>
      <c r="J859" t="s">
        <v>279</v>
      </c>
      <c r="K859" t="s">
        <v>231</v>
      </c>
      <c r="L859">
        <v>0.86</v>
      </c>
      <c r="M859" t="s">
        <v>4733</v>
      </c>
      <c r="N859" t="s">
        <v>4734</v>
      </c>
      <c r="O859" t="s">
        <v>4735</v>
      </c>
      <c r="P859" t="s">
        <v>218</v>
      </c>
      <c r="Q859" t="s">
        <v>2885</v>
      </c>
      <c r="R859" t="s">
        <v>2886</v>
      </c>
      <c r="S859" t="s">
        <v>2885</v>
      </c>
      <c r="T859" t="s">
        <v>2886</v>
      </c>
    </row>
    <row r="860" spans="1:20">
      <c r="A860" s="241">
        <v>44001</v>
      </c>
      <c r="B860" t="s">
        <v>4736</v>
      </c>
      <c r="C860" t="s">
        <v>614</v>
      </c>
      <c r="D860" t="s">
        <v>631</v>
      </c>
      <c r="E860" t="s">
        <v>696</v>
      </c>
      <c r="F860" t="s">
        <v>848</v>
      </c>
      <c r="G860" t="s">
        <v>836</v>
      </c>
      <c r="H860" t="s">
        <v>529</v>
      </c>
      <c r="I860" t="s">
        <v>1264</v>
      </c>
      <c r="J860" t="s">
        <v>279</v>
      </c>
      <c r="K860" t="s">
        <v>571</v>
      </c>
      <c r="L860">
        <v>0.86</v>
      </c>
      <c r="M860" t="s">
        <v>4737</v>
      </c>
      <c r="N860" t="s">
        <v>4738</v>
      </c>
      <c r="O860" t="s">
        <v>4739</v>
      </c>
      <c r="P860" t="s">
        <v>218</v>
      </c>
      <c r="Q860" t="s">
        <v>2885</v>
      </c>
      <c r="R860" t="s">
        <v>2886</v>
      </c>
      <c r="S860" t="s">
        <v>2885</v>
      </c>
      <c r="T860" t="s">
        <v>2886</v>
      </c>
    </row>
    <row r="861" spans="1:20">
      <c r="A861" s="241">
        <v>44001</v>
      </c>
      <c r="B861" t="s">
        <v>4740</v>
      </c>
      <c r="C861" t="s">
        <v>712</v>
      </c>
      <c r="D861" t="s">
        <v>671</v>
      </c>
      <c r="E861" t="s">
        <v>812</v>
      </c>
      <c r="F861" t="s">
        <v>1817</v>
      </c>
      <c r="G861" t="s">
        <v>843</v>
      </c>
      <c r="H861" t="s">
        <v>1069</v>
      </c>
      <c r="I861" t="s">
        <v>297</v>
      </c>
      <c r="J861" t="s">
        <v>857</v>
      </c>
      <c r="K861" t="s">
        <v>256</v>
      </c>
      <c r="L861">
        <v>0.86</v>
      </c>
      <c r="M861" t="s">
        <v>4741</v>
      </c>
      <c r="N861" t="s">
        <v>4742</v>
      </c>
      <c r="O861" t="s">
        <v>4743</v>
      </c>
      <c r="P861" t="s">
        <v>218</v>
      </c>
      <c r="Q861" t="s">
        <v>2885</v>
      </c>
      <c r="R861" t="s">
        <v>2886</v>
      </c>
      <c r="S861" t="s">
        <v>2885</v>
      </c>
      <c r="T861" t="s">
        <v>2886</v>
      </c>
    </row>
    <row r="862" spans="1:20">
      <c r="A862" s="241">
        <v>44001</v>
      </c>
      <c r="B862" t="s">
        <v>4744</v>
      </c>
      <c r="C862" t="s">
        <v>614</v>
      </c>
      <c r="D862" t="s">
        <v>2478</v>
      </c>
      <c r="E862" t="s">
        <v>304</v>
      </c>
      <c r="F862" t="s">
        <v>855</v>
      </c>
      <c r="G862" t="s">
        <v>2343</v>
      </c>
      <c r="H862" t="s">
        <v>1069</v>
      </c>
      <c r="I862" t="s">
        <v>288</v>
      </c>
      <c r="J862" t="s">
        <v>279</v>
      </c>
      <c r="K862" t="s">
        <v>1032</v>
      </c>
      <c r="L862">
        <v>0.86</v>
      </c>
      <c r="M862" t="s">
        <v>4745</v>
      </c>
      <c r="N862" t="s">
        <v>4746</v>
      </c>
      <c r="O862" t="s">
        <v>4747</v>
      </c>
      <c r="P862" t="s">
        <v>218</v>
      </c>
      <c r="Q862" t="s">
        <v>2885</v>
      </c>
      <c r="R862" t="s">
        <v>2886</v>
      </c>
      <c r="S862" t="s">
        <v>2885</v>
      </c>
      <c r="T862" t="s">
        <v>2886</v>
      </c>
    </row>
    <row r="863" spans="1:20">
      <c r="A863" s="241">
        <v>44001</v>
      </c>
      <c r="B863" t="s">
        <v>4748</v>
      </c>
      <c r="C863" t="s">
        <v>671</v>
      </c>
      <c r="D863" t="s">
        <v>392</v>
      </c>
      <c r="E863" t="s">
        <v>424</v>
      </c>
      <c r="F863" t="s">
        <v>1291</v>
      </c>
      <c r="G863" t="s">
        <v>599</v>
      </c>
      <c r="H863" t="s">
        <v>862</v>
      </c>
      <c r="I863" t="s">
        <v>609</v>
      </c>
      <c r="J863" t="s">
        <v>850</v>
      </c>
      <c r="K863" t="s">
        <v>231</v>
      </c>
      <c r="L863">
        <v>0.86</v>
      </c>
      <c r="M863" t="s">
        <v>4749</v>
      </c>
      <c r="N863" t="s">
        <v>4750</v>
      </c>
      <c r="O863" t="s">
        <v>4751</v>
      </c>
      <c r="P863" t="s">
        <v>218</v>
      </c>
      <c r="Q863" t="s">
        <v>2885</v>
      </c>
      <c r="R863" t="s">
        <v>2886</v>
      </c>
      <c r="S863" t="s">
        <v>2885</v>
      </c>
      <c r="T863" t="s">
        <v>2886</v>
      </c>
    </row>
    <row r="864" spans="1:20">
      <c r="A864" s="241">
        <v>44001</v>
      </c>
      <c r="B864" t="s">
        <v>4752</v>
      </c>
      <c r="C864" t="s">
        <v>249</v>
      </c>
      <c r="D864" t="s">
        <v>1139</v>
      </c>
      <c r="E864" t="s">
        <v>646</v>
      </c>
      <c r="F864" t="s">
        <v>706</v>
      </c>
      <c r="G864" t="s">
        <v>607</v>
      </c>
      <c r="H864" t="s">
        <v>529</v>
      </c>
      <c r="I864" t="s">
        <v>609</v>
      </c>
      <c r="J864" t="s">
        <v>850</v>
      </c>
      <c r="K864" t="s">
        <v>571</v>
      </c>
      <c r="L864">
        <v>0.86</v>
      </c>
      <c r="M864" t="s">
        <v>4753</v>
      </c>
      <c r="N864" t="s">
        <v>4754</v>
      </c>
      <c r="O864" t="s">
        <v>4755</v>
      </c>
      <c r="P864" t="s">
        <v>218</v>
      </c>
      <c r="Q864" t="s">
        <v>2885</v>
      </c>
      <c r="R864" t="s">
        <v>2886</v>
      </c>
      <c r="S864" t="s">
        <v>2885</v>
      </c>
      <c r="T864" t="s">
        <v>2886</v>
      </c>
    </row>
    <row r="865" spans="1:20">
      <c r="A865" s="241">
        <v>44001</v>
      </c>
      <c r="B865" t="s">
        <v>4756</v>
      </c>
      <c r="C865" t="s">
        <v>671</v>
      </c>
      <c r="D865" t="s">
        <v>712</v>
      </c>
      <c r="E865" t="s">
        <v>696</v>
      </c>
      <c r="F865" t="s">
        <v>314</v>
      </c>
      <c r="G865" t="s">
        <v>843</v>
      </c>
      <c r="H865" t="s">
        <v>539</v>
      </c>
      <c r="I865" t="s">
        <v>308</v>
      </c>
      <c r="J865" t="s">
        <v>298</v>
      </c>
      <c r="K865" t="s">
        <v>571</v>
      </c>
      <c r="L865">
        <v>0.86</v>
      </c>
      <c r="M865" t="s">
        <v>4757</v>
      </c>
      <c r="N865" t="s">
        <v>4758</v>
      </c>
      <c r="O865" t="s">
        <v>4759</v>
      </c>
      <c r="P865" t="s">
        <v>218</v>
      </c>
      <c r="Q865" t="s">
        <v>2885</v>
      </c>
      <c r="R865" t="s">
        <v>2886</v>
      </c>
      <c r="S865" t="s">
        <v>2885</v>
      </c>
      <c r="T865" t="s">
        <v>2886</v>
      </c>
    </row>
    <row r="866" spans="1:20">
      <c r="A866" s="241">
        <v>44001</v>
      </c>
      <c r="B866" t="s">
        <v>4760</v>
      </c>
      <c r="C866" t="s">
        <v>712</v>
      </c>
      <c r="D866" t="s">
        <v>2478</v>
      </c>
      <c r="E866" t="s">
        <v>332</v>
      </c>
      <c r="F866" t="s">
        <v>395</v>
      </c>
      <c r="G866" t="s">
        <v>296</v>
      </c>
      <c r="H866" t="s">
        <v>277</v>
      </c>
      <c r="I866" t="s">
        <v>1468</v>
      </c>
      <c r="J866" t="s">
        <v>279</v>
      </c>
      <c r="K866" t="s">
        <v>231</v>
      </c>
      <c r="L866">
        <v>0.86</v>
      </c>
      <c r="M866" t="s">
        <v>4761</v>
      </c>
      <c r="N866" t="s">
        <v>4762</v>
      </c>
      <c r="O866" t="s">
        <v>4763</v>
      </c>
      <c r="P866" t="s">
        <v>218</v>
      </c>
      <c r="Q866" t="s">
        <v>2885</v>
      </c>
      <c r="R866" t="s">
        <v>2886</v>
      </c>
      <c r="S866" t="s">
        <v>2885</v>
      </c>
      <c r="T866" t="s">
        <v>2886</v>
      </c>
    </row>
    <row r="867" spans="1:20">
      <c r="A867" s="241">
        <v>44001</v>
      </c>
      <c r="B867" t="s">
        <v>4764</v>
      </c>
      <c r="C867" t="s">
        <v>294</v>
      </c>
      <c r="D867" t="s">
        <v>679</v>
      </c>
      <c r="E867" t="s">
        <v>597</v>
      </c>
      <c r="F867" t="s">
        <v>1147</v>
      </c>
      <c r="G867" t="s">
        <v>1081</v>
      </c>
      <c r="H867" t="s">
        <v>226</v>
      </c>
      <c r="I867" t="s">
        <v>1082</v>
      </c>
      <c r="J867" t="s">
        <v>1812</v>
      </c>
      <c r="K867" t="s">
        <v>299</v>
      </c>
      <c r="L867">
        <v>0.86</v>
      </c>
      <c r="M867" t="s">
        <v>4765</v>
      </c>
      <c r="N867" t="s">
        <v>4766</v>
      </c>
      <c r="O867" t="s">
        <v>4767</v>
      </c>
      <c r="P867" t="s">
        <v>218</v>
      </c>
      <c r="Q867" t="s">
        <v>2885</v>
      </c>
      <c r="R867" t="s">
        <v>2886</v>
      </c>
      <c r="S867" t="s">
        <v>2885</v>
      </c>
      <c r="T867" t="s">
        <v>2886</v>
      </c>
    </row>
    <row r="868" spans="1:20">
      <c r="A868" s="241">
        <v>44001</v>
      </c>
      <c r="B868" t="s">
        <v>4768</v>
      </c>
      <c r="C868" t="s">
        <v>614</v>
      </c>
      <c r="D868" t="s">
        <v>645</v>
      </c>
      <c r="E868" t="s">
        <v>632</v>
      </c>
      <c r="F868" t="s">
        <v>1591</v>
      </c>
      <c r="G868" t="s">
        <v>1477</v>
      </c>
      <c r="H868" t="s">
        <v>608</v>
      </c>
      <c r="I868" t="s">
        <v>1087</v>
      </c>
      <c r="J868" t="s">
        <v>1484</v>
      </c>
      <c r="K868" t="s">
        <v>244</v>
      </c>
      <c r="L868">
        <v>0.86</v>
      </c>
      <c r="M868" t="s">
        <v>4769</v>
      </c>
      <c r="N868" t="s">
        <v>4770</v>
      </c>
      <c r="O868" t="s">
        <v>4771</v>
      </c>
      <c r="P868" t="s">
        <v>218</v>
      </c>
      <c r="Q868" t="s">
        <v>2885</v>
      </c>
      <c r="R868" t="s">
        <v>2886</v>
      </c>
      <c r="S868" t="s">
        <v>2885</v>
      </c>
      <c r="T868" t="s">
        <v>2886</v>
      </c>
    </row>
    <row r="869" spans="1:20">
      <c r="A869" s="241">
        <v>44001</v>
      </c>
      <c r="B869" t="s">
        <v>4772</v>
      </c>
      <c r="C869" t="s">
        <v>625</v>
      </c>
      <c r="D869" t="s">
        <v>645</v>
      </c>
      <c r="E869" t="s">
        <v>238</v>
      </c>
      <c r="F869" t="s">
        <v>314</v>
      </c>
      <c r="G869" t="s">
        <v>599</v>
      </c>
      <c r="H869" t="s">
        <v>239</v>
      </c>
      <c r="I869" t="s">
        <v>1082</v>
      </c>
      <c r="J869" t="s">
        <v>1484</v>
      </c>
      <c r="K869" t="s">
        <v>268</v>
      </c>
      <c r="L869">
        <v>0.86</v>
      </c>
      <c r="M869" t="s">
        <v>4773</v>
      </c>
      <c r="N869" t="s">
        <v>4774</v>
      </c>
      <c r="O869" t="s">
        <v>4775</v>
      </c>
      <c r="P869" t="s">
        <v>218</v>
      </c>
      <c r="Q869" t="s">
        <v>2885</v>
      </c>
      <c r="R869" t="s">
        <v>2886</v>
      </c>
      <c r="S869" t="s">
        <v>2885</v>
      </c>
      <c r="T869" t="s">
        <v>2886</v>
      </c>
    </row>
    <row r="870" spans="1:20">
      <c r="A870" s="241">
        <v>44001</v>
      </c>
      <c r="B870" t="s">
        <v>4776</v>
      </c>
      <c r="C870" t="s">
        <v>615</v>
      </c>
      <c r="D870" t="s">
        <v>1139</v>
      </c>
      <c r="E870" t="s">
        <v>304</v>
      </c>
      <c r="F870" t="s">
        <v>926</v>
      </c>
      <c r="G870" t="s">
        <v>1081</v>
      </c>
      <c r="H870" t="s">
        <v>600</v>
      </c>
      <c r="I870" t="s">
        <v>308</v>
      </c>
      <c r="J870" t="s">
        <v>601</v>
      </c>
      <c r="K870" t="s">
        <v>256</v>
      </c>
      <c r="L870">
        <v>0.86</v>
      </c>
      <c r="M870" t="s">
        <v>4777</v>
      </c>
      <c r="N870" t="s">
        <v>4778</v>
      </c>
      <c r="O870" t="s">
        <v>4779</v>
      </c>
      <c r="P870" t="s">
        <v>218</v>
      </c>
      <c r="Q870" t="s">
        <v>2885</v>
      </c>
      <c r="R870" t="s">
        <v>2886</v>
      </c>
      <c r="S870" t="s">
        <v>2885</v>
      </c>
      <c r="T870" t="s">
        <v>2886</v>
      </c>
    </row>
    <row r="871" spans="1:20">
      <c r="A871" s="241">
        <v>44001</v>
      </c>
      <c r="B871" t="s">
        <v>4780</v>
      </c>
      <c r="C871" t="s">
        <v>614</v>
      </c>
      <c r="D871" t="s">
        <v>625</v>
      </c>
      <c r="E871" t="s">
        <v>1121</v>
      </c>
      <c r="F871" t="s">
        <v>926</v>
      </c>
      <c r="G871" t="s">
        <v>3284</v>
      </c>
      <c r="H871" t="s">
        <v>618</v>
      </c>
      <c r="I871" t="s">
        <v>1811</v>
      </c>
      <c r="J871" t="s">
        <v>601</v>
      </c>
      <c r="K871" t="s">
        <v>231</v>
      </c>
      <c r="L871">
        <v>0.86</v>
      </c>
      <c r="M871" t="s">
        <v>4781</v>
      </c>
      <c r="N871" t="s">
        <v>4782</v>
      </c>
      <c r="O871" t="s">
        <v>4783</v>
      </c>
      <c r="P871" t="s">
        <v>218</v>
      </c>
      <c r="Q871" t="s">
        <v>2885</v>
      </c>
      <c r="R871" t="s">
        <v>2886</v>
      </c>
      <c r="S871" t="s">
        <v>2885</v>
      </c>
      <c r="T871" t="s">
        <v>2886</v>
      </c>
    </row>
    <row r="872" spans="1:20">
      <c r="A872" s="241">
        <v>44001</v>
      </c>
      <c r="B872" t="s">
        <v>4784</v>
      </c>
      <c r="C872" t="s">
        <v>712</v>
      </c>
      <c r="D872" t="s">
        <v>625</v>
      </c>
      <c r="E872" t="s">
        <v>424</v>
      </c>
      <c r="F872" t="s">
        <v>295</v>
      </c>
      <c r="G872" t="s">
        <v>856</v>
      </c>
      <c r="H872" t="s">
        <v>2074</v>
      </c>
      <c r="I872" t="s">
        <v>619</v>
      </c>
      <c r="J872" t="s">
        <v>1484</v>
      </c>
      <c r="K872" t="s">
        <v>299</v>
      </c>
      <c r="L872">
        <v>0.86</v>
      </c>
      <c r="M872" t="s">
        <v>4785</v>
      </c>
      <c r="N872" t="s">
        <v>4786</v>
      </c>
      <c r="O872" t="s">
        <v>4787</v>
      </c>
      <c r="P872" t="s">
        <v>218</v>
      </c>
      <c r="Q872" t="s">
        <v>2885</v>
      </c>
      <c r="R872" t="s">
        <v>2886</v>
      </c>
      <c r="S872" t="s">
        <v>2885</v>
      </c>
      <c r="T872" t="s">
        <v>2886</v>
      </c>
    </row>
    <row r="873" spans="1:20">
      <c r="A873" s="241">
        <v>44001</v>
      </c>
      <c r="B873" t="s">
        <v>4788</v>
      </c>
      <c r="C873" t="s">
        <v>261</v>
      </c>
      <c r="D873" t="s">
        <v>625</v>
      </c>
      <c r="E873" t="s">
        <v>225</v>
      </c>
      <c r="F873" t="s">
        <v>1591</v>
      </c>
      <c r="G873" t="s">
        <v>1483</v>
      </c>
      <c r="H873" t="s">
        <v>868</v>
      </c>
      <c r="I873" t="s">
        <v>869</v>
      </c>
      <c r="J873" t="s">
        <v>1092</v>
      </c>
      <c r="K873" t="s">
        <v>268</v>
      </c>
      <c r="L873">
        <v>0.86</v>
      </c>
      <c r="M873" t="s">
        <v>4789</v>
      </c>
      <c r="N873" t="s">
        <v>4790</v>
      </c>
      <c r="O873" t="s">
        <v>4791</v>
      </c>
      <c r="P873" t="s">
        <v>218</v>
      </c>
      <c r="Q873" t="s">
        <v>2885</v>
      </c>
      <c r="R873" t="s">
        <v>2886</v>
      </c>
      <c r="S873" t="s">
        <v>2885</v>
      </c>
      <c r="T873" t="s">
        <v>2886</v>
      </c>
    </row>
    <row r="874" spans="1:20">
      <c r="A874" s="241">
        <v>44001</v>
      </c>
      <c r="B874" t="s">
        <v>4792</v>
      </c>
      <c r="C874" t="s">
        <v>294</v>
      </c>
      <c r="D874" t="s">
        <v>625</v>
      </c>
      <c r="E874" t="s">
        <v>424</v>
      </c>
      <c r="F874" t="s">
        <v>1817</v>
      </c>
      <c r="G874" t="s">
        <v>1832</v>
      </c>
      <c r="H874" t="s">
        <v>251</v>
      </c>
      <c r="I874" t="s">
        <v>317</v>
      </c>
      <c r="J874" t="s">
        <v>318</v>
      </c>
      <c r="K874" t="s">
        <v>268</v>
      </c>
      <c r="L874">
        <v>0.86</v>
      </c>
      <c r="M874" t="s">
        <v>4793</v>
      </c>
      <c r="N874" t="s">
        <v>4794</v>
      </c>
      <c r="O874" t="s">
        <v>4795</v>
      </c>
      <c r="P874" t="s">
        <v>218</v>
      </c>
      <c r="Q874" t="s">
        <v>2885</v>
      </c>
      <c r="R874" t="s">
        <v>2886</v>
      </c>
      <c r="S874" t="s">
        <v>2885</v>
      </c>
      <c r="T874" t="s">
        <v>2886</v>
      </c>
    </row>
    <row r="875" spans="1:20">
      <c r="A875" s="241">
        <v>44001</v>
      </c>
      <c r="B875" t="s">
        <v>4796</v>
      </c>
      <c r="C875" t="s">
        <v>442</v>
      </c>
      <c r="D875" t="s">
        <v>645</v>
      </c>
      <c r="E875" t="s">
        <v>225</v>
      </c>
      <c r="F875" t="s">
        <v>713</v>
      </c>
      <c r="G875" t="s">
        <v>856</v>
      </c>
      <c r="H875" t="s">
        <v>813</v>
      </c>
      <c r="I875" t="s">
        <v>869</v>
      </c>
      <c r="J875" t="s">
        <v>318</v>
      </c>
      <c r="K875" t="s">
        <v>256</v>
      </c>
      <c r="L875">
        <v>0.86</v>
      </c>
      <c r="M875" t="s">
        <v>4797</v>
      </c>
      <c r="N875" t="s">
        <v>4798</v>
      </c>
      <c r="O875" t="s">
        <v>4799</v>
      </c>
      <c r="P875" t="s">
        <v>218</v>
      </c>
      <c r="Q875" t="s">
        <v>2885</v>
      </c>
      <c r="R875" t="s">
        <v>2886</v>
      </c>
      <c r="S875" t="s">
        <v>2885</v>
      </c>
      <c r="T875" t="s">
        <v>2886</v>
      </c>
    </row>
    <row r="876" spans="1:20">
      <c r="A876" s="241">
        <v>44001</v>
      </c>
      <c r="B876" t="s">
        <v>4800</v>
      </c>
      <c r="C876" t="s">
        <v>294</v>
      </c>
      <c r="D876" t="s">
        <v>274</v>
      </c>
      <c r="E876" t="s">
        <v>812</v>
      </c>
      <c r="F876" t="s">
        <v>639</v>
      </c>
      <c r="G876" t="s">
        <v>599</v>
      </c>
      <c r="H876" t="s">
        <v>263</v>
      </c>
      <c r="I876" t="s">
        <v>1842</v>
      </c>
      <c r="J876" t="s">
        <v>1495</v>
      </c>
      <c r="K876" t="s">
        <v>268</v>
      </c>
      <c r="L876">
        <v>0.86</v>
      </c>
      <c r="M876" t="s">
        <v>4801</v>
      </c>
      <c r="N876" t="s">
        <v>4802</v>
      </c>
      <c r="O876" t="s">
        <v>4803</v>
      </c>
      <c r="P876" t="s">
        <v>218</v>
      </c>
      <c r="Q876" t="s">
        <v>2885</v>
      </c>
      <c r="R876" t="s">
        <v>2886</v>
      </c>
      <c r="S876" t="s">
        <v>2885</v>
      </c>
      <c r="T876" t="s">
        <v>2886</v>
      </c>
    </row>
    <row r="877" spans="1:20">
      <c r="A877" s="241">
        <v>44001</v>
      </c>
      <c r="B877" t="s">
        <v>4804</v>
      </c>
      <c r="C877" t="s">
        <v>294</v>
      </c>
      <c r="D877" t="s">
        <v>615</v>
      </c>
      <c r="E877" t="s">
        <v>332</v>
      </c>
      <c r="F877" t="s">
        <v>1493</v>
      </c>
      <c r="G877" t="s">
        <v>1841</v>
      </c>
      <c r="H877" t="s">
        <v>335</v>
      </c>
      <c r="I877" t="s">
        <v>325</v>
      </c>
      <c r="J877" t="s">
        <v>1506</v>
      </c>
      <c r="K877" t="s">
        <v>338</v>
      </c>
      <c r="L877">
        <v>0.86</v>
      </c>
      <c r="M877" t="s">
        <v>4805</v>
      </c>
      <c r="N877" t="s">
        <v>4806</v>
      </c>
      <c r="O877" t="s">
        <v>4807</v>
      </c>
      <c r="P877" t="s">
        <v>218</v>
      </c>
      <c r="Q877" t="s">
        <v>2885</v>
      </c>
      <c r="R877" t="s">
        <v>2886</v>
      </c>
      <c r="S877" t="s">
        <v>2885</v>
      </c>
      <c r="T877" t="s">
        <v>2886</v>
      </c>
    </row>
    <row r="878" spans="1:20">
      <c r="A878" s="241">
        <v>44001</v>
      </c>
      <c r="B878" t="s">
        <v>4808</v>
      </c>
      <c r="C878" t="s">
        <v>261</v>
      </c>
      <c r="D878" t="s">
        <v>671</v>
      </c>
      <c r="E878" t="s">
        <v>250</v>
      </c>
      <c r="F878" t="s">
        <v>445</v>
      </c>
      <c r="G878" t="s">
        <v>1841</v>
      </c>
      <c r="H878" t="s">
        <v>881</v>
      </c>
      <c r="I878" t="s">
        <v>347</v>
      </c>
      <c r="J878" t="s">
        <v>348</v>
      </c>
      <c r="K878" t="s">
        <v>666</v>
      </c>
      <c r="L878">
        <v>0.86</v>
      </c>
      <c r="M878" t="s">
        <v>4809</v>
      </c>
      <c r="N878" t="s">
        <v>4810</v>
      </c>
      <c r="O878" t="s">
        <v>4811</v>
      </c>
      <c r="P878" t="s">
        <v>218</v>
      </c>
      <c r="Q878" t="s">
        <v>2885</v>
      </c>
      <c r="R878" t="s">
        <v>2886</v>
      </c>
      <c r="S878" t="s">
        <v>2885</v>
      </c>
      <c r="T878" t="s">
        <v>2886</v>
      </c>
    </row>
    <row r="879" spans="1:20">
      <c r="A879" s="241">
        <v>44001</v>
      </c>
      <c r="B879" t="s">
        <v>4812</v>
      </c>
      <c r="C879" t="s">
        <v>207</v>
      </c>
      <c r="D879" t="s">
        <v>645</v>
      </c>
      <c r="E879" t="s">
        <v>556</v>
      </c>
      <c r="F879" t="s">
        <v>1103</v>
      </c>
      <c r="G879" t="s">
        <v>355</v>
      </c>
      <c r="H879" t="s">
        <v>649</v>
      </c>
      <c r="I879" t="s">
        <v>1518</v>
      </c>
      <c r="J879" t="s">
        <v>348</v>
      </c>
      <c r="K879" t="s">
        <v>280</v>
      </c>
      <c r="L879">
        <v>0.86</v>
      </c>
      <c r="M879" t="s">
        <v>4813</v>
      </c>
      <c r="N879" t="s">
        <v>4814</v>
      </c>
      <c r="O879" t="s">
        <v>4815</v>
      </c>
      <c r="P879" t="s">
        <v>218</v>
      </c>
      <c r="Q879" t="s">
        <v>2885</v>
      </c>
      <c r="R879" t="s">
        <v>2886</v>
      </c>
      <c r="S879" t="s">
        <v>2885</v>
      </c>
      <c r="T879" t="s">
        <v>2886</v>
      </c>
    </row>
    <row r="880" spans="1:20">
      <c r="A880" s="241">
        <v>44001</v>
      </c>
      <c r="B880" t="s">
        <v>4816</v>
      </c>
      <c r="C880" t="s">
        <v>442</v>
      </c>
      <c r="D880" t="s">
        <v>625</v>
      </c>
      <c r="E880" t="s">
        <v>402</v>
      </c>
      <c r="F880" t="s">
        <v>333</v>
      </c>
      <c r="G880" t="s">
        <v>345</v>
      </c>
      <c r="H880" t="s">
        <v>366</v>
      </c>
      <c r="I880" t="s">
        <v>1518</v>
      </c>
      <c r="J880" t="s">
        <v>650</v>
      </c>
      <c r="K880" t="s">
        <v>666</v>
      </c>
      <c r="L880">
        <v>0.86</v>
      </c>
      <c r="M880" t="s">
        <v>4817</v>
      </c>
      <c r="N880" t="s">
        <v>4818</v>
      </c>
      <c r="O880" t="s">
        <v>4819</v>
      </c>
      <c r="P880" t="s">
        <v>218</v>
      </c>
      <c r="Q880" t="s">
        <v>2885</v>
      </c>
      <c r="R880" t="s">
        <v>2886</v>
      </c>
      <c r="S880" t="s">
        <v>2885</v>
      </c>
      <c r="T880" t="s">
        <v>2886</v>
      </c>
    </row>
    <row r="881" spans="1:20">
      <c r="A881" s="241">
        <v>44001</v>
      </c>
      <c r="B881" t="s">
        <v>4820</v>
      </c>
      <c r="C881" t="s">
        <v>261</v>
      </c>
      <c r="D881" t="s">
        <v>615</v>
      </c>
      <c r="E881" t="s">
        <v>304</v>
      </c>
      <c r="F881" t="s">
        <v>333</v>
      </c>
      <c r="G881" t="s">
        <v>324</v>
      </c>
      <c r="H881" t="s">
        <v>566</v>
      </c>
      <c r="I881" t="s">
        <v>1097</v>
      </c>
      <c r="J881" t="s">
        <v>326</v>
      </c>
      <c r="K881" t="s">
        <v>338</v>
      </c>
      <c r="L881">
        <v>0.86</v>
      </c>
      <c r="M881" t="s">
        <v>4821</v>
      </c>
      <c r="N881" t="s">
        <v>4822</v>
      </c>
      <c r="O881" t="s">
        <v>4823</v>
      </c>
      <c r="P881" t="s">
        <v>218</v>
      </c>
      <c r="Q881" t="s">
        <v>2885</v>
      </c>
      <c r="R881" t="s">
        <v>2886</v>
      </c>
      <c r="S881" t="s">
        <v>2885</v>
      </c>
      <c r="T881" t="s">
        <v>2886</v>
      </c>
    </row>
    <row r="882" spans="1:20">
      <c r="A882" s="241">
        <v>44001</v>
      </c>
      <c r="B882" t="s">
        <v>4824</v>
      </c>
      <c r="C882" t="s">
        <v>294</v>
      </c>
      <c r="D882" t="s">
        <v>615</v>
      </c>
      <c r="E882" t="s">
        <v>332</v>
      </c>
      <c r="F882" t="s">
        <v>323</v>
      </c>
      <c r="G882" t="s">
        <v>324</v>
      </c>
      <c r="H882" t="s">
        <v>616</v>
      </c>
      <c r="I882" t="s">
        <v>357</v>
      </c>
      <c r="J882" t="s">
        <v>650</v>
      </c>
      <c r="K882" t="s">
        <v>338</v>
      </c>
      <c r="L882">
        <v>0.86</v>
      </c>
      <c r="M882" t="s">
        <v>4825</v>
      </c>
      <c r="N882" t="s">
        <v>4826</v>
      </c>
      <c r="O882" t="s">
        <v>4827</v>
      </c>
      <c r="P882" t="s">
        <v>218</v>
      </c>
      <c r="Q882" t="s">
        <v>2885</v>
      </c>
      <c r="R882" t="s">
        <v>2886</v>
      </c>
      <c r="S882" t="s">
        <v>2885</v>
      </c>
      <c r="T882" t="s">
        <v>2886</v>
      </c>
    </row>
    <row r="883" spans="1:20">
      <c r="A883" s="241">
        <v>44001</v>
      </c>
      <c r="B883" t="s">
        <v>4828</v>
      </c>
      <c r="C883" t="s">
        <v>712</v>
      </c>
      <c r="D883" t="s">
        <v>237</v>
      </c>
      <c r="E883" t="s">
        <v>250</v>
      </c>
      <c r="F883" t="s">
        <v>354</v>
      </c>
      <c r="G883" t="s">
        <v>355</v>
      </c>
      <c r="H883" t="s">
        <v>1056</v>
      </c>
      <c r="I883" t="s">
        <v>357</v>
      </c>
      <c r="J883" t="s">
        <v>1868</v>
      </c>
      <c r="K883" t="s">
        <v>666</v>
      </c>
      <c r="L883">
        <v>0.86</v>
      </c>
      <c r="M883" t="s">
        <v>4829</v>
      </c>
      <c r="N883" t="s">
        <v>4830</v>
      </c>
      <c r="O883" t="s">
        <v>4831</v>
      </c>
      <c r="P883" t="s">
        <v>218</v>
      </c>
      <c r="Q883" t="s">
        <v>2885</v>
      </c>
      <c r="R883" t="s">
        <v>2886</v>
      </c>
      <c r="S883" t="s">
        <v>2885</v>
      </c>
      <c r="T883" t="s">
        <v>2886</v>
      </c>
    </row>
    <row r="884" spans="1:20">
      <c r="A884" s="241">
        <v>44001</v>
      </c>
      <c r="B884" t="s">
        <v>4832</v>
      </c>
      <c r="C884" t="s">
        <v>442</v>
      </c>
      <c r="D884" t="s">
        <v>423</v>
      </c>
      <c r="E884" t="s">
        <v>597</v>
      </c>
      <c r="F884" t="s">
        <v>354</v>
      </c>
      <c r="G884" t="s">
        <v>1110</v>
      </c>
      <c r="H884" t="s">
        <v>1756</v>
      </c>
      <c r="I884" t="s">
        <v>1859</v>
      </c>
      <c r="J884" t="s">
        <v>1868</v>
      </c>
      <c r="K884" t="s">
        <v>280</v>
      </c>
      <c r="L884">
        <v>0.86</v>
      </c>
      <c r="M884" t="s">
        <v>4833</v>
      </c>
      <c r="N884" t="s">
        <v>4834</v>
      </c>
      <c r="O884" t="s">
        <v>4835</v>
      </c>
      <c r="P884" t="s">
        <v>218</v>
      </c>
      <c r="Q884" t="s">
        <v>2885</v>
      </c>
      <c r="R884" t="s">
        <v>2886</v>
      </c>
      <c r="S884" t="s">
        <v>2885</v>
      </c>
      <c r="T884" t="s">
        <v>2886</v>
      </c>
    </row>
    <row r="885" spans="1:20">
      <c r="A885" s="241">
        <v>44001</v>
      </c>
      <c r="B885" t="s">
        <v>4836</v>
      </c>
      <c r="C885" t="s">
        <v>261</v>
      </c>
      <c r="D885" t="s">
        <v>671</v>
      </c>
      <c r="E885" t="s">
        <v>632</v>
      </c>
      <c r="F885" t="s">
        <v>897</v>
      </c>
      <c r="G885" t="s">
        <v>1110</v>
      </c>
      <c r="H885" t="s">
        <v>1291</v>
      </c>
      <c r="I885" t="s">
        <v>367</v>
      </c>
      <c r="J885" t="s">
        <v>1116</v>
      </c>
      <c r="K885" t="s">
        <v>280</v>
      </c>
      <c r="L885">
        <v>0.86</v>
      </c>
      <c r="M885" t="s">
        <v>4837</v>
      </c>
      <c r="N885" t="s">
        <v>4838</v>
      </c>
      <c r="O885" t="s">
        <v>4839</v>
      </c>
      <c r="P885" t="s">
        <v>218</v>
      </c>
      <c r="Q885" t="s">
        <v>2885</v>
      </c>
      <c r="R885" t="s">
        <v>2886</v>
      </c>
      <c r="S885" t="s">
        <v>2885</v>
      </c>
      <c r="T885" t="s">
        <v>2886</v>
      </c>
    </row>
    <row r="886" spans="1:20">
      <c r="A886" s="241">
        <v>44001</v>
      </c>
      <c r="B886" t="s">
        <v>4840</v>
      </c>
      <c r="C886" t="s">
        <v>625</v>
      </c>
      <c r="D886" t="s">
        <v>615</v>
      </c>
      <c r="E886" t="s">
        <v>597</v>
      </c>
      <c r="F886" t="s">
        <v>383</v>
      </c>
      <c r="G886" t="s">
        <v>365</v>
      </c>
      <c r="H886" t="s">
        <v>385</v>
      </c>
      <c r="I886" t="s">
        <v>656</v>
      </c>
      <c r="J886" t="s">
        <v>657</v>
      </c>
      <c r="K886" t="s">
        <v>666</v>
      </c>
      <c r="L886">
        <v>0.86</v>
      </c>
      <c r="M886" t="s">
        <v>4841</v>
      </c>
      <c r="N886" t="s">
        <v>4842</v>
      </c>
      <c r="O886" t="s">
        <v>4843</v>
      </c>
      <c r="P886" t="s">
        <v>218</v>
      </c>
      <c r="Q886" t="s">
        <v>2885</v>
      </c>
      <c r="R886" t="s">
        <v>2886</v>
      </c>
      <c r="S886" t="s">
        <v>2885</v>
      </c>
      <c r="T886" t="s">
        <v>2886</v>
      </c>
    </row>
    <row r="887" spans="1:20">
      <c r="A887" s="241">
        <v>44001</v>
      </c>
      <c r="B887" t="s">
        <v>4844</v>
      </c>
      <c r="C887" t="s">
        <v>442</v>
      </c>
      <c r="D887" t="s">
        <v>671</v>
      </c>
      <c r="E887" t="s">
        <v>597</v>
      </c>
      <c r="F887" t="s">
        <v>2579</v>
      </c>
      <c r="G887" t="s">
        <v>2764</v>
      </c>
      <c r="H887" t="s">
        <v>1262</v>
      </c>
      <c r="I887" t="s">
        <v>656</v>
      </c>
      <c r="J887" t="s">
        <v>1116</v>
      </c>
      <c r="K887" t="s">
        <v>651</v>
      </c>
      <c r="L887">
        <v>0.86</v>
      </c>
      <c r="M887" t="s">
        <v>4845</v>
      </c>
      <c r="N887" t="s">
        <v>4846</v>
      </c>
      <c r="O887" t="s">
        <v>4847</v>
      </c>
      <c r="P887" t="s">
        <v>218</v>
      </c>
      <c r="Q887" t="s">
        <v>2885</v>
      </c>
      <c r="R887" t="s">
        <v>2886</v>
      </c>
      <c r="S887" t="s">
        <v>2885</v>
      </c>
      <c r="T887" t="s">
        <v>2886</v>
      </c>
    </row>
    <row r="888" spans="1:20">
      <c r="A888" s="241">
        <v>44001</v>
      </c>
      <c r="B888" t="s">
        <v>4848</v>
      </c>
      <c r="C888" t="s">
        <v>631</v>
      </c>
      <c r="D888" t="s">
        <v>671</v>
      </c>
      <c r="E888" t="s">
        <v>250</v>
      </c>
      <c r="F888" t="s">
        <v>2579</v>
      </c>
      <c r="G888" t="s">
        <v>1115</v>
      </c>
      <c r="H888" t="s">
        <v>385</v>
      </c>
      <c r="I888" t="s">
        <v>1547</v>
      </c>
      <c r="J888" t="s">
        <v>368</v>
      </c>
      <c r="K888" t="s">
        <v>327</v>
      </c>
      <c r="L888">
        <v>0.86</v>
      </c>
      <c r="M888" t="s">
        <v>4849</v>
      </c>
      <c r="N888" t="s">
        <v>4850</v>
      </c>
      <c r="O888" t="s">
        <v>4851</v>
      </c>
      <c r="P888" t="s">
        <v>218</v>
      </c>
      <c r="Q888" t="s">
        <v>2885</v>
      </c>
      <c r="R888" t="s">
        <v>2886</v>
      </c>
      <c r="S888" t="s">
        <v>2885</v>
      </c>
      <c r="T888" t="s">
        <v>2886</v>
      </c>
    </row>
    <row r="889" spans="1:20">
      <c r="A889" s="241">
        <v>44001</v>
      </c>
      <c r="B889" t="s">
        <v>4852</v>
      </c>
      <c r="C889" t="s">
        <v>712</v>
      </c>
      <c r="D889" t="s">
        <v>712</v>
      </c>
      <c r="E889" t="s">
        <v>238</v>
      </c>
      <c r="F889" t="s">
        <v>1561</v>
      </c>
      <c r="G889" t="s">
        <v>1104</v>
      </c>
      <c r="H889" t="s">
        <v>1291</v>
      </c>
      <c r="I889" t="s">
        <v>674</v>
      </c>
      <c r="J889" t="s">
        <v>368</v>
      </c>
      <c r="K889" t="s">
        <v>280</v>
      </c>
      <c r="L889">
        <v>0.86</v>
      </c>
      <c r="M889" t="s">
        <v>4853</v>
      </c>
      <c r="N889" t="s">
        <v>4854</v>
      </c>
      <c r="O889" t="s">
        <v>4855</v>
      </c>
      <c r="P889" t="s">
        <v>218</v>
      </c>
      <c r="Q889" t="s">
        <v>2885</v>
      </c>
      <c r="R889" t="s">
        <v>2886</v>
      </c>
      <c r="S889" t="s">
        <v>2885</v>
      </c>
      <c r="T889" t="s">
        <v>2886</v>
      </c>
    </row>
    <row r="890" spans="1:20">
      <c r="A890" s="241">
        <v>44001</v>
      </c>
      <c r="B890" t="s">
        <v>4856</v>
      </c>
      <c r="C890" t="s">
        <v>614</v>
      </c>
      <c r="D890" t="s">
        <v>442</v>
      </c>
      <c r="E890" t="s">
        <v>646</v>
      </c>
      <c r="F890" t="s">
        <v>393</v>
      </c>
      <c r="G890" t="s">
        <v>910</v>
      </c>
      <c r="H890" t="s">
        <v>305</v>
      </c>
      <c r="I890" t="s">
        <v>911</v>
      </c>
      <c r="J890" t="s">
        <v>912</v>
      </c>
      <c r="K890" t="s">
        <v>349</v>
      </c>
      <c r="L890">
        <v>0.86</v>
      </c>
      <c r="M890" t="s">
        <v>4857</v>
      </c>
      <c r="N890" t="s">
        <v>4858</v>
      </c>
      <c r="O890" t="s">
        <v>4859</v>
      </c>
      <c r="P890" t="s">
        <v>218</v>
      </c>
      <c r="Q890" t="s">
        <v>2885</v>
      </c>
      <c r="R890" t="s">
        <v>2886</v>
      </c>
      <c r="S890" t="s">
        <v>2885</v>
      </c>
      <c r="T890" t="s">
        <v>2886</v>
      </c>
    </row>
    <row r="891" spans="1:20">
      <c r="A891" s="241">
        <v>44001</v>
      </c>
      <c r="B891" t="s">
        <v>4860</v>
      </c>
      <c r="C891" t="s">
        <v>615</v>
      </c>
      <c r="D891" t="s">
        <v>671</v>
      </c>
      <c r="E891" t="s">
        <v>696</v>
      </c>
      <c r="F891" t="s">
        <v>904</v>
      </c>
      <c r="G891" t="s">
        <v>384</v>
      </c>
      <c r="H891" t="s">
        <v>926</v>
      </c>
      <c r="I891" t="s">
        <v>911</v>
      </c>
      <c r="J891" t="s">
        <v>1298</v>
      </c>
      <c r="K891" t="s">
        <v>651</v>
      </c>
      <c r="L891">
        <v>0.86</v>
      </c>
      <c r="M891" t="s">
        <v>4861</v>
      </c>
      <c r="N891" t="s">
        <v>4862</v>
      </c>
      <c r="O891" t="s">
        <v>4863</v>
      </c>
      <c r="P891" t="s">
        <v>218</v>
      </c>
      <c r="Q891" t="s">
        <v>2885</v>
      </c>
      <c r="R891" t="s">
        <v>2886</v>
      </c>
      <c r="S891" t="s">
        <v>2885</v>
      </c>
      <c r="T891" t="s">
        <v>2886</v>
      </c>
    </row>
    <row r="892" spans="1:20">
      <c r="A892" s="241">
        <v>44001</v>
      </c>
      <c r="B892" t="s">
        <v>4864</v>
      </c>
      <c r="C892" t="s">
        <v>423</v>
      </c>
      <c r="D892" t="s">
        <v>442</v>
      </c>
      <c r="E892" t="s">
        <v>812</v>
      </c>
      <c r="F892" t="s">
        <v>433</v>
      </c>
      <c r="G892" t="s">
        <v>898</v>
      </c>
      <c r="H892" t="s">
        <v>405</v>
      </c>
      <c r="I892" t="s">
        <v>396</v>
      </c>
      <c r="J892" t="s">
        <v>397</v>
      </c>
      <c r="K892" t="s">
        <v>700</v>
      </c>
      <c r="L892">
        <v>0.86</v>
      </c>
      <c r="M892" t="s">
        <v>4865</v>
      </c>
      <c r="N892" t="s">
        <v>4866</v>
      </c>
      <c r="O892" t="s">
        <v>4867</v>
      </c>
      <c r="P892" t="s">
        <v>218</v>
      </c>
      <c r="Q892" t="s">
        <v>2885</v>
      </c>
      <c r="R892" t="s">
        <v>2886</v>
      </c>
      <c r="S892" t="s">
        <v>2885</v>
      </c>
      <c r="T892" t="s">
        <v>2886</v>
      </c>
    </row>
    <row r="893" spans="1:20">
      <c r="A893" s="241">
        <v>44001</v>
      </c>
      <c r="B893" t="s">
        <v>4868</v>
      </c>
      <c r="C893" t="s">
        <v>274</v>
      </c>
      <c r="D893" t="s">
        <v>645</v>
      </c>
      <c r="E893" t="s">
        <v>382</v>
      </c>
      <c r="F893" t="s">
        <v>937</v>
      </c>
      <c r="G893" t="s">
        <v>681</v>
      </c>
      <c r="H893" t="s">
        <v>1591</v>
      </c>
      <c r="I893" t="s">
        <v>1140</v>
      </c>
      <c r="J893" t="s">
        <v>707</v>
      </c>
      <c r="K893" t="s">
        <v>418</v>
      </c>
      <c r="L893">
        <v>0.86</v>
      </c>
      <c r="M893" t="s">
        <v>4869</v>
      </c>
      <c r="N893" t="s">
        <v>4870</v>
      </c>
      <c r="O893" t="s">
        <v>4871</v>
      </c>
      <c r="P893" t="s">
        <v>218</v>
      </c>
      <c r="Q893" t="s">
        <v>2885</v>
      </c>
      <c r="R893" t="s">
        <v>2886</v>
      </c>
      <c r="S893" t="s">
        <v>2885</v>
      </c>
      <c r="T893" t="s">
        <v>2886</v>
      </c>
    </row>
    <row r="894" spans="1:20">
      <c r="A894" s="241">
        <v>44001</v>
      </c>
      <c r="B894" t="s">
        <v>4872</v>
      </c>
      <c r="C894" t="s">
        <v>625</v>
      </c>
      <c r="D894" t="s">
        <v>712</v>
      </c>
      <c r="E894" t="s">
        <v>382</v>
      </c>
      <c r="F894" t="s">
        <v>952</v>
      </c>
      <c r="G894" t="s">
        <v>1568</v>
      </c>
      <c r="H894" t="s">
        <v>1493</v>
      </c>
      <c r="I894" t="s">
        <v>932</v>
      </c>
      <c r="J894" t="s">
        <v>1304</v>
      </c>
      <c r="K894" t="s">
        <v>408</v>
      </c>
      <c r="L894">
        <v>0.86</v>
      </c>
      <c r="M894" t="s">
        <v>4873</v>
      </c>
      <c r="N894" t="s">
        <v>4874</v>
      </c>
      <c r="O894" t="s">
        <v>4875</v>
      </c>
      <c r="P894" t="s">
        <v>218</v>
      </c>
      <c r="Q894" t="s">
        <v>2885</v>
      </c>
      <c r="R894" t="s">
        <v>2886</v>
      </c>
      <c r="S894" t="s">
        <v>2885</v>
      </c>
      <c r="T894" t="s">
        <v>2886</v>
      </c>
    </row>
    <row r="895" spans="1:20">
      <c r="A895" s="241">
        <v>44001</v>
      </c>
      <c r="B895" t="s">
        <v>4876</v>
      </c>
      <c r="C895" t="s">
        <v>261</v>
      </c>
      <c r="D895" t="s">
        <v>294</v>
      </c>
      <c r="E895" t="s">
        <v>632</v>
      </c>
      <c r="F895" t="s">
        <v>444</v>
      </c>
      <c r="G895" t="s">
        <v>697</v>
      </c>
      <c r="H895" t="s">
        <v>720</v>
      </c>
      <c r="I895" t="s">
        <v>436</v>
      </c>
      <c r="J895" t="s">
        <v>417</v>
      </c>
      <c r="K895" t="s">
        <v>700</v>
      </c>
      <c r="L895">
        <v>0.86</v>
      </c>
      <c r="M895" t="s">
        <v>4877</v>
      </c>
      <c r="N895" t="s">
        <v>4878</v>
      </c>
      <c r="O895" t="s">
        <v>4879</v>
      </c>
      <c r="P895" t="s">
        <v>218</v>
      </c>
      <c r="Q895" t="s">
        <v>2885</v>
      </c>
      <c r="R895" t="s">
        <v>2886</v>
      </c>
      <c r="S895" t="s">
        <v>2885</v>
      </c>
      <c r="T895" t="s">
        <v>2886</v>
      </c>
    </row>
    <row r="896" spans="1:20">
      <c r="A896" s="241">
        <v>44001</v>
      </c>
      <c r="B896" t="s">
        <v>4880</v>
      </c>
      <c r="C896" t="s">
        <v>442</v>
      </c>
      <c r="D896" t="s">
        <v>645</v>
      </c>
      <c r="E896" t="s">
        <v>424</v>
      </c>
      <c r="F896" t="s">
        <v>444</v>
      </c>
      <c r="G896" t="s">
        <v>697</v>
      </c>
      <c r="H896" t="s">
        <v>647</v>
      </c>
      <c r="I896" t="s">
        <v>436</v>
      </c>
      <c r="J896" t="s">
        <v>437</v>
      </c>
      <c r="K896" t="s">
        <v>408</v>
      </c>
      <c r="L896">
        <v>0.86</v>
      </c>
      <c r="M896" t="s">
        <v>4881</v>
      </c>
      <c r="N896" t="s">
        <v>4882</v>
      </c>
      <c r="O896" t="s">
        <v>4883</v>
      </c>
      <c r="P896" t="s">
        <v>218</v>
      </c>
      <c r="Q896" t="s">
        <v>2885</v>
      </c>
      <c r="R896" t="s">
        <v>2886</v>
      </c>
      <c r="S896" t="s">
        <v>2885</v>
      </c>
      <c r="T896" t="s">
        <v>2886</v>
      </c>
    </row>
    <row r="897" spans="1:20">
      <c r="A897" s="241">
        <v>44001</v>
      </c>
      <c r="B897" t="s">
        <v>4884</v>
      </c>
      <c r="C897" t="s">
        <v>442</v>
      </c>
      <c r="D897" t="s">
        <v>645</v>
      </c>
      <c r="E897" t="s">
        <v>812</v>
      </c>
      <c r="F897" t="s">
        <v>1630</v>
      </c>
      <c r="G897" t="s">
        <v>1297</v>
      </c>
      <c r="H897" t="s">
        <v>2410</v>
      </c>
      <c r="I897" t="s">
        <v>446</v>
      </c>
      <c r="J897" t="s">
        <v>730</v>
      </c>
      <c r="K897" t="s">
        <v>428</v>
      </c>
      <c r="L897">
        <v>0.86</v>
      </c>
      <c r="M897" t="s">
        <v>4885</v>
      </c>
      <c r="N897" t="s">
        <v>4886</v>
      </c>
      <c r="O897" t="s">
        <v>4887</v>
      </c>
      <c r="P897" t="s">
        <v>218</v>
      </c>
      <c r="Q897" t="s">
        <v>2885</v>
      </c>
      <c r="R897" t="s">
        <v>2886</v>
      </c>
      <c r="S897" t="s">
        <v>2885</v>
      </c>
      <c r="T897" t="s">
        <v>2886</v>
      </c>
    </row>
    <row r="898" spans="1:20">
      <c r="A898" s="241">
        <v>44001</v>
      </c>
      <c r="B898" t="s">
        <v>4888</v>
      </c>
      <c r="C898" t="s">
        <v>671</v>
      </c>
      <c r="D898" t="s">
        <v>207</v>
      </c>
      <c r="E898" t="s">
        <v>332</v>
      </c>
      <c r="F898" t="s">
        <v>3408</v>
      </c>
      <c r="G898" t="s">
        <v>946</v>
      </c>
      <c r="H898" t="s">
        <v>4889</v>
      </c>
      <c r="I898" t="s">
        <v>816</v>
      </c>
      <c r="J898" t="s">
        <v>543</v>
      </c>
      <c r="K898" t="s">
        <v>3155</v>
      </c>
      <c r="L898">
        <v>0.86</v>
      </c>
      <c r="M898" t="s">
        <v>4890</v>
      </c>
      <c r="N898" t="s">
        <v>4891</v>
      </c>
      <c r="O898" t="s">
        <v>4892</v>
      </c>
      <c r="P898" t="s">
        <v>218</v>
      </c>
      <c r="Q898" t="s">
        <v>2885</v>
      </c>
      <c r="R898" t="s">
        <v>2886</v>
      </c>
      <c r="S898" t="s">
        <v>2885</v>
      </c>
      <c r="T898" t="s">
        <v>2886</v>
      </c>
    </row>
    <row r="899" spans="1:20">
      <c r="A899" s="241">
        <v>44001</v>
      </c>
      <c r="B899" t="s">
        <v>4893</v>
      </c>
      <c r="C899" t="s">
        <v>736</v>
      </c>
      <c r="D899" t="s">
        <v>1195</v>
      </c>
      <c r="E899" t="s">
        <v>223</v>
      </c>
      <c r="F899" t="s">
        <v>4894</v>
      </c>
      <c r="G899" t="s">
        <v>4895</v>
      </c>
      <c r="H899" t="s">
        <v>4363</v>
      </c>
      <c r="I899" t="s">
        <v>740</v>
      </c>
      <c r="J899" t="s">
        <v>4896</v>
      </c>
      <c r="K899" t="s">
        <v>4897</v>
      </c>
      <c r="L899">
        <v>0.89</v>
      </c>
      <c r="M899" t="s">
        <v>4898</v>
      </c>
      <c r="N899" t="s">
        <v>4899</v>
      </c>
      <c r="O899" t="s">
        <v>4900</v>
      </c>
      <c r="P899" t="s">
        <v>218</v>
      </c>
      <c r="Q899" t="s">
        <v>2885</v>
      </c>
      <c r="R899" t="s">
        <v>2886</v>
      </c>
      <c r="S899" t="s">
        <v>2885</v>
      </c>
      <c r="T899" t="s">
        <v>2886</v>
      </c>
    </row>
    <row r="900" spans="1:20">
      <c r="A900" s="241">
        <v>44001</v>
      </c>
      <c r="B900" t="s">
        <v>4901</v>
      </c>
      <c r="C900" t="s">
        <v>499</v>
      </c>
      <c r="D900" t="s">
        <v>959</v>
      </c>
      <c r="E900" t="s">
        <v>475</v>
      </c>
      <c r="F900" t="s">
        <v>3127</v>
      </c>
      <c r="G900" t="s">
        <v>1648</v>
      </c>
      <c r="H900" t="s">
        <v>1649</v>
      </c>
      <c r="I900" t="s">
        <v>4902</v>
      </c>
      <c r="J900" t="s">
        <v>4903</v>
      </c>
      <c r="K900" t="s">
        <v>1650</v>
      </c>
      <c r="L900">
        <v>0.89</v>
      </c>
      <c r="M900" t="s">
        <v>4904</v>
      </c>
      <c r="N900" t="s">
        <v>4905</v>
      </c>
      <c r="O900" t="s">
        <v>4906</v>
      </c>
      <c r="P900" t="s">
        <v>218</v>
      </c>
      <c r="Q900" t="s">
        <v>2885</v>
      </c>
      <c r="R900" t="s">
        <v>2886</v>
      </c>
      <c r="S900" t="s">
        <v>2885</v>
      </c>
      <c r="T900" t="s">
        <v>2886</v>
      </c>
    </row>
    <row r="901" spans="1:20">
      <c r="A901" s="241">
        <v>44001</v>
      </c>
      <c r="B901" t="s">
        <v>4907</v>
      </c>
      <c r="C901" t="s">
        <v>462</v>
      </c>
      <c r="D901" t="s">
        <v>1348</v>
      </c>
      <c r="E901" t="s">
        <v>475</v>
      </c>
      <c r="F901" t="s">
        <v>2645</v>
      </c>
      <c r="G901" t="s">
        <v>1977</v>
      </c>
      <c r="H901" t="s">
        <v>758</v>
      </c>
      <c r="I901" t="s">
        <v>4908</v>
      </c>
      <c r="J901" t="s">
        <v>2823</v>
      </c>
      <c r="K901" t="s">
        <v>1200</v>
      </c>
      <c r="L901">
        <v>0.89</v>
      </c>
      <c r="M901" t="s">
        <v>4909</v>
      </c>
      <c r="N901" t="s">
        <v>4910</v>
      </c>
      <c r="O901" t="s">
        <v>4911</v>
      </c>
      <c r="P901" t="s">
        <v>218</v>
      </c>
      <c r="Q901" t="s">
        <v>2885</v>
      </c>
      <c r="R901" t="s">
        <v>2886</v>
      </c>
      <c r="S901" t="s">
        <v>2885</v>
      </c>
      <c r="T901" t="s">
        <v>2886</v>
      </c>
    </row>
    <row r="902" spans="1:20">
      <c r="A902" s="241">
        <v>44001</v>
      </c>
      <c r="B902" t="s">
        <v>4912</v>
      </c>
      <c r="C902" t="s">
        <v>2448</v>
      </c>
      <c r="D902" t="s">
        <v>1367</v>
      </c>
      <c r="E902" t="s">
        <v>274</v>
      </c>
      <c r="F902" t="s">
        <v>1378</v>
      </c>
      <c r="G902" t="s">
        <v>4913</v>
      </c>
      <c r="H902" t="s">
        <v>4914</v>
      </c>
      <c r="I902" t="s">
        <v>4915</v>
      </c>
      <c r="J902" t="s">
        <v>4916</v>
      </c>
      <c r="K902" t="s">
        <v>4917</v>
      </c>
      <c r="L902">
        <v>0.88</v>
      </c>
      <c r="M902" t="s">
        <v>4918</v>
      </c>
      <c r="N902" t="s">
        <v>4919</v>
      </c>
      <c r="O902" t="s">
        <v>4920</v>
      </c>
      <c r="P902" t="s">
        <v>485</v>
      </c>
      <c r="Q902" t="s">
        <v>4921</v>
      </c>
      <c r="R902" t="s">
        <v>4922</v>
      </c>
      <c r="S902" t="s">
        <v>2885</v>
      </c>
      <c r="T902" t="s">
        <v>2886</v>
      </c>
    </row>
    <row r="903" spans="1:20">
      <c r="A903" s="241">
        <v>44001</v>
      </c>
      <c r="B903" t="s">
        <v>4923</v>
      </c>
      <c r="C903" t="s">
        <v>442</v>
      </c>
      <c r="D903" t="s">
        <v>625</v>
      </c>
      <c r="E903" t="s">
        <v>812</v>
      </c>
      <c r="F903" t="s">
        <v>805</v>
      </c>
      <c r="G903" t="s">
        <v>2282</v>
      </c>
      <c r="H903" t="s">
        <v>2017</v>
      </c>
      <c r="I903" t="s">
        <v>4647</v>
      </c>
      <c r="J903" t="s">
        <v>1681</v>
      </c>
      <c r="K903" t="s">
        <v>2458</v>
      </c>
      <c r="L903">
        <v>0.86</v>
      </c>
      <c r="M903" t="s">
        <v>4924</v>
      </c>
      <c r="N903" t="s">
        <v>4925</v>
      </c>
      <c r="O903" t="s">
        <v>4926</v>
      </c>
      <c r="P903" t="s">
        <v>485</v>
      </c>
      <c r="Q903" t="s">
        <v>4921</v>
      </c>
      <c r="R903" t="s">
        <v>4922</v>
      </c>
      <c r="S903" t="s">
        <v>2885</v>
      </c>
      <c r="T903" t="s">
        <v>2886</v>
      </c>
    </row>
    <row r="904" spans="1:20">
      <c r="A904" s="241">
        <v>44001</v>
      </c>
      <c r="B904" t="s">
        <v>4927</v>
      </c>
      <c r="C904" t="s">
        <v>249</v>
      </c>
      <c r="D904" t="s">
        <v>671</v>
      </c>
      <c r="E904" t="s">
        <v>696</v>
      </c>
      <c r="F904" t="s">
        <v>1478</v>
      </c>
      <c r="G904" t="s">
        <v>4928</v>
      </c>
      <c r="H904" t="s">
        <v>1215</v>
      </c>
      <c r="I904" t="s">
        <v>1391</v>
      </c>
      <c r="J904" t="s">
        <v>4000</v>
      </c>
      <c r="K904" t="s">
        <v>1406</v>
      </c>
      <c r="L904">
        <v>0.87</v>
      </c>
      <c r="M904" t="s">
        <v>4929</v>
      </c>
      <c r="N904" t="s">
        <v>4930</v>
      </c>
      <c r="O904" t="s">
        <v>4931</v>
      </c>
      <c r="P904" t="s">
        <v>485</v>
      </c>
      <c r="Q904" t="s">
        <v>4921</v>
      </c>
      <c r="R904" t="s">
        <v>4922</v>
      </c>
      <c r="S904" t="s">
        <v>2885</v>
      </c>
      <c r="T904" t="s">
        <v>2886</v>
      </c>
    </row>
    <row r="905" spans="1:20">
      <c r="A905" s="241">
        <v>44001</v>
      </c>
      <c r="B905" t="s">
        <v>4932</v>
      </c>
      <c r="C905" t="s">
        <v>423</v>
      </c>
      <c r="D905" t="s">
        <v>423</v>
      </c>
      <c r="E905" t="s">
        <v>304</v>
      </c>
      <c r="F905" t="s">
        <v>1453</v>
      </c>
      <c r="G905" t="s">
        <v>2463</v>
      </c>
      <c r="H905" t="s">
        <v>521</v>
      </c>
      <c r="I905" t="s">
        <v>1010</v>
      </c>
      <c r="J905" t="s">
        <v>1011</v>
      </c>
      <c r="K905" t="s">
        <v>1012</v>
      </c>
      <c r="L905">
        <v>0.87</v>
      </c>
      <c r="M905" t="s">
        <v>4933</v>
      </c>
      <c r="N905" t="s">
        <v>4934</v>
      </c>
      <c r="O905" t="s">
        <v>4935</v>
      </c>
      <c r="P905" t="s">
        <v>485</v>
      </c>
      <c r="Q905" t="s">
        <v>4921</v>
      </c>
      <c r="R905" t="s">
        <v>4922</v>
      </c>
      <c r="S905" t="s">
        <v>2885</v>
      </c>
      <c r="T905" t="s">
        <v>2886</v>
      </c>
    </row>
    <row r="906" spans="1:20">
      <c r="A906" s="241">
        <v>44001</v>
      </c>
      <c r="B906" t="s">
        <v>4936</v>
      </c>
      <c r="C906" t="s">
        <v>207</v>
      </c>
      <c r="D906" t="s">
        <v>237</v>
      </c>
      <c r="E906" t="s">
        <v>225</v>
      </c>
      <c r="F906" t="s">
        <v>600</v>
      </c>
      <c r="G906" t="s">
        <v>1214</v>
      </c>
      <c r="H906" t="s">
        <v>1697</v>
      </c>
      <c r="I906" t="s">
        <v>1226</v>
      </c>
      <c r="J906" t="s">
        <v>1710</v>
      </c>
      <c r="K906" t="s">
        <v>515</v>
      </c>
      <c r="L906">
        <v>0.87</v>
      </c>
      <c r="M906" t="s">
        <v>4937</v>
      </c>
      <c r="N906" t="s">
        <v>4938</v>
      </c>
      <c r="O906" t="s">
        <v>4939</v>
      </c>
      <c r="P906" t="s">
        <v>485</v>
      </c>
      <c r="Q906" t="s">
        <v>4921</v>
      </c>
      <c r="R906" t="s">
        <v>4922</v>
      </c>
      <c r="S906" t="s">
        <v>2885</v>
      </c>
      <c r="T906" t="s">
        <v>2886</v>
      </c>
    </row>
    <row r="907" spans="1:20">
      <c r="A907" s="241">
        <v>44001</v>
      </c>
      <c r="B907" t="s">
        <v>4940</v>
      </c>
      <c r="C907" t="s">
        <v>625</v>
      </c>
      <c r="D907" t="s">
        <v>207</v>
      </c>
      <c r="E907" t="s">
        <v>556</v>
      </c>
      <c r="F907" t="s">
        <v>239</v>
      </c>
      <c r="G907" t="s">
        <v>520</v>
      </c>
      <c r="H907" t="s">
        <v>549</v>
      </c>
      <c r="I907" t="s">
        <v>550</v>
      </c>
      <c r="J907" t="s">
        <v>1428</v>
      </c>
      <c r="K907" t="s">
        <v>534</v>
      </c>
      <c r="L907">
        <v>0.86</v>
      </c>
      <c r="M907" t="s">
        <v>4941</v>
      </c>
      <c r="N907" t="s">
        <v>4942</v>
      </c>
      <c r="O907" t="s">
        <v>4943</v>
      </c>
      <c r="P907" t="s">
        <v>485</v>
      </c>
      <c r="Q907" t="s">
        <v>4921</v>
      </c>
      <c r="R907" t="s">
        <v>4922</v>
      </c>
      <c r="S907" t="s">
        <v>2885</v>
      </c>
      <c r="T907" t="s">
        <v>2886</v>
      </c>
    </row>
    <row r="908" spans="1:20">
      <c r="A908" s="241">
        <v>44001</v>
      </c>
      <c r="B908" t="s">
        <v>4944</v>
      </c>
      <c r="C908" t="s">
        <v>261</v>
      </c>
      <c r="D908" t="s">
        <v>423</v>
      </c>
      <c r="E908" t="s">
        <v>225</v>
      </c>
      <c r="F908" t="s">
        <v>608</v>
      </c>
      <c r="G908" t="s">
        <v>1025</v>
      </c>
      <c r="H908" t="s">
        <v>541</v>
      </c>
      <c r="I908" t="s">
        <v>542</v>
      </c>
      <c r="J908" t="s">
        <v>2044</v>
      </c>
      <c r="K908" t="s">
        <v>534</v>
      </c>
      <c r="L908">
        <v>0.86</v>
      </c>
      <c r="M908" t="s">
        <v>4945</v>
      </c>
      <c r="N908" t="s">
        <v>4946</v>
      </c>
      <c r="O908" t="s">
        <v>4947</v>
      </c>
      <c r="P908" t="s">
        <v>485</v>
      </c>
      <c r="Q908" t="s">
        <v>4921</v>
      </c>
      <c r="R908" t="s">
        <v>4922</v>
      </c>
      <c r="S908" t="s">
        <v>2885</v>
      </c>
      <c r="T908" t="s">
        <v>2886</v>
      </c>
    </row>
    <row r="909" spans="1:20">
      <c r="A909" s="241">
        <v>44001</v>
      </c>
      <c r="B909" t="s">
        <v>4948</v>
      </c>
      <c r="C909" t="s">
        <v>207</v>
      </c>
      <c r="D909" t="s">
        <v>237</v>
      </c>
      <c r="E909" t="s">
        <v>225</v>
      </c>
      <c r="F909" t="s">
        <v>346</v>
      </c>
      <c r="G909" t="s">
        <v>2080</v>
      </c>
      <c r="H909" t="s">
        <v>815</v>
      </c>
      <c r="I909" t="s">
        <v>1421</v>
      </c>
      <c r="J909" t="s">
        <v>2881</v>
      </c>
      <c r="K909" t="s">
        <v>231</v>
      </c>
      <c r="L909">
        <v>0.86</v>
      </c>
      <c r="M909" t="s">
        <v>4949</v>
      </c>
      <c r="N909" t="s">
        <v>4950</v>
      </c>
      <c r="O909" t="s">
        <v>4951</v>
      </c>
      <c r="P909" t="s">
        <v>485</v>
      </c>
      <c r="Q909" t="s">
        <v>4921</v>
      </c>
      <c r="R909" t="s">
        <v>4922</v>
      </c>
      <c r="S909" t="s">
        <v>2885</v>
      </c>
      <c r="T909" t="s">
        <v>2886</v>
      </c>
    </row>
    <row r="910" spans="1:20">
      <c r="A910" s="241">
        <v>44001</v>
      </c>
      <c r="B910" t="s">
        <v>4952</v>
      </c>
      <c r="C910" t="s">
        <v>207</v>
      </c>
      <c r="D910" t="s">
        <v>614</v>
      </c>
      <c r="E910" t="s">
        <v>556</v>
      </c>
      <c r="F910" t="s">
        <v>881</v>
      </c>
      <c r="G910" t="s">
        <v>520</v>
      </c>
      <c r="H910" t="s">
        <v>211</v>
      </c>
      <c r="I910" t="s">
        <v>1421</v>
      </c>
      <c r="J910" t="s">
        <v>2881</v>
      </c>
      <c r="K910" t="s">
        <v>231</v>
      </c>
      <c r="L910">
        <v>0.86</v>
      </c>
      <c r="M910" t="s">
        <v>4953</v>
      </c>
      <c r="N910" t="s">
        <v>4954</v>
      </c>
      <c r="O910" t="s">
        <v>4955</v>
      </c>
      <c r="P910" t="s">
        <v>485</v>
      </c>
      <c r="Q910" t="s">
        <v>4921</v>
      </c>
      <c r="R910" t="s">
        <v>4922</v>
      </c>
      <c r="S910" t="s">
        <v>2885</v>
      </c>
      <c r="T910" t="s">
        <v>2886</v>
      </c>
    </row>
    <row r="911" spans="1:20">
      <c r="A911" s="241">
        <v>44001</v>
      </c>
      <c r="B911" t="s">
        <v>4956</v>
      </c>
      <c r="C911" t="s">
        <v>442</v>
      </c>
      <c r="D911" t="s">
        <v>614</v>
      </c>
      <c r="E911" t="s">
        <v>250</v>
      </c>
      <c r="F911" t="s">
        <v>335</v>
      </c>
      <c r="G911" t="s">
        <v>2314</v>
      </c>
      <c r="H911" t="s">
        <v>241</v>
      </c>
      <c r="I911" t="s">
        <v>816</v>
      </c>
      <c r="J911" t="s">
        <v>1039</v>
      </c>
      <c r="K911" t="s">
        <v>1032</v>
      </c>
      <c r="L911">
        <v>0.86</v>
      </c>
      <c r="M911" t="s">
        <v>4957</v>
      </c>
      <c r="N911" t="s">
        <v>4958</v>
      </c>
      <c r="O911" t="s">
        <v>4959</v>
      </c>
      <c r="P911" t="s">
        <v>485</v>
      </c>
      <c r="Q911" t="s">
        <v>4921</v>
      </c>
      <c r="R911" t="s">
        <v>4922</v>
      </c>
      <c r="S911" t="s">
        <v>2885</v>
      </c>
      <c r="T911" t="s">
        <v>2886</v>
      </c>
    </row>
    <row r="912" spans="1:20">
      <c r="A912" s="241">
        <v>44001</v>
      </c>
      <c r="B912" t="s">
        <v>4960</v>
      </c>
      <c r="C912" t="s">
        <v>236</v>
      </c>
      <c r="D912" t="s">
        <v>671</v>
      </c>
      <c r="E912" t="s">
        <v>238</v>
      </c>
      <c r="F912" t="s">
        <v>335</v>
      </c>
      <c r="G912" t="s">
        <v>1239</v>
      </c>
      <c r="H912" t="s">
        <v>1038</v>
      </c>
      <c r="I912" t="s">
        <v>806</v>
      </c>
      <c r="J912" t="s">
        <v>561</v>
      </c>
      <c r="K912" t="s">
        <v>231</v>
      </c>
      <c r="L912">
        <v>0.86</v>
      </c>
      <c r="M912" t="s">
        <v>4961</v>
      </c>
      <c r="N912" t="s">
        <v>4962</v>
      </c>
      <c r="O912" t="s">
        <v>4963</v>
      </c>
      <c r="P912" t="s">
        <v>485</v>
      </c>
      <c r="Q912" t="s">
        <v>4921</v>
      </c>
      <c r="R912" t="s">
        <v>4922</v>
      </c>
      <c r="S912" t="s">
        <v>2885</v>
      </c>
      <c r="T912" t="s">
        <v>2886</v>
      </c>
    </row>
    <row r="913" spans="1:20">
      <c r="A913" s="241">
        <v>44001</v>
      </c>
      <c r="B913" t="s">
        <v>4964</v>
      </c>
      <c r="C913" t="s">
        <v>274</v>
      </c>
      <c r="D913" t="s">
        <v>237</v>
      </c>
      <c r="E913" t="s">
        <v>304</v>
      </c>
      <c r="F913" t="s">
        <v>1452</v>
      </c>
      <c r="G913" t="s">
        <v>1740</v>
      </c>
      <c r="H913" t="s">
        <v>1677</v>
      </c>
      <c r="I913" t="s">
        <v>229</v>
      </c>
      <c r="J913" t="s">
        <v>243</v>
      </c>
      <c r="K913" t="s">
        <v>1032</v>
      </c>
      <c r="L913">
        <v>0.86</v>
      </c>
      <c r="M913" t="s">
        <v>4965</v>
      </c>
      <c r="N913" t="s">
        <v>4966</v>
      </c>
      <c r="O913" t="s">
        <v>4967</v>
      </c>
      <c r="P913" t="s">
        <v>218</v>
      </c>
      <c r="Q913" t="s">
        <v>4921</v>
      </c>
      <c r="R913" t="s">
        <v>4922</v>
      </c>
      <c r="S913" t="s">
        <v>2885</v>
      </c>
      <c r="T913" t="s">
        <v>2886</v>
      </c>
    </row>
    <row r="914" spans="1:20">
      <c r="A914" s="241">
        <v>44001</v>
      </c>
      <c r="B914" t="s">
        <v>4968</v>
      </c>
      <c r="C914" t="s">
        <v>249</v>
      </c>
      <c r="D914" t="s">
        <v>207</v>
      </c>
      <c r="E914" t="s">
        <v>680</v>
      </c>
      <c r="F914" t="s">
        <v>1050</v>
      </c>
      <c r="G914" t="s">
        <v>276</v>
      </c>
      <c r="H914" t="s">
        <v>805</v>
      </c>
      <c r="I914" t="s">
        <v>577</v>
      </c>
      <c r="J914" t="s">
        <v>255</v>
      </c>
      <c r="K914" t="s">
        <v>214</v>
      </c>
      <c r="L914">
        <v>0.86</v>
      </c>
      <c r="M914" t="s">
        <v>4969</v>
      </c>
      <c r="N914" t="s">
        <v>4970</v>
      </c>
      <c r="O914" t="s">
        <v>4971</v>
      </c>
      <c r="P914" t="s">
        <v>218</v>
      </c>
      <c r="Q914" t="s">
        <v>4921</v>
      </c>
      <c r="R914" t="s">
        <v>4922</v>
      </c>
      <c r="S914" t="s">
        <v>2885</v>
      </c>
      <c r="T914" t="s">
        <v>2886</v>
      </c>
    </row>
    <row r="915" spans="1:20">
      <c r="A915" s="241">
        <v>44001</v>
      </c>
      <c r="B915" t="s">
        <v>4972</v>
      </c>
      <c r="C915" t="s">
        <v>615</v>
      </c>
      <c r="D915" t="s">
        <v>423</v>
      </c>
      <c r="E915" t="s">
        <v>238</v>
      </c>
      <c r="F915" t="s">
        <v>848</v>
      </c>
      <c r="G915" t="s">
        <v>276</v>
      </c>
      <c r="H915" t="s">
        <v>1704</v>
      </c>
      <c r="I915" t="s">
        <v>838</v>
      </c>
      <c r="J915" t="s">
        <v>1063</v>
      </c>
      <c r="K915" t="s">
        <v>244</v>
      </c>
      <c r="L915">
        <v>0.86</v>
      </c>
      <c r="M915" t="s">
        <v>4973</v>
      </c>
      <c r="N915" t="s">
        <v>4974</v>
      </c>
      <c r="O915" t="s">
        <v>4975</v>
      </c>
      <c r="P915" t="s">
        <v>218</v>
      </c>
      <c r="Q915" t="s">
        <v>4921</v>
      </c>
      <c r="R915" t="s">
        <v>4922</v>
      </c>
      <c r="S915" t="s">
        <v>2885</v>
      </c>
      <c r="T915" t="s">
        <v>2886</v>
      </c>
    </row>
    <row r="916" spans="1:20">
      <c r="A916" s="241">
        <v>44001</v>
      </c>
      <c r="B916" t="s">
        <v>4976</v>
      </c>
      <c r="C916" t="s">
        <v>423</v>
      </c>
      <c r="D916" t="s">
        <v>274</v>
      </c>
      <c r="E916" t="s">
        <v>225</v>
      </c>
      <c r="F916" t="s">
        <v>848</v>
      </c>
      <c r="G916" t="s">
        <v>1781</v>
      </c>
      <c r="H916" t="s">
        <v>209</v>
      </c>
      <c r="I916" t="s">
        <v>1264</v>
      </c>
      <c r="J916" t="s">
        <v>289</v>
      </c>
      <c r="K916" t="s">
        <v>256</v>
      </c>
      <c r="L916">
        <v>0.86</v>
      </c>
      <c r="M916" t="s">
        <v>4977</v>
      </c>
      <c r="N916" t="s">
        <v>4978</v>
      </c>
      <c r="O916" t="s">
        <v>4979</v>
      </c>
      <c r="P916" t="s">
        <v>218</v>
      </c>
      <c r="Q916" t="s">
        <v>4921</v>
      </c>
      <c r="R916" t="s">
        <v>4922</v>
      </c>
      <c r="S916" t="s">
        <v>2885</v>
      </c>
      <c r="T916" t="s">
        <v>2886</v>
      </c>
    </row>
    <row r="917" spans="1:20">
      <c r="A917" s="241">
        <v>44001</v>
      </c>
      <c r="B917" t="s">
        <v>4980</v>
      </c>
      <c r="C917" t="s">
        <v>236</v>
      </c>
      <c r="D917" t="s">
        <v>615</v>
      </c>
      <c r="E917" t="s">
        <v>696</v>
      </c>
      <c r="F917" t="s">
        <v>1291</v>
      </c>
      <c r="G917" t="s">
        <v>830</v>
      </c>
      <c r="H917" t="s">
        <v>265</v>
      </c>
      <c r="I917" t="s">
        <v>1468</v>
      </c>
      <c r="J917" t="s">
        <v>1070</v>
      </c>
      <c r="K917" t="s">
        <v>244</v>
      </c>
      <c r="L917">
        <v>0.86</v>
      </c>
      <c r="M917" t="s">
        <v>4981</v>
      </c>
      <c r="N917" t="s">
        <v>4982</v>
      </c>
      <c r="O917" t="s">
        <v>4983</v>
      </c>
      <c r="P917" t="s">
        <v>218</v>
      </c>
      <c r="Q917" t="s">
        <v>4921</v>
      </c>
      <c r="R917" t="s">
        <v>4922</v>
      </c>
      <c r="S917" t="s">
        <v>2885</v>
      </c>
      <c r="T917" t="s">
        <v>2886</v>
      </c>
    </row>
    <row r="918" spans="1:20">
      <c r="A918" s="241">
        <v>44001</v>
      </c>
      <c r="B918" t="s">
        <v>4984</v>
      </c>
      <c r="C918" t="s">
        <v>261</v>
      </c>
      <c r="D918" t="s">
        <v>274</v>
      </c>
      <c r="E918" t="s">
        <v>238</v>
      </c>
      <c r="F918" t="s">
        <v>385</v>
      </c>
      <c r="G918" t="s">
        <v>296</v>
      </c>
      <c r="H918" t="s">
        <v>2910</v>
      </c>
      <c r="I918" t="s">
        <v>838</v>
      </c>
      <c r="J918" t="s">
        <v>1063</v>
      </c>
      <c r="K918" t="s">
        <v>579</v>
      </c>
      <c r="L918">
        <v>0.86</v>
      </c>
      <c r="M918" t="s">
        <v>4985</v>
      </c>
      <c r="N918" t="s">
        <v>4986</v>
      </c>
      <c r="O918" t="s">
        <v>4987</v>
      </c>
      <c r="P918" t="s">
        <v>218</v>
      </c>
      <c r="Q918" t="s">
        <v>4921</v>
      </c>
      <c r="R918" t="s">
        <v>4922</v>
      </c>
      <c r="S918" t="s">
        <v>2885</v>
      </c>
      <c r="T918" t="s">
        <v>2886</v>
      </c>
    </row>
    <row r="919" spans="1:20">
      <c r="A919" s="241">
        <v>44001</v>
      </c>
      <c r="B919" t="s">
        <v>4988</v>
      </c>
      <c r="C919" t="s">
        <v>261</v>
      </c>
      <c r="D919" t="s">
        <v>294</v>
      </c>
      <c r="E919" t="s">
        <v>238</v>
      </c>
      <c r="F919" t="s">
        <v>626</v>
      </c>
      <c r="G919" t="s">
        <v>286</v>
      </c>
      <c r="H919" t="s">
        <v>1069</v>
      </c>
      <c r="I919" t="s">
        <v>849</v>
      </c>
      <c r="J919" t="s">
        <v>289</v>
      </c>
      <c r="K919" t="s">
        <v>231</v>
      </c>
      <c r="L919">
        <v>0.86</v>
      </c>
      <c r="M919" t="s">
        <v>4989</v>
      </c>
      <c r="N919" t="s">
        <v>4990</v>
      </c>
      <c r="O919" t="s">
        <v>4991</v>
      </c>
      <c r="P919" t="s">
        <v>218</v>
      </c>
      <c r="Q919" t="s">
        <v>4921</v>
      </c>
      <c r="R919" t="s">
        <v>4922</v>
      </c>
      <c r="S919" t="s">
        <v>2885</v>
      </c>
      <c r="T919" t="s">
        <v>2886</v>
      </c>
    </row>
    <row r="920" spans="1:20">
      <c r="A920" s="241">
        <v>44001</v>
      </c>
      <c r="B920" t="s">
        <v>4992</v>
      </c>
      <c r="C920" t="s">
        <v>249</v>
      </c>
      <c r="D920" t="s">
        <v>294</v>
      </c>
      <c r="E920" t="s">
        <v>680</v>
      </c>
      <c r="F920" t="s">
        <v>706</v>
      </c>
      <c r="G920" t="s">
        <v>1269</v>
      </c>
      <c r="H920" t="s">
        <v>277</v>
      </c>
      <c r="I920" t="s">
        <v>308</v>
      </c>
      <c r="J920" t="s">
        <v>601</v>
      </c>
      <c r="K920" t="s">
        <v>299</v>
      </c>
      <c r="L920">
        <v>0.86</v>
      </c>
      <c r="M920" t="s">
        <v>4993</v>
      </c>
      <c r="N920" t="s">
        <v>4994</v>
      </c>
      <c r="O920" t="s">
        <v>4995</v>
      </c>
      <c r="P920" t="s">
        <v>218</v>
      </c>
      <c r="Q920" t="s">
        <v>4921</v>
      </c>
      <c r="R920" t="s">
        <v>4922</v>
      </c>
      <c r="S920" t="s">
        <v>2885</v>
      </c>
      <c r="T920" t="s">
        <v>2886</v>
      </c>
    </row>
    <row r="921" spans="1:20">
      <c r="A921" s="241">
        <v>44001</v>
      </c>
      <c r="B921" t="s">
        <v>4996</v>
      </c>
      <c r="C921" t="s">
        <v>625</v>
      </c>
      <c r="D921" t="s">
        <v>294</v>
      </c>
      <c r="E921" t="s">
        <v>424</v>
      </c>
      <c r="F921" t="s">
        <v>323</v>
      </c>
      <c r="G921" t="s">
        <v>1462</v>
      </c>
      <c r="H921" t="s">
        <v>608</v>
      </c>
      <c r="I921" t="s">
        <v>317</v>
      </c>
      <c r="J921" t="s">
        <v>318</v>
      </c>
      <c r="K921" t="s">
        <v>280</v>
      </c>
      <c r="L921">
        <v>0.86</v>
      </c>
      <c r="M921" t="s">
        <v>4997</v>
      </c>
      <c r="N921" t="s">
        <v>4998</v>
      </c>
      <c r="O921" t="s">
        <v>4999</v>
      </c>
      <c r="P921" t="s">
        <v>218</v>
      </c>
      <c r="Q921" t="s">
        <v>4921</v>
      </c>
      <c r="R921" t="s">
        <v>4922</v>
      </c>
      <c r="S921" t="s">
        <v>2885</v>
      </c>
      <c r="T921" t="s">
        <v>2886</v>
      </c>
    </row>
    <row r="922" spans="1:20">
      <c r="A922" s="241">
        <v>44001</v>
      </c>
      <c r="B922" t="s">
        <v>5000</v>
      </c>
      <c r="C922" t="s">
        <v>237</v>
      </c>
      <c r="D922" t="s">
        <v>274</v>
      </c>
      <c r="E922" t="s">
        <v>304</v>
      </c>
      <c r="F922" t="s">
        <v>1591</v>
      </c>
      <c r="G922" t="s">
        <v>843</v>
      </c>
      <c r="H922" t="s">
        <v>2074</v>
      </c>
      <c r="I922" t="s">
        <v>619</v>
      </c>
      <c r="J922" t="s">
        <v>870</v>
      </c>
      <c r="K922" t="s">
        <v>338</v>
      </c>
      <c r="L922">
        <v>0.86</v>
      </c>
      <c r="M922" t="s">
        <v>5001</v>
      </c>
      <c r="N922" t="s">
        <v>5002</v>
      </c>
      <c r="O922" t="s">
        <v>5003</v>
      </c>
      <c r="P922" t="s">
        <v>218</v>
      </c>
      <c r="Q922" t="s">
        <v>4921</v>
      </c>
      <c r="R922" t="s">
        <v>4922</v>
      </c>
      <c r="S922" t="s">
        <v>2885</v>
      </c>
      <c r="T922" t="s">
        <v>2886</v>
      </c>
    </row>
    <row r="923" spans="1:20">
      <c r="A923" s="241">
        <v>44001</v>
      </c>
      <c r="B923" t="s">
        <v>5004</v>
      </c>
      <c r="C923" t="s">
        <v>261</v>
      </c>
      <c r="D923" t="s">
        <v>510</v>
      </c>
      <c r="E923" t="s">
        <v>2535</v>
      </c>
      <c r="F923" t="s">
        <v>639</v>
      </c>
      <c r="G923" t="s">
        <v>3284</v>
      </c>
      <c r="H923" t="s">
        <v>1818</v>
      </c>
      <c r="I923" t="s">
        <v>1842</v>
      </c>
      <c r="J923" t="s">
        <v>326</v>
      </c>
      <c r="K923" t="s">
        <v>359</v>
      </c>
      <c r="L923">
        <v>0.86</v>
      </c>
      <c r="M923" t="s">
        <v>5005</v>
      </c>
      <c r="N923" t="s">
        <v>5006</v>
      </c>
      <c r="O923" t="s">
        <v>5007</v>
      </c>
      <c r="P923" t="s">
        <v>218</v>
      </c>
      <c r="Q923" t="s">
        <v>4921</v>
      </c>
      <c r="R923" t="s">
        <v>4922</v>
      </c>
      <c r="S923" t="s">
        <v>2885</v>
      </c>
      <c r="T923" t="s">
        <v>2886</v>
      </c>
    </row>
    <row r="924" spans="1:20">
      <c r="A924" s="241">
        <v>44001</v>
      </c>
      <c r="B924" t="s">
        <v>5008</v>
      </c>
      <c r="C924" t="s">
        <v>249</v>
      </c>
      <c r="D924" t="s">
        <v>274</v>
      </c>
      <c r="E924" t="s">
        <v>225</v>
      </c>
      <c r="F924" t="s">
        <v>323</v>
      </c>
      <c r="G924" t="s">
        <v>2764</v>
      </c>
      <c r="H924" t="s">
        <v>1255</v>
      </c>
      <c r="I924" t="s">
        <v>1097</v>
      </c>
      <c r="J924" t="s">
        <v>640</v>
      </c>
      <c r="K924" t="s">
        <v>327</v>
      </c>
      <c r="L924">
        <v>0.86</v>
      </c>
      <c r="M924" t="s">
        <v>5009</v>
      </c>
      <c r="N924" t="s">
        <v>5010</v>
      </c>
      <c r="O924" t="s">
        <v>5011</v>
      </c>
      <c r="P924" t="s">
        <v>218</v>
      </c>
      <c r="Q924" t="s">
        <v>4921</v>
      </c>
      <c r="R924" t="s">
        <v>4922</v>
      </c>
      <c r="S924" t="s">
        <v>2885</v>
      </c>
      <c r="T924" t="s">
        <v>2886</v>
      </c>
    </row>
    <row r="925" spans="1:20">
      <c r="A925" s="241">
        <v>44001</v>
      </c>
      <c r="B925" t="s">
        <v>5012</v>
      </c>
      <c r="C925" t="s">
        <v>274</v>
      </c>
      <c r="D925" t="s">
        <v>645</v>
      </c>
      <c r="E925" t="s">
        <v>812</v>
      </c>
      <c r="F925" t="s">
        <v>1591</v>
      </c>
      <c r="G925" t="s">
        <v>1292</v>
      </c>
      <c r="H925" t="s">
        <v>1050</v>
      </c>
      <c r="I925" t="s">
        <v>325</v>
      </c>
      <c r="J925" t="s">
        <v>1506</v>
      </c>
      <c r="K925" t="s">
        <v>338</v>
      </c>
      <c r="L925">
        <v>0.86</v>
      </c>
      <c r="M925" t="s">
        <v>5013</v>
      </c>
      <c r="N925" t="s">
        <v>5014</v>
      </c>
      <c r="O925" t="s">
        <v>5015</v>
      </c>
      <c r="P925" t="s">
        <v>218</v>
      </c>
      <c r="Q925" t="s">
        <v>4921</v>
      </c>
      <c r="R925" t="s">
        <v>4922</v>
      </c>
      <c r="S925" t="s">
        <v>2885</v>
      </c>
      <c r="T925" t="s">
        <v>2886</v>
      </c>
    </row>
    <row r="926" spans="1:20">
      <c r="A926" s="241">
        <v>44001</v>
      </c>
      <c r="B926" t="s">
        <v>5016</v>
      </c>
      <c r="C926" t="s">
        <v>671</v>
      </c>
      <c r="D926" t="s">
        <v>625</v>
      </c>
      <c r="E926" t="s">
        <v>225</v>
      </c>
      <c r="F926" t="s">
        <v>333</v>
      </c>
      <c r="G926" t="s">
        <v>1500</v>
      </c>
      <c r="H926" t="s">
        <v>275</v>
      </c>
      <c r="I926" t="s">
        <v>1518</v>
      </c>
      <c r="J926" t="s">
        <v>337</v>
      </c>
      <c r="K926" t="s">
        <v>299</v>
      </c>
      <c r="L926">
        <v>0.86</v>
      </c>
      <c r="M926" t="s">
        <v>5017</v>
      </c>
      <c r="N926" t="s">
        <v>5018</v>
      </c>
      <c r="O926" t="s">
        <v>5019</v>
      </c>
      <c r="P926" t="s">
        <v>218</v>
      </c>
      <c r="Q926" t="s">
        <v>4921</v>
      </c>
      <c r="R926" t="s">
        <v>4922</v>
      </c>
      <c r="S926" t="s">
        <v>2885</v>
      </c>
      <c r="T926" t="s">
        <v>2886</v>
      </c>
    </row>
    <row r="927" spans="1:20">
      <c r="A927" s="241">
        <v>44001</v>
      </c>
      <c r="B927" t="s">
        <v>5020</v>
      </c>
      <c r="C927" t="s">
        <v>712</v>
      </c>
      <c r="D927" t="s">
        <v>625</v>
      </c>
      <c r="E927" t="s">
        <v>597</v>
      </c>
      <c r="F927" t="s">
        <v>354</v>
      </c>
      <c r="G927" t="s">
        <v>1500</v>
      </c>
      <c r="H927" t="s">
        <v>576</v>
      </c>
      <c r="I927" t="s">
        <v>882</v>
      </c>
      <c r="J927" t="s">
        <v>337</v>
      </c>
      <c r="K927" t="s">
        <v>280</v>
      </c>
      <c r="L927">
        <v>0.86</v>
      </c>
      <c r="M927" t="s">
        <v>5021</v>
      </c>
      <c r="N927" t="s">
        <v>5022</v>
      </c>
      <c r="O927" t="s">
        <v>5023</v>
      </c>
      <c r="P927" t="s">
        <v>218</v>
      </c>
      <c r="Q927" t="s">
        <v>4921</v>
      </c>
      <c r="R927" t="s">
        <v>4922</v>
      </c>
      <c r="S927" t="s">
        <v>2885</v>
      </c>
      <c r="T927" t="s">
        <v>2886</v>
      </c>
    </row>
    <row r="928" spans="1:20">
      <c r="A928" s="241">
        <v>44001</v>
      </c>
      <c r="B928" t="s">
        <v>5024</v>
      </c>
      <c r="C928" t="s">
        <v>625</v>
      </c>
      <c r="D928" t="s">
        <v>645</v>
      </c>
      <c r="E928" t="s">
        <v>696</v>
      </c>
      <c r="F928" t="s">
        <v>662</v>
      </c>
      <c r="G928" t="s">
        <v>1841</v>
      </c>
      <c r="H928" t="s">
        <v>1056</v>
      </c>
      <c r="I928" t="s">
        <v>1859</v>
      </c>
      <c r="J928" t="s">
        <v>650</v>
      </c>
      <c r="K928" t="s">
        <v>268</v>
      </c>
      <c r="L928">
        <v>0.86</v>
      </c>
      <c r="M928" t="s">
        <v>5025</v>
      </c>
      <c r="N928" t="s">
        <v>5026</v>
      </c>
      <c r="O928" t="s">
        <v>5027</v>
      </c>
      <c r="P928" t="s">
        <v>218</v>
      </c>
      <c r="Q928" t="s">
        <v>4921</v>
      </c>
      <c r="R928" t="s">
        <v>4922</v>
      </c>
      <c r="S928" t="s">
        <v>2885</v>
      </c>
      <c r="T928" t="s">
        <v>2886</v>
      </c>
    </row>
    <row r="929" spans="1:20">
      <c r="A929" s="241">
        <v>44001</v>
      </c>
      <c r="B929" t="s">
        <v>5028</v>
      </c>
      <c r="C929" t="s">
        <v>274</v>
      </c>
      <c r="D929" t="s">
        <v>615</v>
      </c>
      <c r="E929" t="s">
        <v>1314</v>
      </c>
      <c r="F929" t="s">
        <v>2206</v>
      </c>
      <c r="G929" t="s">
        <v>1517</v>
      </c>
      <c r="H929" t="s">
        <v>1546</v>
      </c>
      <c r="I929" t="s">
        <v>1547</v>
      </c>
      <c r="J929" t="s">
        <v>368</v>
      </c>
      <c r="K929" t="s">
        <v>327</v>
      </c>
      <c r="L929">
        <v>0.86</v>
      </c>
      <c r="M929" t="s">
        <v>5029</v>
      </c>
      <c r="N929" t="s">
        <v>5030</v>
      </c>
      <c r="O929" t="s">
        <v>5031</v>
      </c>
      <c r="P929" t="s">
        <v>218</v>
      </c>
      <c r="Q929" t="s">
        <v>4921</v>
      </c>
      <c r="R929" t="s">
        <v>4922</v>
      </c>
      <c r="S929" t="s">
        <v>2885</v>
      </c>
      <c r="T929" t="s">
        <v>2886</v>
      </c>
    </row>
    <row r="930" spans="1:20">
      <c r="A930" s="241">
        <v>44001</v>
      </c>
      <c r="B930" t="s">
        <v>5032</v>
      </c>
      <c r="C930" t="s">
        <v>679</v>
      </c>
      <c r="D930" t="s">
        <v>625</v>
      </c>
      <c r="E930" t="s">
        <v>632</v>
      </c>
      <c r="F930" t="s">
        <v>1127</v>
      </c>
      <c r="G930" t="s">
        <v>1517</v>
      </c>
      <c r="H930" t="s">
        <v>285</v>
      </c>
      <c r="I930" t="s">
        <v>367</v>
      </c>
      <c r="J930" t="s">
        <v>657</v>
      </c>
      <c r="K930" t="s">
        <v>651</v>
      </c>
      <c r="L930">
        <v>0.86</v>
      </c>
      <c r="M930" t="s">
        <v>5033</v>
      </c>
      <c r="N930" t="s">
        <v>5034</v>
      </c>
      <c r="O930" t="s">
        <v>5035</v>
      </c>
      <c r="P930" t="s">
        <v>218</v>
      </c>
      <c r="Q930" t="s">
        <v>4921</v>
      </c>
      <c r="R930" t="s">
        <v>4922</v>
      </c>
      <c r="S930" t="s">
        <v>2885</v>
      </c>
      <c r="T930" t="s">
        <v>2886</v>
      </c>
    </row>
    <row r="931" spans="1:20">
      <c r="A931" s="241">
        <v>44001</v>
      </c>
      <c r="B931" t="s">
        <v>5036</v>
      </c>
      <c r="C931" t="s">
        <v>615</v>
      </c>
      <c r="D931" t="s">
        <v>625</v>
      </c>
      <c r="E931" t="s">
        <v>680</v>
      </c>
      <c r="F931" t="s">
        <v>2574</v>
      </c>
      <c r="G931" t="s">
        <v>1590</v>
      </c>
      <c r="H931" t="s">
        <v>405</v>
      </c>
      <c r="I931" t="s">
        <v>1134</v>
      </c>
      <c r="J931" t="s">
        <v>684</v>
      </c>
      <c r="K931" t="s">
        <v>651</v>
      </c>
      <c r="L931">
        <v>0.86</v>
      </c>
      <c r="M931" t="s">
        <v>5037</v>
      </c>
      <c r="N931" t="s">
        <v>5038</v>
      </c>
      <c r="O931" t="s">
        <v>5039</v>
      </c>
      <c r="P931" t="s">
        <v>218</v>
      </c>
      <c r="Q931" t="s">
        <v>4921</v>
      </c>
      <c r="R931" t="s">
        <v>4922</v>
      </c>
      <c r="S931" t="s">
        <v>2885</v>
      </c>
      <c r="T931" t="s">
        <v>2886</v>
      </c>
    </row>
    <row r="932" spans="1:20">
      <c r="A932" s="241">
        <v>44001</v>
      </c>
      <c r="B932" t="s">
        <v>5040</v>
      </c>
      <c r="C932" t="s">
        <v>615</v>
      </c>
      <c r="D932" t="s">
        <v>671</v>
      </c>
      <c r="E932" t="s">
        <v>225</v>
      </c>
      <c r="F932" t="s">
        <v>1561</v>
      </c>
      <c r="G932" t="s">
        <v>384</v>
      </c>
      <c r="H932" t="s">
        <v>314</v>
      </c>
      <c r="I932" t="s">
        <v>1134</v>
      </c>
      <c r="J932" t="s">
        <v>684</v>
      </c>
      <c r="K932" t="s">
        <v>338</v>
      </c>
      <c r="L932">
        <v>0.86</v>
      </c>
      <c r="M932" t="s">
        <v>5041</v>
      </c>
      <c r="N932" t="s">
        <v>5042</v>
      </c>
      <c r="O932" t="s">
        <v>5043</v>
      </c>
      <c r="P932" t="s">
        <v>218</v>
      </c>
      <c r="Q932" t="s">
        <v>4921</v>
      </c>
      <c r="R932" t="s">
        <v>4922</v>
      </c>
      <c r="S932" t="s">
        <v>2885</v>
      </c>
      <c r="T932" t="s">
        <v>2886</v>
      </c>
    </row>
    <row r="933" spans="1:20">
      <c r="A933" s="241">
        <v>44001</v>
      </c>
      <c r="B933" t="s">
        <v>5044</v>
      </c>
      <c r="C933" t="s">
        <v>615</v>
      </c>
      <c r="D933" t="s">
        <v>712</v>
      </c>
      <c r="E933" t="s">
        <v>632</v>
      </c>
      <c r="F933" t="s">
        <v>924</v>
      </c>
      <c r="G933" t="s">
        <v>394</v>
      </c>
      <c r="H933" t="s">
        <v>682</v>
      </c>
      <c r="I933" t="s">
        <v>911</v>
      </c>
      <c r="J933" t="s">
        <v>1298</v>
      </c>
      <c r="K933" t="s">
        <v>651</v>
      </c>
      <c r="L933">
        <v>0.86</v>
      </c>
      <c r="M933" t="s">
        <v>5045</v>
      </c>
      <c r="N933" t="s">
        <v>5046</v>
      </c>
      <c r="O933" t="s">
        <v>5047</v>
      </c>
      <c r="P933" t="s">
        <v>218</v>
      </c>
      <c r="Q933" t="s">
        <v>4921</v>
      </c>
      <c r="R933" t="s">
        <v>4922</v>
      </c>
      <c r="S933" t="s">
        <v>2885</v>
      </c>
      <c r="T933" t="s">
        <v>2886</v>
      </c>
    </row>
    <row r="934" spans="1:20">
      <c r="A934" s="241">
        <v>44001</v>
      </c>
      <c r="B934" t="s">
        <v>5048</v>
      </c>
      <c r="C934" t="s">
        <v>614</v>
      </c>
      <c r="D934" t="s">
        <v>645</v>
      </c>
      <c r="E934" t="s">
        <v>1049</v>
      </c>
      <c r="F934" t="s">
        <v>1315</v>
      </c>
      <c r="G934" t="s">
        <v>2393</v>
      </c>
      <c r="H934" t="s">
        <v>682</v>
      </c>
      <c r="I934" t="s">
        <v>911</v>
      </c>
      <c r="J934" t="s">
        <v>1298</v>
      </c>
      <c r="K934" t="s">
        <v>338</v>
      </c>
      <c r="L934">
        <v>0.86</v>
      </c>
      <c r="M934" t="s">
        <v>5049</v>
      </c>
      <c r="N934" t="s">
        <v>5050</v>
      </c>
      <c r="O934" t="s">
        <v>5051</v>
      </c>
      <c r="P934" t="s">
        <v>218</v>
      </c>
      <c r="Q934" t="s">
        <v>4921</v>
      </c>
      <c r="R934" t="s">
        <v>4922</v>
      </c>
      <c r="S934" t="s">
        <v>2885</v>
      </c>
      <c r="T934" t="s">
        <v>2886</v>
      </c>
    </row>
    <row r="935" spans="1:20">
      <c r="A935" s="241">
        <v>44001</v>
      </c>
      <c r="B935" t="s">
        <v>5052</v>
      </c>
      <c r="C935" t="s">
        <v>615</v>
      </c>
      <c r="D935" t="s">
        <v>274</v>
      </c>
      <c r="E935" t="s">
        <v>1314</v>
      </c>
      <c r="F935" t="s">
        <v>1338</v>
      </c>
      <c r="G935" t="s">
        <v>2774</v>
      </c>
      <c r="H935" t="s">
        <v>405</v>
      </c>
      <c r="I935" t="s">
        <v>698</v>
      </c>
      <c r="J935" t="s">
        <v>397</v>
      </c>
      <c r="K935" t="s">
        <v>327</v>
      </c>
      <c r="L935">
        <v>0.86</v>
      </c>
      <c r="M935" t="s">
        <v>5053</v>
      </c>
      <c r="N935" t="s">
        <v>5054</v>
      </c>
      <c r="O935" t="s">
        <v>5055</v>
      </c>
      <c r="P935" t="s">
        <v>218</v>
      </c>
      <c r="Q935" t="s">
        <v>4921</v>
      </c>
      <c r="R935" t="s">
        <v>4922</v>
      </c>
      <c r="S935" t="s">
        <v>2885</v>
      </c>
      <c r="T935" t="s">
        <v>2886</v>
      </c>
    </row>
    <row r="936" spans="1:20">
      <c r="A936" s="241">
        <v>44001</v>
      </c>
      <c r="B936" t="s">
        <v>5056</v>
      </c>
      <c r="C936" t="s">
        <v>615</v>
      </c>
      <c r="D936" t="s">
        <v>2478</v>
      </c>
      <c r="E936" t="s">
        <v>332</v>
      </c>
      <c r="F936" t="s">
        <v>1156</v>
      </c>
      <c r="G936" t="s">
        <v>697</v>
      </c>
      <c r="H936" t="s">
        <v>415</v>
      </c>
      <c r="I936" t="s">
        <v>932</v>
      </c>
      <c r="J936" t="s">
        <v>919</v>
      </c>
      <c r="K936" t="s">
        <v>666</v>
      </c>
      <c r="L936">
        <v>0.86</v>
      </c>
      <c r="M936" t="s">
        <v>5057</v>
      </c>
      <c r="N936" t="s">
        <v>5058</v>
      </c>
      <c r="O936" t="s">
        <v>5059</v>
      </c>
      <c r="P936" t="s">
        <v>218</v>
      </c>
      <c r="Q936" t="s">
        <v>4921</v>
      </c>
      <c r="R936" t="s">
        <v>4922</v>
      </c>
      <c r="S936" t="s">
        <v>2885</v>
      </c>
      <c r="T936" t="s">
        <v>2886</v>
      </c>
    </row>
    <row r="937" spans="1:20">
      <c r="A937" s="241">
        <v>44001</v>
      </c>
      <c r="B937" t="s">
        <v>5060</v>
      </c>
      <c r="C937" t="s">
        <v>712</v>
      </c>
      <c r="D937" t="s">
        <v>625</v>
      </c>
      <c r="E937" t="s">
        <v>680</v>
      </c>
      <c r="F937" t="s">
        <v>718</v>
      </c>
      <c r="G937" t="s">
        <v>910</v>
      </c>
      <c r="H937" t="s">
        <v>1511</v>
      </c>
      <c r="I937" t="s">
        <v>427</v>
      </c>
      <c r="J937" t="s">
        <v>1304</v>
      </c>
      <c r="K937" t="s">
        <v>700</v>
      </c>
      <c r="L937">
        <v>0.86</v>
      </c>
      <c r="M937" t="s">
        <v>5061</v>
      </c>
      <c r="N937" t="s">
        <v>5062</v>
      </c>
      <c r="O937" t="s">
        <v>5063</v>
      </c>
      <c r="P937" t="s">
        <v>218</v>
      </c>
      <c r="Q937" t="s">
        <v>4921</v>
      </c>
      <c r="R937" t="s">
        <v>4922</v>
      </c>
      <c r="S937" t="s">
        <v>2885</v>
      </c>
      <c r="T937" t="s">
        <v>2886</v>
      </c>
    </row>
    <row r="938" spans="1:20">
      <c r="A938" s="241">
        <v>44001</v>
      </c>
      <c r="B938" t="s">
        <v>5064</v>
      </c>
      <c r="C938" t="s">
        <v>273</v>
      </c>
      <c r="D938" t="s">
        <v>645</v>
      </c>
      <c r="E938" t="s">
        <v>424</v>
      </c>
      <c r="F938" t="s">
        <v>718</v>
      </c>
      <c r="G938" t="s">
        <v>697</v>
      </c>
      <c r="H938" t="s">
        <v>639</v>
      </c>
      <c r="I938" t="s">
        <v>939</v>
      </c>
      <c r="J938" t="s">
        <v>954</v>
      </c>
      <c r="K938" t="s">
        <v>428</v>
      </c>
      <c r="L938">
        <v>0.86</v>
      </c>
      <c r="M938" t="s">
        <v>5065</v>
      </c>
      <c r="N938" t="s">
        <v>5066</v>
      </c>
      <c r="O938" t="s">
        <v>5067</v>
      </c>
      <c r="P938" t="s">
        <v>218</v>
      </c>
      <c r="Q938" t="s">
        <v>4921</v>
      </c>
      <c r="R938" t="s">
        <v>4922</v>
      </c>
      <c r="S938" t="s">
        <v>2885</v>
      </c>
      <c r="T938" t="s">
        <v>2886</v>
      </c>
    </row>
    <row r="939" spans="1:20">
      <c r="A939" s="241">
        <v>44001</v>
      </c>
      <c r="B939" t="s">
        <v>5068</v>
      </c>
      <c r="C939" t="s">
        <v>423</v>
      </c>
      <c r="D939" t="s">
        <v>274</v>
      </c>
      <c r="E939" t="s">
        <v>597</v>
      </c>
      <c r="F939" t="s">
        <v>3086</v>
      </c>
      <c r="G939" t="s">
        <v>946</v>
      </c>
      <c r="H939" t="s">
        <v>713</v>
      </c>
      <c r="I939" t="s">
        <v>446</v>
      </c>
      <c r="J939" t="s">
        <v>447</v>
      </c>
      <c r="K939" t="s">
        <v>722</v>
      </c>
      <c r="L939">
        <v>0.86</v>
      </c>
      <c r="M939" t="s">
        <v>5069</v>
      </c>
      <c r="N939" t="s">
        <v>5070</v>
      </c>
      <c r="O939" t="s">
        <v>5071</v>
      </c>
      <c r="P939" t="s">
        <v>218</v>
      </c>
      <c r="Q939" t="s">
        <v>4921</v>
      </c>
      <c r="R939" t="s">
        <v>4922</v>
      </c>
      <c r="S939" t="s">
        <v>2885</v>
      </c>
      <c r="T939" t="s">
        <v>2886</v>
      </c>
    </row>
    <row r="940" spans="1:20">
      <c r="A940" s="241">
        <v>44001</v>
      </c>
      <c r="B940" t="s">
        <v>5072</v>
      </c>
      <c r="C940" t="s">
        <v>261</v>
      </c>
      <c r="D940" t="s">
        <v>671</v>
      </c>
      <c r="E940" t="s">
        <v>680</v>
      </c>
      <c r="F940" t="s">
        <v>3086</v>
      </c>
      <c r="G940" t="s">
        <v>1297</v>
      </c>
      <c r="H940" t="s">
        <v>2410</v>
      </c>
      <c r="I940" t="s">
        <v>721</v>
      </c>
      <c r="J940" t="s">
        <v>1159</v>
      </c>
      <c r="K940" t="s">
        <v>700</v>
      </c>
      <c r="L940">
        <v>0.86</v>
      </c>
      <c r="M940" t="s">
        <v>5073</v>
      </c>
      <c r="N940" t="s">
        <v>5074</v>
      </c>
      <c r="O940" t="s">
        <v>5075</v>
      </c>
      <c r="P940" t="s">
        <v>218</v>
      </c>
      <c r="Q940" t="s">
        <v>4921</v>
      </c>
      <c r="R940" t="s">
        <v>4922</v>
      </c>
      <c r="S940" t="s">
        <v>2885</v>
      </c>
      <c r="T940" t="s">
        <v>2886</v>
      </c>
    </row>
    <row r="941" spans="1:20">
      <c r="A941" s="241">
        <v>44001</v>
      </c>
      <c r="B941" t="s">
        <v>5076</v>
      </c>
      <c r="C941" t="s">
        <v>294</v>
      </c>
      <c r="D941" t="s">
        <v>645</v>
      </c>
      <c r="E941" t="s">
        <v>238</v>
      </c>
      <c r="F941" t="s">
        <v>3482</v>
      </c>
      <c r="G941" t="s">
        <v>1610</v>
      </c>
      <c r="H941" t="s">
        <v>2410</v>
      </c>
      <c r="I941" t="s">
        <v>446</v>
      </c>
      <c r="J941" t="s">
        <v>730</v>
      </c>
      <c r="K941" t="s">
        <v>428</v>
      </c>
      <c r="L941">
        <v>0.86</v>
      </c>
      <c r="M941" t="s">
        <v>5077</v>
      </c>
      <c r="N941" t="s">
        <v>5078</v>
      </c>
      <c r="O941" t="s">
        <v>5079</v>
      </c>
      <c r="P941" t="s">
        <v>218</v>
      </c>
      <c r="Q941" t="s">
        <v>4921</v>
      </c>
      <c r="R941" t="s">
        <v>4922</v>
      </c>
      <c r="S941" t="s">
        <v>2885</v>
      </c>
      <c r="T941" t="s">
        <v>2886</v>
      </c>
    </row>
    <row r="942" spans="1:20">
      <c r="A942" s="241">
        <v>44001</v>
      </c>
      <c r="B942" t="s">
        <v>5080</v>
      </c>
      <c r="C942" t="s">
        <v>2448</v>
      </c>
      <c r="D942" t="s">
        <v>499</v>
      </c>
      <c r="E942" t="s">
        <v>206</v>
      </c>
      <c r="F942" t="s">
        <v>5081</v>
      </c>
      <c r="G942" t="s">
        <v>749</v>
      </c>
      <c r="H942" t="s">
        <v>2239</v>
      </c>
      <c r="I942" t="s">
        <v>5082</v>
      </c>
      <c r="J942" t="s">
        <v>5083</v>
      </c>
      <c r="K942" t="s">
        <v>1642</v>
      </c>
      <c r="L942">
        <v>0.89</v>
      </c>
      <c r="M942" t="s">
        <v>5084</v>
      </c>
      <c r="N942" t="s">
        <v>5085</v>
      </c>
      <c r="O942" t="s">
        <v>5086</v>
      </c>
      <c r="P942" t="s">
        <v>218</v>
      </c>
      <c r="Q942" t="s">
        <v>4921</v>
      </c>
      <c r="R942" t="s">
        <v>4922</v>
      </c>
      <c r="S942" t="s">
        <v>2885</v>
      </c>
      <c r="T942" t="s">
        <v>2886</v>
      </c>
    </row>
    <row r="943" spans="1:20">
      <c r="A943" s="241">
        <v>44001</v>
      </c>
      <c r="B943" t="s">
        <v>5087</v>
      </c>
      <c r="C943" t="s">
        <v>487</v>
      </c>
      <c r="D943" t="s">
        <v>2431</v>
      </c>
      <c r="E943" t="s">
        <v>223</v>
      </c>
      <c r="F943" t="s">
        <v>1179</v>
      </c>
      <c r="G943" t="s">
        <v>3689</v>
      </c>
      <c r="H943" t="s">
        <v>972</v>
      </c>
      <c r="I943" t="s">
        <v>1970</v>
      </c>
      <c r="J943" t="s">
        <v>5088</v>
      </c>
      <c r="K943" t="s">
        <v>1650</v>
      </c>
      <c r="L943">
        <v>0.89</v>
      </c>
      <c r="M943" t="s">
        <v>5089</v>
      </c>
      <c r="N943" t="s">
        <v>5090</v>
      </c>
      <c r="O943" t="s">
        <v>5091</v>
      </c>
      <c r="P943" t="s">
        <v>218</v>
      </c>
      <c r="Q943" t="s">
        <v>4921</v>
      </c>
      <c r="R943" t="s">
        <v>4922</v>
      </c>
      <c r="S943" t="s">
        <v>2885</v>
      </c>
      <c r="T943" t="s">
        <v>2886</v>
      </c>
    </row>
    <row r="944" spans="1:20">
      <c r="A944" s="241">
        <v>44001</v>
      </c>
      <c r="B944" t="s">
        <v>5092</v>
      </c>
      <c r="C944" t="s">
        <v>487</v>
      </c>
      <c r="D944" t="s">
        <v>1348</v>
      </c>
      <c r="E944" t="s">
        <v>273</v>
      </c>
      <c r="F944" t="s">
        <v>1378</v>
      </c>
      <c r="G944" t="s">
        <v>490</v>
      </c>
      <c r="H944" t="s">
        <v>4626</v>
      </c>
      <c r="I944" t="s">
        <v>5093</v>
      </c>
      <c r="J944" t="s">
        <v>4628</v>
      </c>
      <c r="K944" t="s">
        <v>1989</v>
      </c>
      <c r="L944">
        <v>0.89</v>
      </c>
      <c r="M944" t="s">
        <v>5094</v>
      </c>
      <c r="N944" t="s">
        <v>5095</v>
      </c>
      <c r="O944" t="s">
        <v>5096</v>
      </c>
      <c r="P944" t="s">
        <v>485</v>
      </c>
      <c r="Q944" t="s">
        <v>4921</v>
      </c>
      <c r="R944" t="s">
        <v>4922</v>
      </c>
      <c r="S944" t="s">
        <v>2885</v>
      </c>
      <c r="T944" t="s">
        <v>2886</v>
      </c>
    </row>
    <row r="945" spans="1:20">
      <c r="A945" s="241">
        <v>44001</v>
      </c>
      <c r="B945" t="s">
        <v>5097</v>
      </c>
      <c r="C945" t="s">
        <v>736</v>
      </c>
      <c r="D945" t="s">
        <v>2636</v>
      </c>
      <c r="E945" t="s">
        <v>249</v>
      </c>
      <c r="F945" t="s">
        <v>5098</v>
      </c>
      <c r="G945" t="s">
        <v>1977</v>
      </c>
      <c r="H945" t="s">
        <v>501</v>
      </c>
      <c r="I945" t="s">
        <v>5099</v>
      </c>
      <c r="J945" t="s">
        <v>4896</v>
      </c>
      <c r="K945" t="s">
        <v>2435</v>
      </c>
      <c r="L945">
        <v>0.89</v>
      </c>
      <c r="M945" t="s">
        <v>5100</v>
      </c>
      <c r="N945" t="s">
        <v>5101</v>
      </c>
      <c r="O945" t="s">
        <v>5102</v>
      </c>
      <c r="P945" t="s">
        <v>485</v>
      </c>
      <c r="Q945" t="s">
        <v>4921</v>
      </c>
      <c r="R945" t="s">
        <v>4922</v>
      </c>
      <c r="S945" t="s">
        <v>2885</v>
      </c>
      <c r="T945" t="s">
        <v>2886</v>
      </c>
    </row>
    <row r="946" spans="1:20">
      <c r="A946" s="241">
        <v>44001</v>
      </c>
      <c r="B946" t="s">
        <v>5103</v>
      </c>
      <c r="C946" t="s">
        <v>625</v>
      </c>
      <c r="D946" t="s">
        <v>274</v>
      </c>
      <c r="E946" t="s">
        <v>696</v>
      </c>
      <c r="F946" t="s">
        <v>1057</v>
      </c>
      <c r="G946" t="s">
        <v>2282</v>
      </c>
      <c r="H946" t="s">
        <v>2456</v>
      </c>
      <c r="I946" t="s">
        <v>1391</v>
      </c>
      <c r="J946" t="s">
        <v>1392</v>
      </c>
      <c r="K946" t="s">
        <v>1399</v>
      </c>
      <c r="L946">
        <v>0.87</v>
      </c>
      <c r="M946" t="s">
        <v>5104</v>
      </c>
      <c r="N946" t="s">
        <v>5105</v>
      </c>
      <c r="O946" t="s">
        <v>5106</v>
      </c>
      <c r="P946" t="s">
        <v>485</v>
      </c>
      <c r="Q946" t="s">
        <v>4921</v>
      </c>
      <c r="R946" t="s">
        <v>4922</v>
      </c>
      <c r="S946" t="s">
        <v>2885</v>
      </c>
      <c r="T946" t="s">
        <v>2886</v>
      </c>
    </row>
    <row r="947" spans="1:20">
      <c r="A947" s="241">
        <v>44001</v>
      </c>
      <c r="B947" t="s">
        <v>5107</v>
      </c>
      <c r="C947" t="s">
        <v>261</v>
      </c>
      <c r="D947" t="s">
        <v>274</v>
      </c>
      <c r="E947" t="s">
        <v>606</v>
      </c>
      <c r="F947" t="s">
        <v>1692</v>
      </c>
      <c r="G947" t="s">
        <v>3839</v>
      </c>
      <c r="H947" t="s">
        <v>1225</v>
      </c>
      <c r="I947" t="s">
        <v>1019</v>
      </c>
      <c r="J947" t="s">
        <v>523</v>
      </c>
      <c r="K947" t="s">
        <v>1234</v>
      </c>
      <c r="L947">
        <v>0.86</v>
      </c>
      <c r="M947" t="s">
        <v>5108</v>
      </c>
      <c r="N947" t="s">
        <v>5109</v>
      </c>
      <c r="O947" t="s">
        <v>5110</v>
      </c>
      <c r="P947" t="s">
        <v>485</v>
      </c>
      <c r="Q947" t="s">
        <v>4921</v>
      </c>
      <c r="R947" t="s">
        <v>4922</v>
      </c>
      <c r="S947" t="s">
        <v>2885</v>
      </c>
      <c r="T947" t="s">
        <v>2886</v>
      </c>
    </row>
    <row r="948" spans="1:20">
      <c r="A948" s="241">
        <v>44001</v>
      </c>
      <c r="B948" t="s">
        <v>5111</v>
      </c>
      <c r="C948" t="s">
        <v>274</v>
      </c>
      <c r="D948" t="s">
        <v>442</v>
      </c>
      <c r="E948" t="s">
        <v>1121</v>
      </c>
      <c r="F948" t="s">
        <v>209</v>
      </c>
      <c r="G948" t="s">
        <v>511</v>
      </c>
      <c r="H948" t="s">
        <v>512</v>
      </c>
      <c r="I948" t="s">
        <v>1686</v>
      </c>
      <c r="J948" t="s">
        <v>1687</v>
      </c>
      <c r="K948" t="s">
        <v>1012</v>
      </c>
      <c r="L948">
        <v>0.87</v>
      </c>
      <c r="M948" t="s">
        <v>5112</v>
      </c>
      <c r="N948" t="s">
        <v>5113</v>
      </c>
      <c r="O948" t="s">
        <v>5114</v>
      </c>
      <c r="P948" t="s">
        <v>485</v>
      </c>
      <c r="Q948" t="s">
        <v>4921</v>
      </c>
      <c r="R948" t="s">
        <v>4922</v>
      </c>
      <c r="S948" t="s">
        <v>2885</v>
      </c>
      <c r="T948" t="s">
        <v>2886</v>
      </c>
    </row>
    <row r="949" spans="1:20">
      <c r="A949" s="241">
        <v>44001</v>
      </c>
      <c r="B949" t="s">
        <v>5115</v>
      </c>
      <c r="C949" t="s">
        <v>614</v>
      </c>
      <c r="D949" t="s">
        <v>645</v>
      </c>
      <c r="E949" t="s">
        <v>696</v>
      </c>
      <c r="F949" t="s">
        <v>600</v>
      </c>
      <c r="G949" t="s">
        <v>520</v>
      </c>
      <c r="H949" t="s">
        <v>1018</v>
      </c>
      <c r="I949" t="s">
        <v>2472</v>
      </c>
      <c r="J949" t="s">
        <v>2681</v>
      </c>
      <c r="K949" t="s">
        <v>515</v>
      </c>
      <c r="L949">
        <v>0.87</v>
      </c>
      <c r="M949" t="s">
        <v>5116</v>
      </c>
      <c r="N949" t="s">
        <v>5117</v>
      </c>
      <c r="O949" t="s">
        <v>5118</v>
      </c>
      <c r="P949" t="s">
        <v>485</v>
      </c>
      <c r="Q949" t="s">
        <v>4921</v>
      </c>
      <c r="R949" t="s">
        <v>4922</v>
      </c>
      <c r="S949" t="s">
        <v>2885</v>
      </c>
      <c r="T949" t="s">
        <v>2886</v>
      </c>
    </row>
    <row r="950" spans="1:20">
      <c r="A950" s="241">
        <v>44001</v>
      </c>
      <c r="B950" t="s">
        <v>5119</v>
      </c>
      <c r="C950" t="s">
        <v>274</v>
      </c>
      <c r="D950" t="s">
        <v>294</v>
      </c>
      <c r="E950" t="s">
        <v>597</v>
      </c>
      <c r="F950" t="s">
        <v>239</v>
      </c>
      <c r="G950" t="s">
        <v>2043</v>
      </c>
      <c r="H950" t="s">
        <v>1213</v>
      </c>
      <c r="I950" t="s">
        <v>542</v>
      </c>
      <c r="J950" t="s">
        <v>533</v>
      </c>
      <c r="K950" t="s">
        <v>524</v>
      </c>
      <c r="L950">
        <v>0.86</v>
      </c>
      <c r="M950" t="s">
        <v>5120</v>
      </c>
      <c r="N950" t="s">
        <v>5121</v>
      </c>
      <c r="O950" t="s">
        <v>5122</v>
      </c>
      <c r="P950" t="s">
        <v>485</v>
      </c>
      <c r="Q950" t="s">
        <v>4921</v>
      </c>
      <c r="R950" t="s">
        <v>4922</v>
      </c>
      <c r="S950" t="s">
        <v>2885</v>
      </c>
      <c r="T950" t="s">
        <v>2886</v>
      </c>
    </row>
    <row r="951" spans="1:20">
      <c r="A951" s="241">
        <v>44001</v>
      </c>
      <c r="B951" t="s">
        <v>5123</v>
      </c>
      <c r="C951" t="s">
        <v>237</v>
      </c>
      <c r="D951" t="s">
        <v>645</v>
      </c>
      <c r="E951" t="s">
        <v>812</v>
      </c>
      <c r="F951" t="s">
        <v>618</v>
      </c>
      <c r="G951" t="s">
        <v>2291</v>
      </c>
      <c r="H951" t="s">
        <v>1404</v>
      </c>
      <c r="I951" t="s">
        <v>532</v>
      </c>
      <c r="J951" t="s">
        <v>2044</v>
      </c>
      <c r="K951" t="s">
        <v>214</v>
      </c>
      <c r="L951">
        <v>0.87</v>
      </c>
      <c r="M951" t="s">
        <v>5124</v>
      </c>
      <c r="N951" t="s">
        <v>5125</v>
      </c>
      <c r="O951" t="s">
        <v>5126</v>
      </c>
      <c r="P951" t="s">
        <v>485</v>
      </c>
      <c r="Q951" t="s">
        <v>4921</v>
      </c>
      <c r="R951" t="s">
        <v>4922</v>
      </c>
      <c r="S951" t="s">
        <v>2885</v>
      </c>
      <c r="T951" t="s">
        <v>2886</v>
      </c>
    </row>
    <row r="952" spans="1:20">
      <c r="A952" s="241">
        <v>44001</v>
      </c>
      <c r="B952" t="s">
        <v>5127</v>
      </c>
      <c r="C952" t="s">
        <v>274</v>
      </c>
      <c r="D952" t="s">
        <v>645</v>
      </c>
      <c r="E952" t="s">
        <v>597</v>
      </c>
      <c r="F952" t="s">
        <v>239</v>
      </c>
      <c r="G952" t="s">
        <v>2053</v>
      </c>
      <c r="H952" t="s">
        <v>2861</v>
      </c>
      <c r="I952" t="s">
        <v>1427</v>
      </c>
      <c r="J952" t="s">
        <v>543</v>
      </c>
      <c r="K952" t="s">
        <v>1012</v>
      </c>
      <c r="L952">
        <v>0.86</v>
      </c>
      <c r="M952" t="s">
        <v>5128</v>
      </c>
      <c r="N952" t="s">
        <v>5129</v>
      </c>
      <c r="O952" t="s">
        <v>5130</v>
      </c>
      <c r="P952" t="s">
        <v>485</v>
      </c>
      <c r="Q952" t="s">
        <v>4921</v>
      </c>
      <c r="R952" t="s">
        <v>4922</v>
      </c>
      <c r="S952" t="s">
        <v>2885</v>
      </c>
      <c r="T952" t="s">
        <v>2886</v>
      </c>
    </row>
    <row r="953" spans="1:20">
      <c r="A953" s="241">
        <v>44001</v>
      </c>
      <c r="B953" t="s">
        <v>5131</v>
      </c>
      <c r="C953" t="s">
        <v>294</v>
      </c>
      <c r="D953" t="s">
        <v>615</v>
      </c>
      <c r="E953" t="s">
        <v>238</v>
      </c>
      <c r="F953" t="s">
        <v>346</v>
      </c>
      <c r="G953" t="s">
        <v>792</v>
      </c>
      <c r="H953" t="s">
        <v>1213</v>
      </c>
      <c r="I953" t="s">
        <v>550</v>
      </c>
      <c r="J953" t="s">
        <v>1428</v>
      </c>
      <c r="K953" t="s">
        <v>534</v>
      </c>
      <c r="L953">
        <v>0.86</v>
      </c>
      <c r="M953" t="s">
        <v>5132</v>
      </c>
      <c r="N953" t="s">
        <v>5133</v>
      </c>
      <c r="O953" t="s">
        <v>5134</v>
      </c>
      <c r="P953" t="s">
        <v>485</v>
      </c>
      <c r="Q953" t="s">
        <v>4921</v>
      </c>
      <c r="R953" t="s">
        <v>4922</v>
      </c>
      <c r="S953" t="s">
        <v>2885</v>
      </c>
      <c r="T953" t="s">
        <v>2886</v>
      </c>
    </row>
    <row r="954" spans="1:20">
      <c r="A954" s="241">
        <v>44001</v>
      </c>
      <c r="B954" t="s">
        <v>5135</v>
      </c>
      <c r="C954" t="s">
        <v>274</v>
      </c>
      <c r="D954" t="s">
        <v>615</v>
      </c>
      <c r="E954" t="s">
        <v>680</v>
      </c>
      <c r="F954" t="s">
        <v>835</v>
      </c>
      <c r="G954" t="s">
        <v>1037</v>
      </c>
      <c r="H954" t="s">
        <v>1453</v>
      </c>
      <c r="I954" t="s">
        <v>824</v>
      </c>
      <c r="J954" t="s">
        <v>825</v>
      </c>
      <c r="K954" t="s">
        <v>571</v>
      </c>
      <c r="L954">
        <v>0.86</v>
      </c>
      <c r="M954" t="s">
        <v>5136</v>
      </c>
      <c r="N954" t="s">
        <v>5137</v>
      </c>
      <c r="O954" t="s">
        <v>5138</v>
      </c>
      <c r="P954" t="s">
        <v>485</v>
      </c>
      <c r="Q954" t="s">
        <v>4921</v>
      </c>
      <c r="R954" t="s">
        <v>4922</v>
      </c>
      <c r="S954" t="s">
        <v>2885</v>
      </c>
      <c r="T954" t="s">
        <v>2886</v>
      </c>
    </row>
    <row r="955" spans="1:20">
      <c r="A955" s="241">
        <v>44001</v>
      </c>
      <c r="B955" t="s">
        <v>5139</v>
      </c>
      <c r="C955" t="s">
        <v>615</v>
      </c>
      <c r="D955" t="s">
        <v>614</v>
      </c>
      <c r="E955" t="s">
        <v>424</v>
      </c>
      <c r="F955" t="s">
        <v>356</v>
      </c>
      <c r="G955" t="s">
        <v>1239</v>
      </c>
      <c r="H955" t="s">
        <v>1704</v>
      </c>
      <c r="I955" t="s">
        <v>824</v>
      </c>
      <c r="J955" t="s">
        <v>230</v>
      </c>
      <c r="K955" t="s">
        <v>1032</v>
      </c>
      <c r="L955">
        <v>0.86</v>
      </c>
      <c r="M955" t="s">
        <v>5140</v>
      </c>
      <c r="N955" t="s">
        <v>5141</v>
      </c>
      <c r="O955" t="s">
        <v>5142</v>
      </c>
      <c r="P955" t="s">
        <v>485</v>
      </c>
      <c r="Q955" t="s">
        <v>4921</v>
      </c>
      <c r="R955" t="s">
        <v>4922</v>
      </c>
      <c r="S955" t="s">
        <v>2885</v>
      </c>
      <c r="T955" t="s">
        <v>2886</v>
      </c>
    </row>
    <row r="956" spans="1:20">
      <c r="A956" s="241">
        <v>44001</v>
      </c>
      <c r="B956" t="s">
        <v>5143</v>
      </c>
      <c r="C956" t="s">
        <v>614</v>
      </c>
      <c r="D956" t="s">
        <v>615</v>
      </c>
      <c r="E956" t="s">
        <v>424</v>
      </c>
      <c r="F956" t="s">
        <v>1467</v>
      </c>
      <c r="G956" t="s">
        <v>814</v>
      </c>
      <c r="H956" t="s">
        <v>2315</v>
      </c>
      <c r="I956" t="s">
        <v>569</v>
      </c>
      <c r="J956" t="s">
        <v>1770</v>
      </c>
      <c r="K956" t="s">
        <v>214</v>
      </c>
      <c r="L956">
        <v>0.86</v>
      </c>
      <c r="M956" t="s">
        <v>5144</v>
      </c>
      <c r="N956" t="s">
        <v>5145</v>
      </c>
      <c r="O956" t="s">
        <v>5146</v>
      </c>
      <c r="P956" t="s">
        <v>485</v>
      </c>
      <c r="Q956" t="s">
        <v>4921</v>
      </c>
      <c r="R956" t="s">
        <v>4922</v>
      </c>
      <c r="S956" t="s">
        <v>2885</v>
      </c>
      <c r="T956" t="s">
        <v>2886</v>
      </c>
    </row>
    <row r="957" spans="1:20">
      <c r="A957" s="241">
        <v>44001</v>
      </c>
      <c r="B957" t="s">
        <v>5147</v>
      </c>
      <c r="C957" t="s">
        <v>207</v>
      </c>
      <c r="D957" t="s">
        <v>294</v>
      </c>
      <c r="E957" t="s">
        <v>812</v>
      </c>
      <c r="F957" t="s">
        <v>848</v>
      </c>
      <c r="G957" t="s">
        <v>240</v>
      </c>
      <c r="H957" t="s">
        <v>805</v>
      </c>
      <c r="I957" t="s">
        <v>577</v>
      </c>
      <c r="J957" t="s">
        <v>2330</v>
      </c>
      <c r="K957" t="s">
        <v>571</v>
      </c>
      <c r="L957">
        <v>0.86</v>
      </c>
      <c r="M957" t="s">
        <v>5148</v>
      </c>
      <c r="N957" t="s">
        <v>5149</v>
      </c>
      <c r="O957" t="s">
        <v>5150</v>
      </c>
      <c r="P957" t="s">
        <v>485</v>
      </c>
      <c r="Q957" t="s">
        <v>4921</v>
      </c>
      <c r="R957" t="s">
        <v>4922</v>
      </c>
      <c r="S957" t="s">
        <v>2885</v>
      </c>
      <c r="T957" t="s">
        <v>2886</v>
      </c>
    </row>
    <row r="958" spans="1:20">
      <c r="A958" s="241">
        <v>44001</v>
      </c>
      <c r="B958" t="s">
        <v>5151</v>
      </c>
      <c r="C958" t="s">
        <v>442</v>
      </c>
      <c r="D958" t="s">
        <v>442</v>
      </c>
      <c r="E958" t="s">
        <v>597</v>
      </c>
      <c r="F958" t="s">
        <v>1080</v>
      </c>
      <c r="G958" t="s">
        <v>830</v>
      </c>
      <c r="H958" t="s">
        <v>1704</v>
      </c>
      <c r="I958" t="s">
        <v>838</v>
      </c>
      <c r="J958" t="s">
        <v>1786</v>
      </c>
      <c r="K958" t="s">
        <v>214</v>
      </c>
      <c r="L958">
        <v>0.86</v>
      </c>
      <c r="M958" t="s">
        <v>5152</v>
      </c>
      <c r="N958" t="s">
        <v>5153</v>
      </c>
      <c r="O958" t="s">
        <v>5154</v>
      </c>
      <c r="P958" t="s">
        <v>485</v>
      </c>
      <c r="Q958" t="s">
        <v>4921</v>
      </c>
      <c r="R958" t="s">
        <v>4922</v>
      </c>
      <c r="S958" t="s">
        <v>2885</v>
      </c>
      <c r="T958" t="s">
        <v>2886</v>
      </c>
    </row>
    <row r="959" spans="1:20">
      <c r="A959" s="241">
        <v>44001</v>
      </c>
      <c r="B959" t="s">
        <v>5155</v>
      </c>
      <c r="C959" t="s">
        <v>423</v>
      </c>
      <c r="D959" t="s">
        <v>631</v>
      </c>
      <c r="E959" t="s">
        <v>812</v>
      </c>
      <c r="F959" t="s">
        <v>1591</v>
      </c>
      <c r="G959" t="s">
        <v>252</v>
      </c>
      <c r="H959" t="s">
        <v>307</v>
      </c>
      <c r="I959" t="s">
        <v>288</v>
      </c>
      <c r="J959" t="s">
        <v>289</v>
      </c>
      <c r="K959" t="s">
        <v>571</v>
      </c>
      <c r="L959">
        <v>0.86</v>
      </c>
      <c r="M959" t="s">
        <v>5156</v>
      </c>
      <c r="N959" t="s">
        <v>5157</v>
      </c>
      <c r="O959" t="s">
        <v>5158</v>
      </c>
      <c r="P959" t="s">
        <v>485</v>
      </c>
      <c r="Q959" t="s">
        <v>4921</v>
      </c>
      <c r="R959" t="s">
        <v>4922</v>
      </c>
      <c r="S959" t="s">
        <v>2885</v>
      </c>
      <c r="T959" t="s">
        <v>2886</v>
      </c>
    </row>
    <row r="960" spans="1:20">
      <c r="A960" s="241">
        <v>44001</v>
      </c>
      <c r="B960" t="s">
        <v>5159</v>
      </c>
      <c r="C960" t="s">
        <v>423</v>
      </c>
      <c r="D960" t="s">
        <v>442</v>
      </c>
      <c r="E960" t="s">
        <v>606</v>
      </c>
      <c r="F960" t="s">
        <v>706</v>
      </c>
      <c r="G960" t="s">
        <v>1263</v>
      </c>
      <c r="H960" t="s">
        <v>1453</v>
      </c>
      <c r="I960" t="s">
        <v>288</v>
      </c>
      <c r="J960" t="s">
        <v>298</v>
      </c>
      <c r="K960" t="s">
        <v>338</v>
      </c>
      <c r="L960">
        <v>0.86</v>
      </c>
      <c r="M960" t="s">
        <v>5160</v>
      </c>
      <c r="N960" t="s">
        <v>5161</v>
      </c>
      <c r="O960" t="s">
        <v>5162</v>
      </c>
      <c r="P960" t="s">
        <v>485</v>
      </c>
      <c r="Q960" t="s">
        <v>4921</v>
      </c>
      <c r="R960" t="s">
        <v>4922</v>
      </c>
      <c r="S960" t="s">
        <v>2885</v>
      </c>
      <c r="T960" t="s">
        <v>2886</v>
      </c>
    </row>
    <row r="961" spans="1:20">
      <c r="A961" s="241">
        <v>44001</v>
      </c>
      <c r="B961" t="s">
        <v>5163</v>
      </c>
      <c r="C961" t="s">
        <v>261</v>
      </c>
      <c r="D961" t="s">
        <v>645</v>
      </c>
      <c r="E961" t="s">
        <v>304</v>
      </c>
      <c r="F961" t="s">
        <v>405</v>
      </c>
      <c r="G961" t="s">
        <v>296</v>
      </c>
      <c r="H961" t="s">
        <v>209</v>
      </c>
      <c r="I961" t="s">
        <v>849</v>
      </c>
      <c r="J961" t="s">
        <v>850</v>
      </c>
      <c r="K961" t="s">
        <v>299</v>
      </c>
      <c r="L961">
        <v>0.86</v>
      </c>
      <c r="M961" t="s">
        <v>5164</v>
      </c>
      <c r="N961" t="s">
        <v>5165</v>
      </c>
      <c r="O961" t="s">
        <v>5166</v>
      </c>
      <c r="P961" t="s">
        <v>485</v>
      </c>
      <c r="Q961" t="s">
        <v>4921</v>
      </c>
      <c r="R961" t="s">
        <v>4922</v>
      </c>
      <c r="S961" t="s">
        <v>2885</v>
      </c>
      <c r="T961" t="s">
        <v>2886</v>
      </c>
    </row>
    <row r="962" spans="1:20">
      <c r="A962" s="241">
        <v>44001</v>
      </c>
      <c r="B962" t="s">
        <v>5167</v>
      </c>
      <c r="C962" t="s">
        <v>1877</v>
      </c>
      <c r="D962" t="s">
        <v>712</v>
      </c>
      <c r="E962" t="s">
        <v>812</v>
      </c>
      <c r="F962" t="s">
        <v>314</v>
      </c>
      <c r="G962" t="s">
        <v>1462</v>
      </c>
      <c r="H962" t="s">
        <v>3554</v>
      </c>
      <c r="I962" t="s">
        <v>297</v>
      </c>
      <c r="J962" t="s">
        <v>309</v>
      </c>
      <c r="K962" t="s">
        <v>651</v>
      </c>
      <c r="L962">
        <v>0.86</v>
      </c>
      <c r="M962" t="s">
        <v>5168</v>
      </c>
      <c r="N962" t="s">
        <v>5169</v>
      </c>
      <c r="O962" t="s">
        <v>5170</v>
      </c>
      <c r="P962" t="s">
        <v>485</v>
      </c>
      <c r="Q962" t="s">
        <v>4921</v>
      </c>
      <c r="R962" t="s">
        <v>4922</v>
      </c>
      <c r="S962" t="s">
        <v>2885</v>
      </c>
      <c r="T962" t="s">
        <v>2886</v>
      </c>
    </row>
    <row r="963" spans="1:20">
      <c r="A963" s="241">
        <v>44001</v>
      </c>
      <c r="B963" t="s">
        <v>5171</v>
      </c>
      <c r="C963" t="s">
        <v>274</v>
      </c>
      <c r="D963" t="s">
        <v>274</v>
      </c>
      <c r="E963" t="s">
        <v>238</v>
      </c>
      <c r="F963" t="s">
        <v>435</v>
      </c>
      <c r="G963" t="s">
        <v>567</v>
      </c>
      <c r="H963" t="s">
        <v>600</v>
      </c>
      <c r="I963" t="s">
        <v>863</v>
      </c>
      <c r="J963" t="s">
        <v>601</v>
      </c>
      <c r="K963" t="s">
        <v>579</v>
      </c>
      <c r="L963">
        <v>0.86</v>
      </c>
      <c r="M963" t="s">
        <v>5172</v>
      </c>
      <c r="N963" t="s">
        <v>5173</v>
      </c>
      <c r="O963" t="s">
        <v>5174</v>
      </c>
      <c r="P963" t="s">
        <v>485</v>
      </c>
      <c r="Q963" t="s">
        <v>4921</v>
      </c>
      <c r="R963" t="s">
        <v>4922</v>
      </c>
      <c r="S963" t="s">
        <v>2885</v>
      </c>
      <c r="T963" t="s">
        <v>2886</v>
      </c>
    </row>
    <row r="964" spans="1:20">
      <c r="A964" s="241">
        <v>44001</v>
      </c>
      <c r="B964" t="s">
        <v>5175</v>
      </c>
      <c r="C964" t="s">
        <v>442</v>
      </c>
      <c r="D964" t="s">
        <v>274</v>
      </c>
      <c r="E964" t="s">
        <v>632</v>
      </c>
      <c r="F964" t="s">
        <v>354</v>
      </c>
      <c r="G964" t="s">
        <v>1081</v>
      </c>
      <c r="H964" t="s">
        <v>226</v>
      </c>
      <c r="I964" t="s">
        <v>869</v>
      </c>
      <c r="J964" t="s">
        <v>1092</v>
      </c>
      <c r="K964" t="s">
        <v>280</v>
      </c>
      <c r="L964">
        <v>0.86</v>
      </c>
      <c r="M964" t="s">
        <v>5176</v>
      </c>
      <c r="N964" t="s">
        <v>5177</v>
      </c>
      <c r="O964" t="s">
        <v>5178</v>
      </c>
      <c r="P964" t="s">
        <v>485</v>
      </c>
      <c r="Q964" t="s">
        <v>4921</v>
      </c>
      <c r="R964" t="s">
        <v>4922</v>
      </c>
      <c r="S964" t="s">
        <v>2885</v>
      </c>
      <c r="T964" t="s">
        <v>2886</v>
      </c>
    </row>
    <row r="965" spans="1:20">
      <c r="A965" s="241">
        <v>44001</v>
      </c>
      <c r="B965" t="s">
        <v>5179</v>
      </c>
      <c r="C965" t="s">
        <v>261</v>
      </c>
      <c r="D965" t="s">
        <v>2478</v>
      </c>
      <c r="E965" t="s">
        <v>606</v>
      </c>
      <c r="F965" t="s">
        <v>1591</v>
      </c>
      <c r="G965" t="s">
        <v>1483</v>
      </c>
      <c r="H965" t="s">
        <v>584</v>
      </c>
      <c r="I965" t="s">
        <v>1501</v>
      </c>
      <c r="J965" t="s">
        <v>318</v>
      </c>
      <c r="K965" t="s">
        <v>579</v>
      </c>
      <c r="L965">
        <v>0.86</v>
      </c>
      <c r="M965" t="s">
        <v>5180</v>
      </c>
      <c r="N965" t="s">
        <v>5181</v>
      </c>
      <c r="O965" t="s">
        <v>5182</v>
      </c>
      <c r="P965" t="s">
        <v>485</v>
      </c>
      <c r="Q965" t="s">
        <v>4921</v>
      </c>
      <c r="R965" t="s">
        <v>4922</v>
      </c>
      <c r="S965" t="s">
        <v>2885</v>
      </c>
      <c r="T965" t="s">
        <v>2886</v>
      </c>
    </row>
    <row r="966" spans="1:20">
      <c r="A966" s="241">
        <v>44001</v>
      </c>
      <c r="B966" t="s">
        <v>5183</v>
      </c>
      <c r="C966" t="s">
        <v>615</v>
      </c>
      <c r="D966" t="s">
        <v>2535</v>
      </c>
      <c r="E966" t="s">
        <v>696</v>
      </c>
      <c r="F966" t="s">
        <v>1493</v>
      </c>
      <c r="G966" t="s">
        <v>1477</v>
      </c>
      <c r="H966" t="s">
        <v>566</v>
      </c>
      <c r="I966" t="s">
        <v>1842</v>
      </c>
      <c r="J966" t="s">
        <v>1092</v>
      </c>
      <c r="K966" t="s">
        <v>579</v>
      </c>
      <c r="L966">
        <v>0.86</v>
      </c>
      <c r="M966" t="s">
        <v>5184</v>
      </c>
      <c r="N966" t="s">
        <v>5185</v>
      </c>
      <c r="O966" t="s">
        <v>5186</v>
      </c>
      <c r="P966" t="s">
        <v>485</v>
      </c>
      <c r="Q966" t="s">
        <v>4921</v>
      </c>
      <c r="R966" t="s">
        <v>4922</v>
      </c>
      <c r="S966" t="s">
        <v>2885</v>
      </c>
      <c r="T966" t="s">
        <v>2886</v>
      </c>
    </row>
    <row r="967" spans="1:20">
      <c r="A967" s="241">
        <v>44001</v>
      </c>
      <c r="B967" t="s">
        <v>5187</v>
      </c>
      <c r="C967" t="s">
        <v>614</v>
      </c>
      <c r="D967" t="s">
        <v>615</v>
      </c>
      <c r="E967" t="s">
        <v>225</v>
      </c>
      <c r="F967" t="s">
        <v>1103</v>
      </c>
      <c r="G967" t="s">
        <v>334</v>
      </c>
      <c r="H967" t="s">
        <v>1262</v>
      </c>
      <c r="I967" t="s">
        <v>882</v>
      </c>
      <c r="J967" t="s">
        <v>337</v>
      </c>
      <c r="K967" t="s">
        <v>280</v>
      </c>
      <c r="L967">
        <v>0.86</v>
      </c>
      <c r="M967" t="s">
        <v>5188</v>
      </c>
      <c r="N967" t="s">
        <v>5189</v>
      </c>
      <c r="O967" t="s">
        <v>5190</v>
      </c>
      <c r="P967" t="s">
        <v>485</v>
      </c>
      <c r="Q967" t="s">
        <v>4921</v>
      </c>
      <c r="R967" t="s">
        <v>4922</v>
      </c>
      <c r="S967" t="s">
        <v>2885</v>
      </c>
      <c r="T967" t="s">
        <v>2886</v>
      </c>
    </row>
    <row r="968" spans="1:20">
      <c r="A968" s="241">
        <v>44001</v>
      </c>
      <c r="B968" t="s">
        <v>5191</v>
      </c>
      <c r="C968" t="s">
        <v>224</v>
      </c>
      <c r="D968" t="s">
        <v>442</v>
      </c>
      <c r="E968" t="s">
        <v>304</v>
      </c>
      <c r="F968" t="s">
        <v>333</v>
      </c>
      <c r="G968" t="s">
        <v>843</v>
      </c>
      <c r="H968" t="s">
        <v>1262</v>
      </c>
      <c r="I968" t="s">
        <v>336</v>
      </c>
      <c r="J968" t="s">
        <v>337</v>
      </c>
      <c r="K968" t="s">
        <v>338</v>
      </c>
      <c r="L968">
        <v>0.86</v>
      </c>
      <c r="M968" t="s">
        <v>5192</v>
      </c>
      <c r="N968" t="s">
        <v>5193</v>
      </c>
      <c r="O968" t="s">
        <v>5194</v>
      </c>
      <c r="P968" t="s">
        <v>485</v>
      </c>
      <c r="Q968" t="s">
        <v>4921</v>
      </c>
      <c r="R968" t="s">
        <v>4922</v>
      </c>
      <c r="S968" t="s">
        <v>2885</v>
      </c>
      <c r="T968" t="s">
        <v>2886</v>
      </c>
    </row>
    <row r="969" spans="1:20">
      <c r="A969" s="241">
        <v>44001</v>
      </c>
      <c r="B969" t="s">
        <v>5195</v>
      </c>
      <c r="C969" t="s">
        <v>614</v>
      </c>
      <c r="D969" t="s">
        <v>442</v>
      </c>
      <c r="E969" t="s">
        <v>812</v>
      </c>
      <c r="F969" t="s">
        <v>897</v>
      </c>
      <c r="G969" t="s">
        <v>1500</v>
      </c>
      <c r="H969" t="s">
        <v>881</v>
      </c>
      <c r="I969" t="s">
        <v>336</v>
      </c>
      <c r="J969" t="s">
        <v>337</v>
      </c>
      <c r="K969" t="s">
        <v>651</v>
      </c>
      <c r="L969">
        <v>0.86</v>
      </c>
      <c r="M969" t="s">
        <v>5196</v>
      </c>
      <c r="N969" t="s">
        <v>5197</v>
      </c>
      <c r="O969" t="s">
        <v>5198</v>
      </c>
      <c r="P969" t="s">
        <v>485</v>
      </c>
      <c r="Q969" t="s">
        <v>4921</v>
      </c>
      <c r="R969" t="s">
        <v>4922</v>
      </c>
      <c r="S969" t="s">
        <v>2885</v>
      </c>
      <c r="T969" t="s">
        <v>2886</v>
      </c>
    </row>
    <row r="970" spans="1:20">
      <c r="A970" s="241">
        <v>44001</v>
      </c>
      <c r="B970" t="s">
        <v>5199</v>
      </c>
      <c r="C970" t="s">
        <v>615</v>
      </c>
      <c r="D970" t="s">
        <v>274</v>
      </c>
      <c r="E970" t="s">
        <v>632</v>
      </c>
      <c r="F970" t="s">
        <v>729</v>
      </c>
      <c r="G970" t="s">
        <v>1292</v>
      </c>
      <c r="H970" t="s">
        <v>356</v>
      </c>
      <c r="I970" t="s">
        <v>1518</v>
      </c>
      <c r="J970" t="s">
        <v>2372</v>
      </c>
      <c r="K970" t="s">
        <v>651</v>
      </c>
      <c r="L970">
        <v>0.86</v>
      </c>
      <c r="M970" t="s">
        <v>5200</v>
      </c>
      <c r="N970" t="s">
        <v>5201</v>
      </c>
      <c r="O970" t="s">
        <v>5202</v>
      </c>
      <c r="P970" t="s">
        <v>485</v>
      </c>
      <c r="Q970" t="s">
        <v>4921</v>
      </c>
      <c r="R970" t="s">
        <v>4922</v>
      </c>
      <c r="S970" t="s">
        <v>2885</v>
      </c>
      <c r="T970" t="s">
        <v>2886</v>
      </c>
    </row>
    <row r="971" spans="1:20">
      <c r="A971" s="241">
        <v>44001</v>
      </c>
      <c r="B971" t="s">
        <v>5203</v>
      </c>
      <c r="C971" t="s">
        <v>645</v>
      </c>
      <c r="D971" t="s">
        <v>645</v>
      </c>
      <c r="E971" t="s">
        <v>304</v>
      </c>
      <c r="F971" t="s">
        <v>383</v>
      </c>
      <c r="G971" t="s">
        <v>1841</v>
      </c>
      <c r="H971" t="s">
        <v>626</v>
      </c>
      <c r="I971" t="s">
        <v>1859</v>
      </c>
      <c r="J971" t="s">
        <v>358</v>
      </c>
      <c r="K971" t="s">
        <v>651</v>
      </c>
      <c r="L971">
        <v>0.86</v>
      </c>
      <c r="M971" t="s">
        <v>5204</v>
      </c>
      <c r="N971" t="s">
        <v>5205</v>
      </c>
      <c r="O971" t="s">
        <v>5206</v>
      </c>
      <c r="P971" t="s">
        <v>485</v>
      </c>
      <c r="Q971" t="s">
        <v>4921</v>
      </c>
      <c r="R971" t="s">
        <v>4922</v>
      </c>
      <c r="S971" t="s">
        <v>2885</v>
      </c>
      <c r="T971" t="s">
        <v>2886</v>
      </c>
    </row>
    <row r="972" spans="1:20">
      <c r="A972" s="241">
        <v>44001</v>
      </c>
      <c r="B972" t="s">
        <v>5207</v>
      </c>
      <c r="C972" t="s">
        <v>614</v>
      </c>
      <c r="D972" t="s">
        <v>614</v>
      </c>
      <c r="E972" t="s">
        <v>1121</v>
      </c>
      <c r="F972" t="s">
        <v>1561</v>
      </c>
      <c r="G972" t="s">
        <v>2160</v>
      </c>
      <c r="H972" t="s">
        <v>1291</v>
      </c>
      <c r="I972" t="s">
        <v>664</v>
      </c>
      <c r="J972" t="s">
        <v>899</v>
      </c>
      <c r="K972" t="s">
        <v>651</v>
      </c>
      <c r="L972">
        <v>0.86</v>
      </c>
      <c r="M972" t="s">
        <v>5208</v>
      </c>
      <c r="N972" t="s">
        <v>5209</v>
      </c>
      <c r="O972" t="s">
        <v>5210</v>
      </c>
      <c r="P972" t="s">
        <v>485</v>
      </c>
      <c r="Q972" t="s">
        <v>4921</v>
      </c>
      <c r="R972" t="s">
        <v>4922</v>
      </c>
      <c r="S972" t="s">
        <v>2885</v>
      </c>
      <c r="T972" t="s">
        <v>2886</v>
      </c>
    </row>
    <row r="973" spans="1:20">
      <c r="A973" s="241">
        <v>44001</v>
      </c>
      <c r="B973" t="s">
        <v>5211</v>
      </c>
      <c r="C973" t="s">
        <v>614</v>
      </c>
      <c r="D973" t="s">
        <v>1139</v>
      </c>
      <c r="E973" t="s">
        <v>238</v>
      </c>
      <c r="F973" t="s">
        <v>364</v>
      </c>
      <c r="G973" t="s">
        <v>1590</v>
      </c>
      <c r="H973" t="s">
        <v>285</v>
      </c>
      <c r="I973" t="s">
        <v>367</v>
      </c>
      <c r="J973" t="s">
        <v>899</v>
      </c>
      <c r="K973" t="s">
        <v>666</v>
      </c>
      <c r="L973">
        <v>0.86</v>
      </c>
      <c r="M973" t="s">
        <v>5212</v>
      </c>
      <c r="N973" t="s">
        <v>5213</v>
      </c>
      <c r="O973" t="s">
        <v>5214</v>
      </c>
      <c r="P973" t="s">
        <v>485</v>
      </c>
      <c r="Q973" t="s">
        <v>4921</v>
      </c>
      <c r="R973" t="s">
        <v>4922</v>
      </c>
      <c r="S973" t="s">
        <v>2885</v>
      </c>
      <c r="T973" t="s">
        <v>2886</v>
      </c>
    </row>
    <row r="974" spans="1:20">
      <c r="A974" s="241">
        <v>44001</v>
      </c>
      <c r="B974" t="s">
        <v>5215</v>
      </c>
      <c r="C974" t="s">
        <v>615</v>
      </c>
      <c r="D974" t="s">
        <v>274</v>
      </c>
      <c r="E974" t="s">
        <v>680</v>
      </c>
      <c r="F974" t="s">
        <v>917</v>
      </c>
      <c r="G974" t="s">
        <v>1104</v>
      </c>
      <c r="H974" t="s">
        <v>1291</v>
      </c>
      <c r="I974" t="s">
        <v>674</v>
      </c>
      <c r="J974" t="s">
        <v>1128</v>
      </c>
      <c r="K974" t="s">
        <v>666</v>
      </c>
      <c r="L974">
        <v>0.86</v>
      </c>
      <c r="M974" t="s">
        <v>5216</v>
      </c>
      <c r="N974" t="s">
        <v>5217</v>
      </c>
      <c r="O974" t="s">
        <v>5218</v>
      </c>
      <c r="P974" t="s">
        <v>485</v>
      </c>
      <c r="Q974" t="s">
        <v>4921</v>
      </c>
      <c r="R974" t="s">
        <v>4922</v>
      </c>
      <c r="S974" t="s">
        <v>2885</v>
      </c>
      <c r="T974" t="s">
        <v>2886</v>
      </c>
    </row>
    <row r="975" spans="1:20">
      <c r="A975" s="241">
        <v>44001</v>
      </c>
      <c r="B975" t="s">
        <v>5219</v>
      </c>
      <c r="C975" t="s">
        <v>261</v>
      </c>
      <c r="D975" t="s">
        <v>1139</v>
      </c>
      <c r="E975" t="s">
        <v>696</v>
      </c>
      <c r="F975" t="s">
        <v>917</v>
      </c>
      <c r="G975" t="s">
        <v>375</v>
      </c>
      <c r="H975" t="s">
        <v>395</v>
      </c>
      <c r="I975" t="s">
        <v>386</v>
      </c>
      <c r="J975" t="s">
        <v>1128</v>
      </c>
      <c r="K975" t="s">
        <v>327</v>
      </c>
      <c r="L975">
        <v>0.86</v>
      </c>
      <c r="M975" t="s">
        <v>5220</v>
      </c>
      <c r="N975" t="s">
        <v>5221</v>
      </c>
      <c r="O975" t="s">
        <v>5222</v>
      </c>
      <c r="P975" t="s">
        <v>485</v>
      </c>
      <c r="Q975" t="s">
        <v>4921</v>
      </c>
      <c r="R975" t="s">
        <v>4922</v>
      </c>
      <c r="S975" t="s">
        <v>2885</v>
      </c>
      <c r="T975" t="s">
        <v>2886</v>
      </c>
    </row>
    <row r="976" spans="1:20">
      <c r="A976" s="241">
        <v>44001</v>
      </c>
      <c r="B976" t="s">
        <v>5223</v>
      </c>
      <c r="C976" t="s">
        <v>510</v>
      </c>
      <c r="D976" t="s">
        <v>625</v>
      </c>
      <c r="E976" t="s">
        <v>250</v>
      </c>
      <c r="F976" t="s">
        <v>689</v>
      </c>
      <c r="G976" t="s">
        <v>375</v>
      </c>
      <c r="H976" t="s">
        <v>1291</v>
      </c>
      <c r="I976" t="s">
        <v>1134</v>
      </c>
      <c r="J976" t="s">
        <v>912</v>
      </c>
      <c r="K976" t="s">
        <v>700</v>
      </c>
      <c r="L976">
        <v>0.86</v>
      </c>
      <c r="M976" t="s">
        <v>5224</v>
      </c>
      <c r="N976" t="s">
        <v>5225</v>
      </c>
      <c r="O976" t="s">
        <v>5226</v>
      </c>
      <c r="P976" t="s">
        <v>485</v>
      </c>
      <c r="Q976" t="s">
        <v>4921</v>
      </c>
      <c r="R976" t="s">
        <v>4922</v>
      </c>
      <c r="S976" t="s">
        <v>2885</v>
      </c>
      <c r="T976" t="s">
        <v>2886</v>
      </c>
    </row>
    <row r="977" spans="1:20">
      <c r="A977" s="241">
        <v>44001</v>
      </c>
      <c r="B977" t="s">
        <v>5227</v>
      </c>
      <c r="C977" t="s">
        <v>615</v>
      </c>
      <c r="D977" t="s">
        <v>614</v>
      </c>
      <c r="E977" t="s">
        <v>424</v>
      </c>
      <c r="F977" t="s">
        <v>937</v>
      </c>
      <c r="G977" t="s">
        <v>681</v>
      </c>
      <c r="H977" t="s">
        <v>314</v>
      </c>
      <c r="I977" t="s">
        <v>698</v>
      </c>
      <c r="J977" t="s">
        <v>919</v>
      </c>
      <c r="K977" t="s">
        <v>418</v>
      </c>
      <c r="L977">
        <v>0.86</v>
      </c>
      <c r="M977" t="s">
        <v>5228</v>
      </c>
      <c r="N977" t="s">
        <v>5229</v>
      </c>
      <c r="O977" t="s">
        <v>5230</v>
      </c>
      <c r="P977" t="s">
        <v>218</v>
      </c>
      <c r="Q977" t="s">
        <v>4921</v>
      </c>
      <c r="R977" t="s">
        <v>4922</v>
      </c>
      <c r="S977" t="s">
        <v>2885</v>
      </c>
      <c r="T977" t="s">
        <v>2886</v>
      </c>
    </row>
    <row r="978" spans="1:20">
      <c r="A978" s="241">
        <v>44001</v>
      </c>
      <c r="B978" t="s">
        <v>5231</v>
      </c>
      <c r="C978" t="s">
        <v>207</v>
      </c>
      <c r="D978" t="s">
        <v>679</v>
      </c>
      <c r="E978" t="s">
        <v>238</v>
      </c>
      <c r="F978" t="s">
        <v>2206</v>
      </c>
      <c r="G978" t="s">
        <v>1297</v>
      </c>
      <c r="H978" t="s">
        <v>1493</v>
      </c>
      <c r="I978" t="s">
        <v>932</v>
      </c>
      <c r="J978" t="s">
        <v>919</v>
      </c>
      <c r="K978" t="s">
        <v>666</v>
      </c>
      <c r="L978">
        <v>0.86</v>
      </c>
      <c r="M978" t="s">
        <v>5232</v>
      </c>
      <c r="N978" t="s">
        <v>5233</v>
      </c>
      <c r="O978" t="s">
        <v>5234</v>
      </c>
      <c r="P978" t="s">
        <v>218</v>
      </c>
      <c r="Q978" t="s">
        <v>4921</v>
      </c>
      <c r="R978" t="s">
        <v>4922</v>
      </c>
      <c r="S978" t="s">
        <v>2885</v>
      </c>
      <c r="T978" t="s">
        <v>2886</v>
      </c>
    </row>
    <row r="979" spans="1:20">
      <c r="A979" s="241">
        <v>44001</v>
      </c>
      <c r="B979" t="s">
        <v>5235</v>
      </c>
      <c r="C979" t="s">
        <v>274</v>
      </c>
      <c r="D979" t="s">
        <v>294</v>
      </c>
      <c r="E979" t="s">
        <v>597</v>
      </c>
      <c r="F979" t="s">
        <v>1584</v>
      </c>
      <c r="G979" t="s">
        <v>1133</v>
      </c>
      <c r="H979" t="s">
        <v>720</v>
      </c>
      <c r="I979" t="s">
        <v>1923</v>
      </c>
      <c r="J979" t="s">
        <v>1304</v>
      </c>
      <c r="K979" t="s">
        <v>369</v>
      </c>
      <c r="L979">
        <v>0.86</v>
      </c>
      <c r="M979" t="s">
        <v>5236</v>
      </c>
      <c r="N979" t="s">
        <v>5237</v>
      </c>
      <c r="O979" t="s">
        <v>5238</v>
      </c>
      <c r="P979" t="s">
        <v>218</v>
      </c>
      <c r="Q979" t="s">
        <v>4921</v>
      </c>
      <c r="R979" t="s">
        <v>4922</v>
      </c>
      <c r="S979" t="s">
        <v>2885</v>
      </c>
      <c r="T979" t="s">
        <v>2886</v>
      </c>
    </row>
    <row r="980" spans="1:20">
      <c r="A980" s="241">
        <v>44001</v>
      </c>
      <c r="B980" t="s">
        <v>5239</v>
      </c>
      <c r="C980" t="s">
        <v>712</v>
      </c>
      <c r="D980" t="s">
        <v>614</v>
      </c>
      <c r="E980" t="s">
        <v>1049</v>
      </c>
      <c r="F980" t="s">
        <v>727</v>
      </c>
      <c r="G980" t="s">
        <v>925</v>
      </c>
      <c r="H980" t="s">
        <v>1103</v>
      </c>
      <c r="I980" t="s">
        <v>1158</v>
      </c>
      <c r="J980" t="s">
        <v>417</v>
      </c>
      <c r="K980" t="s">
        <v>327</v>
      </c>
      <c r="L980">
        <v>0.86</v>
      </c>
      <c r="M980" t="s">
        <v>5240</v>
      </c>
      <c r="N980" t="s">
        <v>5241</v>
      </c>
      <c r="O980" t="s">
        <v>5242</v>
      </c>
      <c r="P980" t="s">
        <v>218</v>
      </c>
      <c r="Q980" t="s">
        <v>4921</v>
      </c>
      <c r="R980" t="s">
        <v>4922</v>
      </c>
      <c r="S980" t="s">
        <v>2885</v>
      </c>
      <c r="T980" t="s">
        <v>2886</v>
      </c>
    </row>
    <row r="981" spans="1:20">
      <c r="A981" s="241">
        <v>44001</v>
      </c>
      <c r="B981" t="s">
        <v>5243</v>
      </c>
      <c r="C981" t="s">
        <v>712</v>
      </c>
      <c r="D981" t="s">
        <v>671</v>
      </c>
      <c r="E981" t="s">
        <v>680</v>
      </c>
      <c r="F981" t="s">
        <v>444</v>
      </c>
      <c r="G981" t="s">
        <v>1297</v>
      </c>
      <c r="H981" t="s">
        <v>445</v>
      </c>
      <c r="I981" t="s">
        <v>436</v>
      </c>
      <c r="J981" t="s">
        <v>1309</v>
      </c>
      <c r="K981" t="s">
        <v>349</v>
      </c>
      <c r="L981">
        <v>0.86</v>
      </c>
      <c r="M981" t="s">
        <v>5244</v>
      </c>
      <c r="N981" t="s">
        <v>5245</v>
      </c>
      <c r="O981" t="s">
        <v>5246</v>
      </c>
      <c r="P981" t="s">
        <v>218</v>
      </c>
      <c r="Q981" t="s">
        <v>4921</v>
      </c>
      <c r="R981" t="s">
        <v>4922</v>
      </c>
      <c r="S981" t="s">
        <v>2885</v>
      </c>
      <c r="T981" t="s">
        <v>2886</v>
      </c>
    </row>
    <row r="982" spans="1:20">
      <c r="A982" s="241">
        <v>44001</v>
      </c>
      <c r="B982" t="s">
        <v>5247</v>
      </c>
      <c r="C982" t="s">
        <v>423</v>
      </c>
      <c r="D982" t="s">
        <v>671</v>
      </c>
      <c r="E982" t="s">
        <v>680</v>
      </c>
      <c r="F982" t="s">
        <v>945</v>
      </c>
      <c r="G982" t="s">
        <v>1946</v>
      </c>
      <c r="H982" t="s">
        <v>1620</v>
      </c>
      <c r="I982" t="s">
        <v>446</v>
      </c>
      <c r="J982" t="s">
        <v>954</v>
      </c>
      <c r="K982" t="s">
        <v>349</v>
      </c>
      <c r="L982">
        <v>0.86</v>
      </c>
      <c r="M982" t="s">
        <v>5248</v>
      </c>
      <c r="N982" t="s">
        <v>5249</v>
      </c>
      <c r="O982" t="s">
        <v>5250</v>
      </c>
      <c r="P982" t="s">
        <v>218</v>
      </c>
      <c r="Q982" t="s">
        <v>4921</v>
      </c>
      <c r="R982" t="s">
        <v>4922</v>
      </c>
      <c r="S982" t="s">
        <v>2885</v>
      </c>
      <c r="T982" t="s">
        <v>2886</v>
      </c>
    </row>
    <row r="983" spans="1:20">
      <c r="A983" s="241">
        <v>44001</v>
      </c>
      <c r="B983" t="s">
        <v>5251</v>
      </c>
      <c r="C983" t="s">
        <v>442</v>
      </c>
      <c r="D983" t="s">
        <v>615</v>
      </c>
      <c r="E983" t="s">
        <v>597</v>
      </c>
      <c r="F983" t="s">
        <v>3077</v>
      </c>
      <c r="G983" t="s">
        <v>1946</v>
      </c>
      <c r="H983" t="s">
        <v>897</v>
      </c>
      <c r="I983" t="s">
        <v>1631</v>
      </c>
      <c r="J983" t="s">
        <v>1171</v>
      </c>
      <c r="K983" t="s">
        <v>428</v>
      </c>
      <c r="L983">
        <v>0.86</v>
      </c>
      <c r="M983" t="s">
        <v>5252</v>
      </c>
      <c r="N983" t="s">
        <v>5253</v>
      </c>
      <c r="O983" t="s">
        <v>5254</v>
      </c>
      <c r="P983" t="s">
        <v>218</v>
      </c>
      <c r="Q983" t="s">
        <v>4921</v>
      </c>
      <c r="R983" t="s">
        <v>4922</v>
      </c>
      <c r="S983" t="s">
        <v>2885</v>
      </c>
      <c r="T983" t="s">
        <v>2886</v>
      </c>
    </row>
    <row r="984" spans="1:20">
      <c r="A984" s="241">
        <v>44001</v>
      </c>
      <c r="B984" t="s">
        <v>5255</v>
      </c>
      <c r="C984" t="s">
        <v>614</v>
      </c>
      <c r="D984" t="s">
        <v>294</v>
      </c>
      <c r="E984" t="s">
        <v>680</v>
      </c>
      <c r="F984" t="s">
        <v>1630</v>
      </c>
      <c r="G984" t="s">
        <v>925</v>
      </c>
      <c r="H984" t="s">
        <v>897</v>
      </c>
      <c r="I984" t="s">
        <v>947</v>
      </c>
      <c r="J984" t="s">
        <v>1333</v>
      </c>
      <c r="K984" t="s">
        <v>700</v>
      </c>
      <c r="L984">
        <v>0.86</v>
      </c>
      <c r="M984" t="s">
        <v>5256</v>
      </c>
      <c r="N984" t="s">
        <v>5257</v>
      </c>
      <c r="O984" t="s">
        <v>5258</v>
      </c>
      <c r="P984" t="s">
        <v>218</v>
      </c>
      <c r="Q984" t="s">
        <v>4921</v>
      </c>
      <c r="R984" t="s">
        <v>4922</v>
      </c>
      <c r="S984" t="s">
        <v>2885</v>
      </c>
      <c r="T984" t="s">
        <v>2886</v>
      </c>
    </row>
    <row r="985" spans="1:20">
      <c r="A985" s="241">
        <v>44001</v>
      </c>
      <c r="B985" t="s">
        <v>5259</v>
      </c>
      <c r="C985" t="s">
        <v>645</v>
      </c>
      <c r="D985" t="s">
        <v>614</v>
      </c>
      <c r="E985" t="s">
        <v>238</v>
      </c>
      <c r="F985" t="s">
        <v>1338</v>
      </c>
      <c r="G985" t="s">
        <v>1946</v>
      </c>
      <c r="H985" t="s">
        <v>1127</v>
      </c>
      <c r="I985" t="s">
        <v>947</v>
      </c>
      <c r="J985" t="s">
        <v>730</v>
      </c>
      <c r="K985" t="s">
        <v>369</v>
      </c>
      <c r="L985">
        <v>0.86</v>
      </c>
      <c r="M985" t="s">
        <v>5260</v>
      </c>
      <c r="N985" t="s">
        <v>5261</v>
      </c>
      <c r="O985" t="s">
        <v>5262</v>
      </c>
      <c r="P985" t="s">
        <v>218</v>
      </c>
      <c r="Q985" t="s">
        <v>4921</v>
      </c>
      <c r="R985" t="s">
        <v>4922</v>
      </c>
      <c r="S985" t="s">
        <v>2885</v>
      </c>
      <c r="T985" t="s">
        <v>2886</v>
      </c>
    </row>
    <row r="986" spans="1:20">
      <c r="A986" s="241">
        <v>44001</v>
      </c>
      <c r="B986" t="s">
        <v>5263</v>
      </c>
      <c r="C986" t="s">
        <v>1357</v>
      </c>
      <c r="D986" t="s">
        <v>499</v>
      </c>
      <c r="E986" t="s">
        <v>237</v>
      </c>
      <c r="F986" t="s">
        <v>5264</v>
      </c>
      <c r="G986" t="s">
        <v>2424</v>
      </c>
      <c r="H986" t="s">
        <v>476</v>
      </c>
      <c r="I986" t="s">
        <v>5265</v>
      </c>
      <c r="J986" t="s">
        <v>5266</v>
      </c>
      <c r="K986" t="s">
        <v>1672</v>
      </c>
      <c r="L986">
        <v>0.89</v>
      </c>
      <c r="M986" t="s">
        <v>5267</v>
      </c>
      <c r="N986" t="s">
        <v>5268</v>
      </c>
      <c r="O986" t="s">
        <v>5269</v>
      </c>
      <c r="P986" t="s">
        <v>218</v>
      </c>
      <c r="Q986" t="s">
        <v>4921</v>
      </c>
      <c r="R986" t="s">
        <v>4922</v>
      </c>
      <c r="S986" t="s">
        <v>2885</v>
      </c>
      <c r="T986" t="s">
        <v>2886</v>
      </c>
    </row>
    <row r="987" spans="1:20">
      <c r="A987" s="241">
        <v>44001</v>
      </c>
      <c r="B987" t="s">
        <v>5270</v>
      </c>
      <c r="C987" t="s">
        <v>959</v>
      </c>
      <c r="D987" t="s">
        <v>747</v>
      </c>
      <c r="E987" t="s">
        <v>236</v>
      </c>
      <c r="F987" t="s">
        <v>1187</v>
      </c>
      <c r="G987" t="s">
        <v>1359</v>
      </c>
      <c r="H987" t="s">
        <v>2248</v>
      </c>
      <c r="I987" t="s">
        <v>5271</v>
      </c>
      <c r="J987" t="s">
        <v>5272</v>
      </c>
      <c r="K987" t="s">
        <v>5273</v>
      </c>
      <c r="L987">
        <v>0.89</v>
      </c>
      <c r="M987" t="s">
        <v>5274</v>
      </c>
      <c r="N987" t="s">
        <v>5275</v>
      </c>
      <c r="O987" t="s">
        <v>5276</v>
      </c>
      <c r="P987" t="s">
        <v>485</v>
      </c>
      <c r="Q987" t="s">
        <v>4921</v>
      </c>
      <c r="R987" t="s">
        <v>4922</v>
      </c>
      <c r="S987" t="s">
        <v>2885</v>
      </c>
      <c r="T987" t="s">
        <v>2886</v>
      </c>
    </row>
    <row r="988" spans="1:20">
      <c r="A988" s="241">
        <v>44001</v>
      </c>
      <c r="B988" t="s">
        <v>5277</v>
      </c>
      <c r="C988" t="s">
        <v>959</v>
      </c>
      <c r="D988" t="s">
        <v>735</v>
      </c>
      <c r="E988" t="s">
        <v>223</v>
      </c>
      <c r="F988" t="s">
        <v>3120</v>
      </c>
      <c r="G988" t="s">
        <v>990</v>
      </c>
      <c r="H988" t="s">
        <v>491</v>
      </c>
      <c r="I988" t="s">
        <v>5278</v>
      </c>
      <c r="J988" t="s">
        <v>5279</v>
      </c>
      <c r="K988" t="s">
        <v>1989</v>
      </c>
      <c r="L988">
        <v>0.89</v>
      </c>
      <c r="M988" t="s">
        <v>5280</v>
      </c>
      <c r="N988" t="s">
        <v>5281</v>
      </c>
      <c r="O988" t="s">
        <v>5282</v>
      </c>
      <c r="P988" t="s">
        <v>485</v>
      </c>
      <c r="Q988" t="s">
        <v>4921</v>
      </c>
      <c r="R988" t="s">
        <v>4922</v>
      </c>
      <c r="S988" t="s">
        <v>2885</v>
      </c>
      <c r="T988" t="s">
        <v>2886</v>
      </c>
    </row>
    <row r="989" spans="1:20">
      <c r="A989" s="241">
        <v>44001</v>
      </c>
      <c r="B989" t="s">
        <v>5283</v>
      </c>
      <c r="C989" t="s">
        <v>5284</v>
      </c>
      <c r="D989" t="s">
        <v>2448</v>
      </c>
      <c r="E989" t="s">
        <v>423</v>
      </c>
      <c r="F989" t="s">
        <v>766</v>
      </c>
      <c r="G989" t="s">
        <v>477</v>
      </c>
      <c r="H989" t="s">
        <v>5285</v>
      </c>
      <c r="I989" t="s">
        <v>5286</v>
      </c>
      <c r="J989" t="s">
        <v>5287</v>
      </c>
      <c r="K989" t="s">
        <v>5288</v>
      </c>
      <c r="L989">
        <v>0.89</v>
      </c>
      <c r="M989" t="s">
        <v>5289</v>
      </c>
      <c r="N989" t="s">
        <v>5290</v>
      </c>
      <c r="O989" t="s">
        <v>5291</v>
      </c>
      <c r="P989" t="s">
        <v>485</v>
      </c>
      <c r="Q989" t="s">
        <v>4921</v>
      </c>
      <c r="R989" t="s">
        <v>4922</v>
      </c>
      <c r="S989" t="s">
        <v>2885</v>
      </c>
      <c r="T989" t="s">
        <v>2886</v>
      </c>
    </row>
    <row r="990" spans="1:20">
      <c r="A990" s="241">
        <v>44001</v>
      </c>
      <c r="B990" t="s">
        <v>5292</v>
      </c>
      <c r="C990" t="s">
        <v>207</v>
      </c>
      <c r="D990" t="s">
        <v>274</v>
      </c>
      <c r="E990" t="s">
        <v>597</v>
      </c>
      <c r="F990" t="s">
        <v>568</v>
      </c>
      <c r="G990" t="s">
        <v>2463</v>
      </c>
      <c r="H990" t="s">
        <v>2663</v>
      </c>
      <c r="I990" t="s">
        <v>1686</v>
      </c>
      <c r="J990" t="s">
        <v>1687</v>
      </c>
      <c r="K990" t="s">
        <v>1234</v>
      </c>
      <c r="L990">
        <v>0.87</v>
      </c>
      <c r="M990" t="s">
        <v>5293</v>
      </c>
      <c r="N990" t="s">
        <v>5294</v>
      </c>
      <c r="O990" t="s">
        <v>5295</v>
      </c>
      <c r="P990" t="s">
        <v>485</v>
      </c>
      <c r="Q990" t="s">
        <v>4921</v>
      </c>
      <c r="R990" t="s">
        <v>4922</v>
      </c>
      <c r="S990" t="s">
        <v>2885</v>
      </c>
      <c r="T990" t="s">
        <v>2886</v>
      </c>
    </row>
    <row r="991" spans="1:20">
      <c r="A991" s="241">
        <v>44001</v>
      </c>
      <c r="B991" t="s">
        <v>5296</v>
      </c>
      <c r="C991" t="s">
        <v>261</v>
      </c>
      <c r="D991" t="s">
        <v>625</v>
      </c>
      <c r="E991" t="s">
        <v>424</v>
      </c>
      <c r="F991" t="s">
        <v>585</v>
      </c>
      <c r="G991" t="s">
        <v>2043</v>
      </c>
      <c r="H991" t="s">
        <v>4383</v>
      </c>
      <c r="I991" t="s">
        <v>1019</v>
      </c>
      <c r="J991" t="s">
        <v>1405</v>
      </c>
      <c r="K991" t="s">
        <v>1406</v>
      </c>
      <c r="L991">
        <v>0.86</v>
      </c>
      <c r="M991" t="s">
        <v>5297</v>
      </c>
      <c r="N991" t="s">
        <v>5298</v>
      </c>
      <c r="O991" t="s">
        <v>5299</v>
      </c>
      <c r="P991" t="s">
        <v>485</v>
      </c>
      <c r="Q991" t="s">
        <v>4921</v>
      </c>
      <c r="R991" t="s">
        <v>4922</v>
      </c>
      <c r="S991" t="s">
        <v>2885</v>
      </c>
      <c r="T991" t="s">
        <v>2886</v>
      </c>
    </row>
    <row r="992" spans="1:20">
      <c r="A992" s="241">
        <v>44001</v>
      </c>
      <c r="B992" t="s">
        <v>5300</v>
      </c>
      <c r="C992" t="s">
        <v>223</v>
      </c>
      <c r="D992" t="s">
        <v>614</v>
      </c>
      <c r="E992" t="s">
        <v>606</v>
      </c>
      <c r="F992" t="s">
        <v>1704</v>
      </c>
      <c r="G992" t="s">
        <v>1715</v>
      </c>
      <c r="H992" t="s">
        <v>4383</v>
      </c>
      <c r="I992" t="s">
        <v>1010</v>
      </c>
      <c r="J992" t="s">
        <v>514</v>
      </c>
      <c r="K992" t="s">
        <v>1406</v>
      </c>
      <c r="L992">
        <v>0.86</v>
      </c>
      <c r="M992" t="s">
        <v>5301</v>
      </c>
      <c r="N992" t="s">
        <v>5302</v>
      </c>
      <c r="O992" t="s">
        <v>5303</v>
      </c>
      <c r="P992" t="s">
        <v>485</v>
      </c>
      <c r="Q992" t="s">
        <v>4921</v>
      </c>
      <c r="R992" t="s">
        <v>4922</v>
      </c>
      <c r="S992" t="s">
        <v>2885</v>
      </c>
      <c r="T992" t="s">
        <v>2886</v>
      </c>
    </row>
    <row r="993" spans="1:20">
      <c r="A993" s="241">
        <v>44001</v>
      </c>
      <c r="B993" t="s">
        <v>5304</v>
      </c>
      <c r="C993" t="s">
        <v>510</v>
      </c>
      <c r="D993" t="s">
        <v>615</v>
      </c>
      <c r="E993" t="s">
        <v>238</v>
      </c>
      <c r="F993" t="s">
        <v>307</v>
      </c>
      <c r="G993" t="s">
        <v>2686</v>
      </c>
      <c r="H993" t="s">
        <v>1716</v>
      </c>
      <c r="I993" t="s">
        <v>532</v>
      </c>
      <c r="J993" t="s">
        <v>1233</v>
      </c>
      <c r="K993" t="s">
        <v>1012</v>
      </c>
      <c r="L993">
        <v>0.86</v>
      </c>
      <c r="M993" t="s">
        <v>5305</v>
      </c>
      <c r="N993" t="s">
        <v>5306</v>
      </c>
      <c r="O993" t="s">
        <v>5307</v>
      </c>
      <c r="P993" t="s">
        <v>485</v>
      </c>
      <c r="Q993" t="s">
        <v>4921</v>
      </c>
      <c r="R993" t="s">
        <v>4922</v>
      </c>
      <c r="S993" t="s">
        <v>2885</v>
      </c>
      <c r="T993" t="s">
        <v>2886</v>
      </c>
    </row>
    <row r="994" spans="1:20">
      <c r="A994" s="241">
        <v>44001</v>
      </c>
      <c r="B994" t="s">
        <v>5308</v>
      </c>
      <c r="C994" t="s">
        <v>249</v>
      </c>
      <c r="D994" t="s">
        <v>274</v>
      </c>
      <c r="E994" t="s">
        <v>632</v>
      </c>
      <c r="F994" t="s">
        <v>1692</v>
      </c>
      <c r="G994" t="s">
        <v>792</v>
      </c>
      <c r="H994" t="s">
        <v>787</v>
      </c>
      <c r="I994" t="s">
        <v>532</v>
      </c>
      <c r="J994" t="s">
        <v>1026</v>
      </c>
      <c r="K994" t="s">
        <v>524</v>
      </c>
      <c r="L994">
        <v>0.86</v>
      </c>
      <c r="M994" t="s">
        <v>5309</v>
      </c>
      <c r="N994" t="s">
        <v>5310</v>
      </c>
      <c r="O994" t="s">
        <v>5311</v>
      </c>
      <c r="P994" t="s">
        <v>485</v>
      </c>
      <c r="Q994" t="s">
        <v>4921</v>
      </c>
      <c r="R994" t="s">
        <v>4922</v>
      </c>
      <c r="S994" t="s">
        <v>2885</v>
      </c>
      <c r="T994" t="s">
        <v>2886</v>
      </c>
    </row>
    <row r="995" spans="1:20">
      <c r="A995" s="241">
        <v>44001</v>
      </c>
      <c r="B995" t="s">
        <v>5312</v>
      </c>
      <c r="C995" t="s">
        <v>423</v>
      </c>
      <c r="D995" t="s">
        <v>615</v>
      </c>
      <c r="E995" t="s">
        <v>424</v>
      </c>
      <c r="F995" t="s">
        <v>307</v>
      </c>
      <c r="G995" t="s">
        <v>2314</v>
      </c>
      <c r="H995" t="s">
        <v>787</v>
      </c>
      <c r="I995" t="s">
        <v>1232</v>
      </c>
      <c r="J995" t="s">
        <v>1233</v>
      </c>
      <c r="K995" t="s">
        <v>1234</v>
      </c>
      <c r="L995">
        <v>0.86</v>
      </c>
      <c r="M995" t="s">
        <v>5313</v>
      </c>
      <c r="N995" t="s">
        <v>5314</v>
      </c>
      <c r="O995" t="s">
        <v>5315</v>
      </c>
      <c r="P995" t="s">
        <v>485</v>
      </c>
      <c r="Q995" t="s">
        <v>4921</v>
      </c>
      <c r="R995" t="s">
        <v>4922</v>
      </c>
      <c r="S995" t="s">
        <v>2885</v>
      </c>
      <c r="T995" t="s">
        <v>2886</v>
      </c>
    </row>
    <row r="996" spans="1:20">
      <c r="A996" s="241">
        <v>44001</v>
      </c>
      <c r="B996" t="s">
        <v>5316</v>
      </c>
      <c r="C996" t="s">
        <v>645</v>
      </c>
      <c r="D996" t="s">
        <v>442</v>
      </c>
      <c r="E996" t="s">
        <v>646</v>
      </c>
      <c r="F996" t="s">
        <v>335</v>
      </c>
      <c r="G996" t="s">
        <v>2080</v>
      </c>
      <c r="H996" t="s">
        <v>531</v>
      </c>
      <c r="I996" t="s">
        <v>1427</v>
      </c>
      <c r="J996" t="s">
        <v>543</v>
      </c>
      <c r="K996" t="s">
        <v>1012</v>
      </c>
      <c r="L996">
        <v>0.86</v>
      </c>
      <c r="M996" t="s">
        <v>5317</v>
      </c>
      <c r="N996" t="s">
        <v>5318</v>
      </c>
      <c r="O996" t="s">
        <v>5319</v>
      </c>
      <c r="P996" t="s">
        <v>485</v>
      </c>
      <c r="Q996" t="s">
        <v>4921</v>
      </c>
      <c r="R996" t="s">
        <v>4922</v>
      </c>
      <c r="S996" t="s">
        <v>2885</v>
      </c>
      <c r="T996" t="s">
        <v>2886</v>
      </c>
    </row>
    <row r="997" spans="1:20">
      <c r="A997" s="241">
        <v>44001</v>
      </c>
      <c r="B997" t="s">
        <v>5320</v>
      </c>
      <c r="C997" t="s">
        <v>442</v>
      </c>
      <c r="D997" t="s">
        <v>645</v>
      </c>
      <c r="E997" t="s">
        <v>680</v>
      </c>
      <c r="F997" t="s">
        <v>868</v>
      </c>
      <c r="G997" t="s">
        <v>1037</v>
      </c>
      <c r="H997" t="s">
        <v>1426</v>
      </c>
      <c r="I997" t="s">
        <v>1031</v>
      </c>
      <c r="J997" t="s">
        <v>551</v>
      </c>
      <c r="K997" t="s">
        <v>1399</v>
      </c>
      <c r="L997">
        <v>0.86</v>
      </c>
      <c r="M997" t="s">
        <v>5321</v>
      </c>
      <c r="N997" t="s">
        <v>5322</v>
      </c>
      <c r="O997" t="s">
        <v>5323</v>
      </c>
      <c r="P997" t="s">
        <v>485</v>
      </c>
      <c r="Q997" t="s">
        <v>4921</v>
      </c>
      <c r="R997" t="s">
        <v>4922</v>
      </c>
      <c r="S997" t="s">
        <v>2885</v>
      </c>
      <c r="T997" t="s">
        <v>2886</v>
      </c>
    </row>
    <row r="998" spans="1:20">
      <c r="A998" s="241">
        <v>44001</v>
      </c>
      <c r="B998" t="s">
        <v>5324</v>
      </c>
      <c r="C998" t="s">
        <v>712</v>
      </c>
      <c r="D998" t="s">
        <v>615</v>
      </c>
      <c r="E998" t="s">
        <v>304</v>
      </c>
      <c r="F998" t="s">
        <v>590</v>
      </c>
      <c r="G998" t="s">
        <v>1745</v>
      </c>
      <c r="H998" t="s">
        <v>1746</v>
      </c>
      <c r="I998" t="s">
        <v>560</v>
      </c>
      <c r="J998" t="s">
        <v>807</v>
      </c>
      <c r="K998" t="s">
        <v>1032</v>
      </c>
      <c r="L998">
        <v>0.86</v>
      </c>
      <c r="M998" t="s">
        <v>5325</v>
      </c>
      <c r="N998" t="s">
        <v>5326</v>
      </c>
      <c r="O998" t="s">
        <v>5327</v>
      </c>
      <c r="P998" t="s">
        <v>485</v>
      </c>
      <c r="Q998" t="s">
        <v>4921</v>
      </c>
      <c r="R998" t="s">
        <v>4922</v>
      </c>
      <c r="S998" t="s">
        <v>2885</v>
      </c>
      <c r="T998" t="s">
        <v>2886</v>
      </c>
    </row>
    <row r="999" spans="1:20">
      <c r="A999" s="241">
        <v>44001</v>
      </c>
      <c r="B999" t="s">
        <v>5328</v>
      </c>
      <c r="C999" t="s">
        <v>294</v>
      </c>
      <c r="D999" t="s">
        <v>614</v>
      </c>
      <c r="E999" t="s">
        <v>606</v>
      </c>
      <c r="F999" t="s">
        <v>263</v>
      </c>
      <c r="G999" t="s">
        <v>804</v>
      </c>
      <c r="H999" t="s">
        <v>1677</v>
      </c>
      <c r="I999" t="s">
        <v>560</v>
      </c>
      <c r="J999" t="s">
        <v>561</v>
      </c>
      <c r="K999" t="s">
        <v>231</v>
      </c>
      <c r="L999">
        <v>0.86</v>
      </c>
      <c r="M999" t="s">
        <v>5329</v>
      </c>
      <c r="N999" t="s">
        <v>5330</v>
      </c>
      <c r="O999" t="s">
        <v>5331</v>
      </c>
      <c r="P999" t="s">
        <v>485</v>
      </c>
      <c r="Q999" t="s">
        <v>4921</v>
      </c>
      <c r="R999" t="s">
        <v>4922</v>
      </c>
      <c r="S999" t="s">
        <v>2885</v>
      </c>
      <c r="T999" t="s">
        <v>2886</v>
      </c>
    </row>
    <row r="1000" spans="1:20">
      <c r="A1000" s="241">
        <v>44001</v>
      </c>
      <c r="B1000" t="s">
        <v>5332</v>
      </c>
      <c r="C1000" t="s">
        <v>645</v>
      </c>
      <c r="D1000" t="s">
        <v>671</v>
      </c>
      <c r="E1000" t="s">
        <v>332</v>
      </c>
      <c r="F1000" t="s">
        <v>335</v>
      </c>
      <c r="G1000" t="s">
        <v>814</v>
      </c>
      <c r="H1000" t="s">
        <v>559</v>
      </c>
      <c r="I1000" t="s">
        <v>816</v>
      </c>
      <c r="J1000" t="s">
        <v>817</v>
      </c>
      <c r="K1000" t="s">
        <v>515</v>
      </c>
      <c r="L1000">
        <v>0.86</v>
      </c>
      <c r="M1000" t="s">
        <v>5333</v>
      </c>
      <c r="N1000" t="s">
        <v>5334</v>
      </c>
      <c r="O1000" t="s">
        <v>5335</v>
      </c>
      <c r="P1000" t="s">
        <v>485</v>
      </c>
      <c r="Q1000" t="s">
        <v>4921</v>
      </c>
      <c r="R1000" t="s">
        <v>4922</v>
      </c>
      <c r="S1000" t="s">
        <v>2885</v>
      </c>
      <c r="T1000" t="s">
        <v>2886</v>
      </c>
    </row>
    <row r="1001" spans="1:20">
      <c r="A1001" s="241">
        <v>44001</v>
      </c>
      <c r="B1001" t="s">
        <v>5336</v>
      </c>
      <c r="C1001" t="s">
        <v>712</v>
      </c>
      <c r="D1001" t="s">
        <v>614</v>
      </c>
      <c r="E1001" t="s">
        <v>696</v>
      </c>
      <c r="F1001" t="s">
        <v>275</v>
      </c>
      <c r="G1001" t="s">
        <v>264</v>
      </c>
      <c r="H1001" t="s">
        <v>568</v>
      </c>
      <c r="I1001" t="s">
        <v>569</v>
      </c>
      <c r="J1001" t="s">
        <v>825</v>
      </c>
      <c r="K1001" t="s">
        <v>515</v>
      </c>
      <c r="L1001">
        <v>0.86</v>
      </c>
      <c r="M1001" t="s">
        <v>5337</v>
      </c>
      <c r="N1001" t="s">
        <v>5338</v>
      </c>
      <c r="O1001" t="s">
        <v>5339</v>
      </c>
      <c r="P1001" t="s">
        <v>485</v>
      </c>
      <c r="Q1001" t="s">
        <v>4921</v>
      </c>
      <c r="R1001" t="s">
        <v>4922</v>
      </c>
      <c r="S1001" t="s">
        <v>2885</v>
      </c>
      <c r="T1001" t="s">
        <v>2886</v>
      </c>
    </row>
    <row r="1002" spans="1:20">
      <c r="A1002" s="241">
        <v>44001</v>
      </c>
      <c r="B1002" t="s">
        <v>5340</v>
      </c>
      <c r="C1002" t="s">
        <v>423</v>
      </c>
      <c r="D1002" t="s">
        <v>712</v>
      </c>
      <c r="E1002" t="s">
        <v>1314</v>
      </c>
      <c r="F1002" t="s">
        <v>1262</v>
      </c>
      <c r="G1002" t="s">
        <v>1775</v>
      </c>
      <c r="H1002" t="s">
        <v>2910</v>
      </c>
      <c r="I1002" t="s">
        <v>266</v>
      </c>
      <c r="J1002" t="s">
        <v>2330</v>
      </c>
      <c r="K1002" t="s">
        <v>231</v>
      </c>
      <c r="L1002">
        <v>0.86</v>
      </c>
      <c r="M1002" t="s">
        <v>5341</v>
      </c>
      <c r="N1002" t="s">
        <v>5342</v>
      </c>
      <c r="O1002" t="s">
        <v>5343</v>
      </c>
      <c r="P1002" t="s">
        <v>485</v>
      </c>
      <c r="Q1002" t="s">
        <v>4921</v>
      </c>
      <c r="R1002" t="s">
        <v>4922</v>
      </c>
      <c r="S1002" t="s">
        <v>2885</v>
      </c>
      <c r="T1002" t="s">
        <v>2886</v>
      </c>
    </row>
    <row r="1003" spans="1:20">
      <c r="A1003" s="241">
        <v>44001</v>
      </c>
      <c r="B1003" t="s">
        <v>5344</v>
      </c>
      <c r="C1003" t="s">
        <v>625</v>
      </c>
      <c r="D1003" t="s">
        <v>712</v>
      </c>
      <c r="E1003" t="s">
        <v>812</v>
      </c>
      <c r="F1003" t="s">
        <v>626</v>
      </c>
      <c r="G1003" t="s">
        <v>276</v>
      </c>
      <c r="H1003" t="s">
        <v>2910</v>
      </c>
      <c r="I1003" t="s">
        <v>1776</v>
      </c>
      <c r="J1003" t="s">
        <v>578</v>
      </c>
      <c r="K1003" t="s">
        <v>231</v>
      </c>
      <c r="L1003">
        <v>0.86</v>
      </c>
      <c r="M1003" t="s">
        <v>5345</v>
      </c>
      <c r="N1003" t="s">
        <v>5346</v>
      </c>
      <c r="O1003" t="s">
        <v>5347</v>
      </c>
      <c r="P1003" t="s">
        <v>485</v>
      </c>
      <c r="Q1003" t="s">
        <v>4921</v>
      </c>
      <c r="R1003" t="s">
        <v>4922</v>
      </c>
      <c r="S1003" t="s">
        <v>2885</v>
      </c>
      <c r="T1003" t="s">
        <v>2886</v>
      </c>
    </row>
    <row r="1004" spans="1:20">
      <c r="A1004" s="241">
        <v>44001</v>
      </c>
      <c r="B1004" t="s">
        <v>5348</v>
      </c>
      <c r="C1004" t="s">
        <v>423</v>
      </c>
      <c r="D1004" t="s">
        <v>261</v>
      </c>
      <c r="E1004" t="s">
        <v>1049</v>
      </c>
      <c r="F1004" t="s">
        <v>285</v>
      </c>
      <c r="G1004" t="s">
        <v>286</v>
      </c>
      <c r="H1004" t="s">
        <v>568</v>
      </c>
      <c r="I1004" t="s">
        <v>266</v>
      </c>
      <c r="J1004" t="s">
        <v>1786</v>
      </c>
      <c r="K1004" t="s">
        <v>299</v>
      </c>
      <c r="L1004">
        <v>0.86</v>
      </c>
      <c r="M1004" t="s">
        <v>5349</v>
      </c>
      <c r="N1004" t="s">
        <v>5350</v>
      </c>
      <c r="O1004" t="s">
        <v>5351</v>
      </c>
      <c r="P1004" t="s">
        <v>485</v>
      </c>
      <c r="Q1004" t="s">
        <v>4921</v>
      </c>
      <c r="R1004" t="s">
        <v>4922</v>
      </c>
      <c r="S1004" t="s">
        <v>2885</v>
      </c>
      <c r="T1004" t="s">
        <v>2886</v>
      </c>
    </row>
    <row r="1005" spans="1:20">
      <c r="A1005" s="241">
        <v>44001</v>
      </c>
      <c r="B1005" t="s">
        <v>5352</v>
      </c>
      <c r="C1005" t="s">
        <v>442</v>
      </c>
      <c r="D1005" t="s">
        <v>249</v>
      </c>
      <c r="E1005" t="s">
        <v>680</v>
      </c>
      <c r="F1005" t="s">
        <v>682</v>
      </c>
      <c r="G1005" t="s">
        <v>286</v>
      </c>
      <c r="H1005" t="s">
        <v>585</v>
      </c>
      <c r="I1005" t="s">
        <v>288</v>
      </c>
      <c r="J1005" t="s">
        <v>592</v>
      </c>
      <c r="K1005" t="s">
        <v>299</v>
      </c>
      <c r="L1005">
        <v>0.86</v>
      </c>
      <c r="M1005" t="s">
        <v>5353</v>
      </c>
      <c r="N1005" t="s">
        <v>5354</v>
      </c>
      <c r="O1005" t="s">
        <v>5355</v>
      </c>
      <c r="P1005" t="s">
        <v>485</v>
      </c>
      <c r="Q1005" t="s">
        <v>4921</v>
      </c>
      <c r="R1005" t="s">
        <v>4922</v>
      </c>
      <c r="S1005" t="s">
        <v>2885</v>
      </c>
      <c r="T1005" t="s">
        <v>2886</v>
      </c>
    </row>
    <row r="1006" spans="1:20">
      <c r="A1006" s="241">
        <v>44001</v>
      </c>
      <c r="B1006" t="s">
        <v>5356</v>
      </c>
      <c r="C1006" t="s">
        <v>237</v>
      </c>
      <c r="D1006" t="s">
        <v>615</v>
      </c>
      <c r="E1006" t="s">
        <v>225</v>
      </c>
      <c r="F1006" t="s">
        <v>1050</v>
      </c>
      <c r="G1006" t="s">
        <v>1483</v>
      </c>
      <c r="H1006" t="s">
        <v>585</v>
      </c>
      <c r="I1006" t="s">
        <v>297</v>
      </c>
      <c r="J1006" t="s">
        <v>289</v>
      </c>
      <c r="K1006" t="s">
        <v>534</v>
      </c>
      <c r="L1006">
        <v>0.86</v>
      </c>
      <c r="M1006" t="s">
        <v>5357</v>
      </c>
      <c r="N1006" t="s">
        <v>5358</v>
      </c>
      <c r="O1006" t="s">
        <v>5359</v>
      </c>
      <c r="P1006" t="s">
        <v>485</v>
      </c>
      <c r="Q1006" t="s">
        <v>4921</v>
      </c>
      <c r="R1006" t="s">
        <v>4922</v>
      </c>
      <c r="S1006" t="s">
        <v>2885</v>
      </c>
      <c r="T1006" t="s">
        <v>2886</v>
      </c>
    </row>
    <row r="1007" spans="1:20">
      <c r="A1007" s="241">
        <v>44001</v>
      </c>
      <c r="B1007" t="s">
        <v>5360</v>
      </c>
      <c r="C1007" t="s">
        <v>615</v>
      </c>
      <c r="D1007" t="s">
        <v>679</v>
      </c>
      <c r="E1007" t="s">
        <v>304</v>
      </c>
      <c r="F1007" t="s">
        <v>285</v>
      </c>
      <c r="G1007" t="s">
        <v>1269</v>
      </c>
      <c r="H1007" t="s">
        <v>265</v>
      </c>
      <c r="I1007" t="s">
        <v>1264</v>
      </c>
      <c r="J1007" t="s">
        <v>279</v>
      </c>
      <c r="K1007" t="s">
        <v>571</v>
      </c>
      <c r="L1007">
        <v>0.86</v>
      </c>
      <c r="M1007" t="s">
        <v>5361</v>
      </c>
      <c r="N1007" t="s">
        <v>5362</v>
      </c>
      <c r="O1007" t="s">
        <v>5363</v>
      </c>
      <c r="P1007" t="s">
        <v>485</v>
      </c>
      <c r="Q1007" t="s">
        <v>4921</v>
      </c>
      <c r="R1007" t="s">
        <v>4922</v>
      </c>
      <c r="S1007" t="s">
        <v>2885</v>
      </c>
      <c r="T1007" t="s">
        <v>2886</v>
      </c>
    </row>
    <row r="1008" spans="1:20">
      <c r="A1008" s="241">
        <v>44001</v>
      </c>
      <c r="B1008" t="s">
        <v>5364</v>
      </c>
      <c r="C1008" t="s">
        <v>615</v>
      </c>
      <c r="D1008" t="s">
        <v>615</v>
      </c>
      <c r="E1008" t="s">
        <v>632</v>
      </c>
      <c r="F1008" t="s">
        <v>295</v>
      </c>
      <c r="G1008" t="s">
        <v>591</v>
      </c>
      <c r="H1008" t="s">
        <v>585</v>
      </c>
      <c r="I1008" t="s">
        <v>609</v>
      </c>
      <c r="J1008" t="s">
        <v>850</v>
      </c>
      <c r="K1008" t="s">
        <v>571</v>
      </c>
      <c r="L1008">
        <v>0.86</v>
      </c>
      <c r="M1008" t="s">
        <v>5365</v>
      </c>
      <c r="N1008" t="s">
        <v>5366</v>
      </c>
      <c r="O1008" t="s">
        <v>5367</v>
      </c>
      <c r="P1008" t="s">
        <v>485</v>
      </c>
      <c r="Q1008" t="s">
        <v>4921</v>
      </c>
      <c r="R1008" t="s">
        <v>4922</v>
      </c>
      <c r="S1008" t="s">
        <v>2885</v>
      </c>
      <c r="T1008" t="s">
        <v>2886</v>
      </c>
    </row>
    <row r="1009" spans="1:20">
      <c r="A1009" s="241">
        <v>44001</v>
      </c>
      <c r="B1009" t="s">
        <v>5368</v>
      </c>
      <c r="C1009" t="s">
        <v>237</v>
      </c>
      <c r="D1009" t="s">
        <v>614</v>
      </c>
      <c r="E1009" t="s">
        <v>208</v>
      </c>
      <c r="F1009" t="s">
        <v>1262</v>
      </c>
      <c r="G1009" t="s">
        <v>607</v>
      </c>
      <c r="H1009" t="s">
        <v>277</v>
      </c>
      <c r="I1009" t="s">
        <v>297</v>
      </c>
      <c r="J1009" t="s">
        <v>850</v>
      </c>
      <c r="K1009" t="s">
        <v>571</v>
      </c>
      <c r="L1009">
        <v>0.86</v>
      </c>
      <c r="M1009" t="s">
        <v>5369</v>
      </c>
      <c r="N1009" t="s">
        <v>5370</v>
      </c>
      <c r="O1009" t="s">
        <v>5371</v>
      </c>
      <c r="P1009" t="s">
        <v>485</v>
      </c>
      <c r="Q1009" t="s">
        <v>4921</v>
      </c>
      <c r="R1009" t="s">
        <v>4922</v>
      </c>
      <c r="S1009" t="s">
        <v>2885</v>
      </c>
      <c r="T1009" t="s">
        <v>2886</v>
      </c>
    </row>
    <row r="1010" spans="1:20">
      <c r="A1010" s="241">
        <v>44001</v>
      </c>
      <c r="B1010" t="s">
        <v>5372</v>
      </c>
      <c r="C1010" t="s">
        <v>224</v>
      </c>
      <c r="D1010" t="s">
        <v>442</v>
      </c>
      <c r="E1010" t="s">
        <v>402</v>
      </c>
      <c r="F1010" t="s">
        <v>295</v>
      </c>
      <c r="G1010" t="s">
        <v>843</v>
      </c>
      <c r="H1010" t="s">
        <v>1231</v>
      </c>
      <c r="I1010" t="s">
        <v>1087</v>
      </c>
      <c r="J1010" t="s">
        <v>620</v>
      </c>
      <c r="K1010" t="s">
        <v>579</v>
      </c>
      <c r="L1010">
        <v>0.86</v>
      </c>
      <c r="M1010" t="s">
        <v>5373</v>
      </c>
      <c r="N1010" t="s">
        <v>5374</v>
      </c>
      <c r="O1010" t="s">
        <v>5375</v>
      </c>
      <c r="P1010" t="s">
        <v>485</v>
      </c>
      <c r="Q1010" t="s">
        <v>4921</v>
      </c>
      <c r="R1010" t="s">
        <v>4922</v>
      </c>
      <c r="S1010" t="s">
        <v>2885</v>
      </c>
      <c r="T1010" t="s">
        <v>2886</v>
      </c>
    </row>
    <row r="1011" spans="1:20">
      <c r="A1011" s="241">
        <v>44001</v>
      </c>
      <c r="B1011" t="s">
        <v>5376</v>
      </c>
      <c r="C1011" t="s">
        <v>294</v>
      </c>
      <c r="D1011" t="s">
        <v>712</v>
      </c>
      <c r="E1011" t="s">
        <v>597</v>
      </c>
      <c r="F1011" t="s">
        <v>647</v>
      </c>
      <c r="G1011" t="s">
        <v>1477</v>
      </c>
      <c r="H1011" t="s">
        <v>862</v>
      </c>
      <c r="I1011" t="s">
        <v>1501</v>
      </c>
      <c r="J1011" t="s">
        <v>1827</v>
      </c>
      <c r="K1011" t="s">
        <v>268</v>
      </c>
      <c r="L1011">
        <v>0.86</v>
      </c>
      <c r="M1011" t="s">
        <v>5377</v>
      </c>
      <c r="N1011" t="s">
        <v>5378</v>
      </c>
      <c r="O1011" t="s">
        <v>5379</v>
      </c>
      <c r="P1011" t="s">
        <v>485</v>
      </c>
      <c r="Q1011" t="s">
        <v>4921</v>
      </c>
      <c r="R1011" t="s">
        <v>4922</v>
      </c>
      <c r="S1011" t="s">
        <v>2885</v>
      </c>
      <c r="T1011" t="s">
        <v>2886</v>
      </c>
    </row>
    <row r="1012" spans="1:20">
      <c r="A1012" s="241">
        <v>44001</v>
      </c>
      <c r="B1012" t="s">
        <v>5380</v>
      </c>
      <c r="C1012" t="s">
        <v>615</v>
      </c>
      <c r="D1012" t="s">
        <v>712</v>
      </c>
      <c r="E1012" t="s">
        <v>597</v>
      </c>
      <c r="F1012" t="s">
        <v>713</v>
      </c>
      <c r="G1012" t="s">
        <v>1483</v>
      </c>
      <c r="H1012" t="s">
        <v>862</v>
      </c>
      <c r="I1012" t="s">
        <v>317</v>
      </c>
      <c r="J1012" t="s">
        <v>620</v>
      </c>
      <c r="K1012" t="s">
        <v>579</v>
      </c>
      <c r="L1012">
        <v>0.86</v>
      </c>
      <c r="M1012" t="s">
        <v>5381</v>
      </c>
      <c r="N1012" t="s">
        <v>5382</v>
      </c>
      <c r="O1012" t="s">
        <v>5383</v>
      </c>
      <c r="P1012" t="s">
        <v>485</v>
      </c>
      <c r="Q1012" t="s">
        <v>4921</v>
      </c>
      <c r="R1012" t="s">
        <v>4922</v>
      </c>
      <c r="S1012" t="s">
        <v>2885</v>
      </c>
      <c r="T1012" t="s">
        <v>2886</v>
      </c>
    </row>
    <row r="1013" spans="1:20">
      <c r="A1013" s="241">
        <v>44001</v>
      </c>
      <c r="B1013" t="s">
        <v>5384</v>
      </c>
      <c r="C1013" t="s">
        <v>625</v>
      </c>
      <c r="D1013" t="s">
        <v>712</v>
      </c>
      <c r="E1013" t="s">
        <v>680</v>
      </c>
      <c r="F1013" t="s">
        <v>445</v>
      </c>
      <c r="G1013" t="s">
        <v>1832</v>
      </c>
      <c r="H1013" t="s">
        <v>868</v>
      </c>
      <c r="I1013" t="s">
        <v>1842</v>
      </c>
      <c r="J1013" t="s">
        <v>1092</v>
      </c>
      <c r="K1013" t="s">
        <v>579</v>
      </c>
      <c r="L1013">
        <v>0.86</v>
      </c>
      <c r="M1013" t="s">
        <v>5385</v>
      </c>
      <c r="N1013" t="s">
        <v>5386</v>
      </c>
      <c r="O1013" t="s">
        <v>5387</v>
      </c>
      <c r="P1013" t="s">
        <v>485</v>
      </c>
      <c r="Q1013" t="s">
        <v>4921</v>
      </c>
      <c r="R1013" t="s">
        <v>4922</v>
      </c>
      <c r="S1013" t="s">
        <v>2885</v>
      </c>
      <c r="T1013" t="s">
        <v>2886</v>
      </c>
    </row>
    <row r="1014" spans="1:20">
      <c r="A1014" s="241">
        <v>44001</v>
      </c>
      <c r="B1014" t="s">
        <v>5388</v>
      </c>
      <c r="C1014" t="s">
        <v>442</v>
      </c>
      <c r="D1014" t="s">
        <v>645</v>
      </c>
      <c r="E1014" t="s">
        <v>680</v>
      </c>
      <c r="F1014" t="s">
        <v>887</v>
      </c>
      <c r="G1014" t="s">
        <v>617</v>
      </c>
      <c r="H1014" t="s">
        <v>566</v>
      </c>
      <c r="I1014" t="s">
        <v>1518</v>
      </c>
      <c r="J1014" t="s">
        <v>640</v>
      </c>
      <c r="K1014" t="s">
        <v>579</v>
      </c>
      <c r="L1014">
        <v>0.86</v>
      </c>
      <c r="M1014" t="s">
        <v>5389</v>
      </c>
      <c r="N1014" t="s">
        <v>5390</v>
      </c>
      <c r="O1014" t="s">
        <v>5391</v>
      </c>
      <c r="P1014" t="s">
        <v>485</v>
      </c>
      <c r="Q1014" t="s">
        <v>4921</v>
      </c>
      <c r="R1014" t="s">
        <v>4922</v>
      </c>
      <c r="S1014" t="s">
        <v>2885</v>
      </c>
      <c r="T1014" t="s">
        <v>2886</v>
      </c>
    </row>
    <row r="1015" spans="1:20">
      <c r="A1015" s="241">
        <v>44001</v>
      </c>
      <c r="B1015" t="s">
        <v>5392</v>
      </c>
      <c r="C1015" t="s">
        <v>442</v>
      </c>
      <c r="D1015" t="s">
        <v>294</v>
      </c>
      <c r="E1015" t="s">
        <v>680</v>
      </c>
      <c r="F1015" t="s">
        <v>333</v>
      </c>
      <c r="G1015" t="s">
        <v>2764</v>
      </c>
      <c r="H1015" t="s">
        <v>251</v>
      </c>
      <c r="I1015" t="s">
        <v>347</v>
      </c>
      <c r="J1015" t="s">
        <v>337</v>
      </c>
      <c r="K1015" t="s">
        <v>327</v>
      </c>
      <c r="L1015">
        <v>0.86</v>
      </c>
      <c r="M1015" t="s">
        <v>5393</v>
      </c>
      <c r="N1015" t="s">
        <v>5394</v>
      </c>
      <c r="O1015" t="s">
        <v>5395</v>
      </c>
      <c r="P1015" t="s">
        <v>485</v>
      </c>
      <c r="Q1015" t="s">
        <v>4921</v>
      </c>
      <c r="R1015" t="s">
        <v>4922</v>
      </c>
      <c r="S1015" t="s">
        <v>2885</v>
      </c>
      <c r="T1015" t="s">
        <v>2886</v>
      </c>
    </row>
    <row r="1016" spans="1:20">
      <c r="A1016" s="241">
        <v>44001</v>
      </c>
      <c r="B1016" t="s">
        <v>5396</v>
      </c>
      <c r="C1016" t="s">
        <v>294</v>
      </c>
      <c r="D1016" t="s">
        <v>614</v>
      </c>
      <c r="E1016" t="s">
        <v>1102</v>
      </c>
      <c r="F1016" t="s">
        <v>897</v>
      </c>
      <c r="G1016" t="s">
        <v>345</v>
      </c>
      <c r="H1016" t="s">
        <v>566</v>
      </c>
      <c r="I1016" t="s">
        <v>1097</v>
      </c>
      <c r="J1016" t="s">
        <v>1506</v>
      </c>
      <c r="K1016" t="s">
        <v>256</v>
      </c>
      <c r="L1016">
        <v>0.86</v>
      </c>
      <c r="M1016" t="s">
        <v>5397</v>
      </c>
      <c r="N1016" t="s">
        <v>5398</v>
      </c>
      <c r="O1016" t="s">
        <v>5399</v>
      </c>
      <c r="P1016" t="s">
        <v>485</v>
      </c>
      <c r="Q1016" t="s">
        <v>4921</v>
      </c>
      <c r="R1016" t="s">
        <v>4922</v>
      </c>
      <c r="S1016" t="s">
        <v>2885</v>
      </c>
      <c r="T1016" t="s">
        <v>2886</v>
      </c>
    </row>
    <row r="1017" spans="1:20">
      <c r="A1017" s="241">
        <v>44001</v>
      </c>
      <c r="B1017" t="s">
        <v>5400</v>
      </c>
      <c r="C1017" t="s">
        <v>294</v>
      </c>
      <c r="D1017" t="s">
        <v>679</v>
      </c>
      <c r="E1017" t="s">
        <v>696</v>
      </c>
      <c r="F1017" t="s">
        <v>1620</v>
      </c>
      <c r="G1017" t="s">
        <v>1292</v>
      </c>
      <c r="H1017" t="s">
        <v>584</v>
      </c>
      <c r="I1017" t="s">
        <v>1097</v>
      </c>
      <c r="J1017" t="s">
        <v>640</v>
      </c>
      <c r="K1017" t="s">
        <v>651</v>
      </c>
      <c r="L1017">
        <v>0.86</v>
      </c>
      <c r="M1017" t="s">
        <v>5401</v>
      </c>
      <c r="N1017" t="s">
        <v>5402</v>
      </c>
      <c r="O1017" t="s">
        <v>5403</v>
      </c>
      <c r="P1017" t="s">
        <v>485</v>
      </c>
      <c r="Q1017" t="s">
        <v>4921</v>
      </c>
      <c r="R1017" t="s">
        <v>4922</v>
      </c>
      <c r="S1017" t="s">
        <v>2885</v>
      </c>
      <c r="T1017" t="s">
        <v>2886</v>
      </c>
    </row>
    <row r="1018" spans="1:20">
      <c r="A1018" s="241">
        <v>44001</v>
      </c>
      <c r="B1018" t="s">
        <v>5404</v>
      </c>
      <c r="C1018" t="s">
        <v>294</v>
      </c>
      <c r="D1018" t="s">
        <v>712</v>
      </c>
      <c r="E1018" t="s">
        <v>250</v>
      </c>
      <c r="F1018" t="s">
        <v>672</v>
      </c>
      <c r="G1018" t="s">
        <v>365</v>
      </c>
      <c r="H1018" t="s">
        <v>1056</v>
      </c>
      <c r="I1018" t="s">
        <v>656</v>
      </c>
      <c r="J1018" t="s">
        <v>899</v>
      </c>
      <c r="K1018" t="s">
        <v>349</v>
      </c>
      <c r="L1018">
        <v>0.86</v>
      </c>
      <c r="M1018" t="s">
        <v>5405</v>
      </c>
      <c r="N1018" t="s">
        <v>5406</v>
      </c>
      <c r="O1018" t="s">
        <v>5407</v>
      </c>
      <c r="P1018" t="s">
        <v>485</v>
      </c>
      <c r="Q1018" t="s">
        <v>4921</v>
      </c>
      <c r="R1018" t="s">
        <v>4922</v>
      </c>
      <c r="S1018" t="s">
        <v>2885</v>
      </c>
      <c r="T1018" t="s">
        <v>2886</v>
      </c>
    </row>
    <row r="1019" spans="1:20">
      <c r="A1019" s="241">
        <v>44001</v>
      </c>
      <c r="B1019" t="s">
        <v>5408</v>
      </c>
      <c r="C1019" t="s">
        <v>1195</v>
      </c>
      <c r="D1019" t="s">
        <v>462</v>
      </c>
      <c r="E1019" t="s">
        <v>262</v>
      </c>
      <c r="F1019" t="s">
        <v>433</v>
      </c>
      <c r="G1019" t="s">
        <v>345</v>
      </c>
      <c r="H1019" t="s">
        <v>862</v>
      </c>
      <c r="I1019" t="s">
        <v>1547</v>
      </c>
      <c r="J1019" t="s">
        <v>407</v>
      </c>
      <c r="K1019" t="s">
        <v>5409</v>
      </c>
      <c r="L1019">
        <v>0.87</v>
      </c>
      <c r="M1019" t="s">
        <v>5410</v>
      </c>
      <c r="N1019" t="s">
        <v>5411</v>
      </c>
      <c r="O1019" t="s">
        <v>5412</v>
      </c>
      <c r="P1019" t="s">
        <v>485</v>
      </c>
      <c r="Q1019" t="s">
        <v>4921</v>
      </c>
      <c r="R1019" t="s">
        <v>4922</v>
      </c>
      <c r="S1019" t="s">
        <v>2885</v>
      </c>
      <c r="T1019" t="s">
        <v>2886</v>
      </c>
    </row>
    <row r="1020" spans="1:20">
      <c r="A1020" s="241">
        <v>44001</v>
      </c>
      <c r="B1020" t="s">
        <v>5413</v>
      </c>
      <c r="C1020" t="s">
        <v>5284</v>
      </c>
      <c r="D1020" t="s">
        <v>747</v>
      </c>
      <c r="E1020" t="s">
        <v>1196</v>
      </c>
      <c r="F1020" t="s">
        <v>323</v>
      </c>
      <c r="G1020" t="s">
        <v>324</v>
      </c>
      <c r="H1020" t="s">
        <v>251</v>
      </c>
      <c r="I1020" t="s">
        <v>1547</v>
      </c>
      <c r="J1020" t="s">
        <v>919</v>
      </c>
      <c r="K1020" t="s">
        <v>5414</v>
      </c>
      <c r="L1020">
        <v>0.87</v>
      </c>
      <c r="M1020" t="s">
        <v>5415</v>
      </c>
      <c r="N1020" t="s">
        <v>5416</v>
      </c>
      <c r="O1020" t="s">
        <v>5417</v>
      </c>
      <c r="P1020" t="s">
        <v>485</v>
      </c>
      <c r="Q1020" t="s">
        <v>4921</v>
      </c>
      <c r="R1020" t="s">
        <v>4922</v>
      </c>
      <c r="S1020" t="s">
        <v>2885</v>
      </c>
      <c r="T1020" t="s">
        <v>2886</v>
      </c>
    </row>
    <row r="1021" spans="1:20">
      <c r="A1021" s="241">
        <v>44001</v>
      </c>
      <c r="B1021" t="s">
        <v>5418</v>
      </c>
      <c r="C1021" t="s">
        <v>510</v>
      </c>
      <c r="D1021" t="s">
        <v>274</v>
      </c>
      <c r="E1021" t="s">
        <v>812</v>
      </c>
      <c r="F1021" t="s">
        <v>1561</v>
      </c>
      <c r="G1021" t="s">
        <v>1104</v>
      </c>
      <c r="H1021" t="s">
        <v>626</v>
      </c>
      <c r="I1021" t="s">
        <v>386</v>
      </c>
      <c r="J1021" t="s">
        <v>1128</v>
      </c>
      <c r="K1021" t="s">
        <v>327</v>
      </c>
      <c r="L1021">
        <v>0.86</v>
      </c>
      <c r="M1021" t="s">
        <v>5419</v>
      </c>
      <c r="N1021" t="s">
        <v>5420</v>
      </c>
      <c r="O1021" t="s">
        <v>5421</v>
      </c>
      <c r="P1021" t="s">
        <v>485</v>
      </c>
      <c r="Q1021" t="s">
        <v>4921</v>
      </c>
      <c r="R1021" t="s">
        <v>4922</v>
      </c>
      <c r="S1021" t="s">
        <v>2885</v>
      </c>
      <c r="T1021" t="s">
        <v>2886</v>
      </c>
    </row>
    <row r="1022" spans="1:20">
      <c r="A1022" s="241">
        <v>44001</v>
      </c>
      <c r="B1022" t="s">
        <v>5422</v>
      </c>
      <c r="C1022" t="s">
        <v>224</v>
      </c>
      <c r="D1022" t="s">
        <v>274</v>
      </c>
      <c r="E1022" t="s">
        <v>225</v>
      </c>
      <c r="F1022" t="s">
        <v>672</v>
      </c>
      <c r="G1022" t="s">
        <v>384</v>
      </c>
      <c r="H1022" t="s">
        <v>1291</v>
      </c>
      <c r="I1022" t="s">
        <v>683</v>
      </c>
      <c r="J1022" t="s">
        <v>1298</v>
      </c>
      <c r="K1022" t="s">
        <v>349</v>
      </c>
      <c r="L1022">
        <v>0.86</v>
      </c>
      <c r="M1022" t="s">
        <v>5423</v>
      </c>
      <c r="N1022" t="s">
        <v>5424</v>
      </c>
      <c r="O1022" t="s">
        <v>5425</v>
      </c>
      <c r="P1022" t="s">
        <v>485</v>
      </c>
      <c r="Q1022" t="s">
        <v>4921</v>
      </c>
      <c r="R1022" t="s">
        <v>4922</v>
      </c>
      <c r="S1022" t="s">
        <v>2885</v>
      </c>
      <c r="T1022" t="s">
        <v>2886</v>
      </c>
    </row>
    <row r="1023" spans="1:20">
      <c r="A1023" s="241">
        <v>44001</v>
      </c>
      <c r="B1023" t="s">
        <v>5426</v>
      </c>
      <c r="C1023" t="s">
        <v>237</v>
      </c>
      <c r="D1023" t="s">
        <v>274</v>
      </c>
      <c r="E1023" t="s">
        <v>606</v>
      </c>
      <c r="F1023" t="s">
        <v>1303</v>
      </c>
      <c r="G1023" t="s">
        <v>1590</v>
      </c>
      <c r="H1023" t="s">
        <v>285</v>
      </c>
      <c r="I1023" t="s">
        <v>1134</v>
      </c>
      <c r="J1023" t="s">
        <v>1569</v>
      </c>
      <c r="K1023" t="s">
        <v>359</v>
      </c>
      <c r="L1023">
        <v>0.86</v>
      </c>
      <c r="M1023" t="s">
        <v>5427</v>
      </c>
      <c r="N1023" t="s">
        <v>5428</v>
      </c>
      <c r="O1023" t="s">
        <v>5429</v>
      </c>
      <c r="P1023" t="s">
        <v>485</v>
      </c>
      <c r="Q1023" t="s">
        <v>4921</v>
      </c>
      <c r="R1023" t="s">
        <v>4922</v>
      </c>
      <c r="S1023" t="s">
        <v>2885</v>
      </c>
      <c r="T1023" t="s">
        <v>2886</v>
      </c>
    </row>
    <row r="1024" spans="1:20">
      <c r="A1024" s="241">
        <v>44001</v>
      </c>
      <c r="B1024" t="s">
        <v>5430</v>
      </c>
      <c r="C1024" t="s">
        <v>224</v>
      </c>
      <c r="D1024" t="s">
        <v>207</v>
      </c>
      <c r="E1024" t="s">
        <v>1121</v>
      </c>
      <c r="F1024" t="s">
        <v>2574</v>
      </c>
      <c r="G1024" t="s">
        <v>1115</v>
      </c>
      <c r="H1024" t="s">
        <v>682</v>
      </c>
      <c r="I1024" t="s">
        <v>683</v>
      </c>
      <c r="J1024" t="s">
        <v>1298</v>
      </c>
      <c r="K1024" t="s">
        <v>349</v>
      </c>
      <c r="L1024">
        <v>0.86</v>
      </c>
      <c r="M1024" t="s">
        <v>5431</v>
      </c>
      <c r="N1024" t="s">
        <v>5432</v>
      </c>
      <c r="O1024" t="s">
        <v>5433</v>
      </c>
      <c r="P1024" t="s">
        <v>485</v>
      </c>
      <c r="Q1024" t="s">
        <v>4921</v>
      </c>
      <c r="R1024" t="s">
        <v>4922</v>
      </c>
      <c r="S1024" t="s">
        <v>2885</v>
      </c>
      <c r="T1024" t="s">
        <v>2886</v>
      </c>
    </row>
    <row r="1025" spans="1:20">
      <c r="A1025" s="241">
        <v>44001</v>
      </c>
      <c r="B1025" t="s">
        <v>5434</v>
      </c>
      <c r="C1025" t="s">
        <v>274</v>
      </c>
      <c r="D1025" t="s">
        <v>207</v>
      </c>
      <c r="E1025" t="s">
        <v>225</v>
      </c>
      <c r="F1025" t="s">
        <v>689</v>
      </c>
      <c r="G1025" t="s">
        <v>1590</v>
      </c>
      <c r="H1025" t="s">
        <v>295</v>
      </c>
      <c r="I1025" t="s">
        <v>690</v>
      </c>
      <c r="J1025" t="s">
        <v>1141</v>
      </c>
      <c r="K1025" t="s">
        <v>418</v>
      </c>
      <c r="L1025">
        <v>0.86</v>
      </c>
      <c r="M1025" t="s">
        <v>5435</v>
      </c>
      <c r="N1025" t="s">
        <v>5436</v>
      </c>
      <c r="O1025" t="s">
        <v>5437</v>
      </c>
      <c r="P1025" t="s">
        <v>485</v>
      </c>
      <c r="Q1025" t="s">
        <v>4921</v>
      </c>
      <c r="R1025" t="s">
        <v>4922</v>
      </c>
      <c r="S1025" t="s">
        <v>2885</v>
      </c>
      <c r="T1025" t="s">
        <v>2886</v>
      </c>
    </row>
    <row r="1026" spans="1:20">
      <c r="A1026" s="241">
        <v>44001</v>
      </c>
      <c r="B1026" t="s">
        <v>5438</v>
      </c>
      <c r="C1026" t="s">
        <v>442</v>
      </c>
      <c r="D1026" t="s">
        <v>274</v>
      </c>
      <c r="E1026" t="s">
        <v>632</v>
      </c>
      <c r="F1026" t="s">
        <v>689</v>
      </c>
      <c r="G1026" t="s">
        <v>1568</v>
      </c>
      <c r="H1026" t="s">
        <v>1574</v>
      </c>
      <c r="I1026" t="s">
        <v>1579</v>
      </c>
      <c r="J1026" t="s">
        <v>397</v>
      </c>
      <c r="K1026" t="s">
        <v>666</v>
      </c>
      <c r="L1026">
        <v>0.86</v>
      </c>
      <c r="M1026" t="s">
        <v>5439</v>
      </c>
      <c r="N1026" t="s">
        <v>5440</v>
      </c>
      <c r="O1026" t="s">
        <v>5441</v>
      </c>
      <c r="P1026" t="s">
        <v>485</v>
      </c>
      <c r="Q1026" t="s">
        <v>4921</v>
      </c>
      <c r="R1026" t="s">
        <v>4922</v>
      </c>
      <c r="S1026" t="s">
        <v>2885</v>
      </c>
      <c r="T1026" t="s">
        <v>2886</v>
      </c>
    </row>
    <row r="1027" spans="1:20">
      <c r="A1027" s="241">
        <v>44001</v>
      </c>
      <c r="B1027" t="s">
        <v>5442</v>
      </c>
      <c r="C1027" t="s">
        <v>510</v>
      </c>
      <c r="D1027" t="s">
        <v>274</v>
      </c>
      <c r="E1027" t="s">
        <v>680</v>
      </c>
      <c r="F1027" t="s">
        <v>1315</v>
      </c>
      <c r="G1027" t="s">
        <v>925</v>
      </c>
      <c r="H1027" t="s">
        <v>713</v>
      </c>
      <c r="I1027" t="s">
        <v>1923</v>
      </c>
      <c r="J1027" t="s">
        <v>1304</v>
      </c>
      <c r="K1027" t="s">
        <v>369</v>
      </c>
      <c r="L1027">
        <v>0.86</v>
      </c>
      <c r="M1027" t="s">
        <v>5443</v>
      </c>
      <c r="N1027" t="s">
        <v>5444</v>
      </c>
      <c r="O1027" t="s">
        <v>5445</v>
      </c>
      <c r="P1027" t="s">
        <v>485</v>
      </c>
      <c r="Q1027" t="s">
        <v>4921</v>
      </c>
      <c r="R1027" t="s">
        <v>4922</v>
      </c>
      <c r="S1027" t="s">
        <v>2885</v>
      </c>
      <c r="T1027" t="s">
        <v>2886</v>
      </c>
    </row>
    <row r="1028" spans="1:20">
      <c r="A1028" s="241">
        <v>44001</v>
      </c>
      <c r="B1028" t="s">
        <v>5446</v>
      </c>
      <c r="C1028" t="s">
        <v>442</v>
      </c>
      <c r="D1028" t="s">
        <v>614</v>
      </c>
      <c r="E1028" t="s">
        <v>443</v>
      </c>
      <c r="F1028" t="s">
        <v>403</v>
      </c>
      <c r="G1028" t="s">
        <v>1133</v>
      </c>
      <c r="H1028" t="s">
        <v>706</v>
      </c>
      <c r="I1028" t="s">
        <v>406</v>
      </c>
      <c r="J1028" t="s">
        <v>407</v>
      </c>
      <c r="K1028" t="s">
        <v>408</v>
      </c>
      <c r="L1028">
        <v>0.86</v>
      </c>
      <c r="M1028" t="s">
        <v>5447</v>
      </c>
      <c r="N1028" t="s">
        <v>5448</v>
      </c>
      <c r="O1028" t="s">
        <v>5449</v>
      </c>
      <c r="P1028" t="s">
        <v>485</v>
      </c>
      <c r="Q1028" t="s">
        <v>4921</v>
      </c>
      <c r="R1028" t="s">
        <v>4922</v>
      </c>
      <c r="S1028" t="s">
        <v>2885</v>
      </c>
      <c r="T1028" t="s">
        <v>2886</v>
      </c>
    </row>
    <row r="1029" spans="1:20">
      <c r="A1029" s="241">
        <v>44001</v>
      </c>
      <c r="B1029" t="s">
        <v>5450</v>
      </c>
      <c r="C1029" t="s">
        <v>614</v>
      </c>
      <c r="D1029" t="s">
        <v>249</v>
      </c>
      <c r="E1029" t="s">
        <v>238</v>
      </c>
      <c r="F1029" t="s">
        <v>952</v>
      </c>
      <c r="G1029" t="s">
        <v>1605</v>
      </c>
      <c r="H1029" t="s">
        <v>435</v>
      </c>
      <c r="I1029" t="s">
        <v>427</v>
      </c>
      <c r="J1029" t="s">
        <v>417</v>
      </c>
      <c r="K1029" t="s">
        <v>428</v>
      </c>
      <c r="L1029">
        <v>0.86</v>
      </c>
      <c r="M1029" t="s">
        <v>5451</v>
      </c>
      <c r="N1029" t="s">
        <v>5452</v>
      </c>
      <c r="O1029" t="s">
        <v>5453</v>
      </c>
      <c r="P1029" t="s">
        <v>485</v>
      </c>
      <c r="Q1029" t="s">
        <v>4921</v>
      </c>
      <c r="R1029" t="s">
        <v>4922</v>
      </c>
      <c r="S1029" t="s">
        <v>2885</v>
      </c>
      <c r="T1029" t="s">
        <v>2886</v>
      </c>
    </row>
    <row r="1030" spans="1:20">
      <c r="A1030" s="241">
        <v>44001</v>
      </c>
      <c r="B1030" t="s">
        <v>5454</v>
      </c>
      <c r="C1030" t="s">
        <v>423</v>
      </c>
      <c r="D1030" t="s">
        <v>274</v>
      </c>
      <c r="E1030" t="s">
        <v>597</v>
      </c>
      <c r="F1030" t="s">
        <v>1945</v>
      </c>
      <c r="G1030" t="s">
        <v>925</v>
      </c>
      <c r="H1030" t="s">
        <v>713</v>
      </c>
      <c r="I1030" t="s">
        <v>939</v>
      </c>
      <c r="J1030" t="s">
        <v>437</v>
      </c>
      <c r="K1030" t="s">
        <v>418</v>
      </c>
      <c r="L1030">
        <v>0.86</v>
      </c>
      <c r="M1030" t="s">
        <v>5455</v>
      </c>
      <c r="N1030" t="s">
        <v>5456</v>
      </c>
      <c r="O1030" t="s">
        <v>5457</v>
      </c>
      <c r="P1030" t="s">
        <v>485</v>
      </c>
      <c r="Q1030" t="s">
        <v>4921</v>
      </c>
      <c r="R1030" t="s">
        <v>4922</v>
      </c>
      <c r="S1030" t="s">
        <v>2885</v>
      </c>
      <c r="T1030" t="s">
        <v>2886</v>
      </c>
    </row>
    <row r="1031" spans="1:20">
      <c r="A1031" s="241">
        <v>44001</v>
      </c>
      <c r="B1031" t="s">
        <v>5458</v>
      </c>
      <c r="C1031" t="s">
        <v>273</v>
      </c>
      <c r="D1031" t="s">
        <v>2811</v>
      </c>
      <c r="E1031" t="s">
        <v>1079</v>
      </c>
      <c r="F1031" t="s">
        <v>3471</v>
      </c>
      <c r="G1031" t="s">
        <v>5459</v>
      </c>
      <c r="H1031" t="s">
        <v>748</v>
      </c>
      <c r="I1031" t="s">
        <v>5460</v>
      </c>
      <c r="J1031" t="s">
        <v>5461</v>
      </c>
      <c r="K1031" t="s">
        <v>5462</v>
      </c>
      <c r="L1031">
        <v>0.88</v>
      </c>
      <c r="M1031" t="s">
        <v>5463</v>
      </c>
      <c r="N1031" t="s">
        <v>5464</v>
      </c>
      <c r="O1031" t="s">
        <v>5465</v>
      </c>
      <c r="P1031" t="s">
        <v>485</v>
      </c>
      <c r="Q1031" t="s">
        <v>4921</v>
      </c>
      <c r="R1031" t="s">
        <v>4922</v>
      </c>
      <c r="S1031" t="s">
        <v>2885</v>
      </c>
      <c r="T1031" t="s">
        <v>2886</v>
      </c>
    </row>
    <row r="1032" spans="1:20">
      <c r="A1032" s="241">
        <v>44001</v>
      </c>
      <c r="B1032" t="s">
        <v>5466</v>
      </c>
      <c r="C1032" t="s">
        <v>747</v>
      </c>
      <c r="D1032" t="s">
        <v>462</v>
      </c>
      <c r="E1032" t="s">
        <v>262</v>
      </c>
      <c r="F1032" t="s">
        <v>748</v>
      </c>
      <c r="G1032" t="s">
        <v>5467</v>
      </c>
      <c r="H1032" t="s">
        <v>5468</v>
      </c>
      <c r="I1032" t="s">
        <v>5469</v>
      </c>
      <c r="J1032" t="s">
        <v>3140</v>
      </c>
      <c r="K1032" t="s">
        <v>2435</v>
      </c>
      <c r="L1032">
        <v>0.89</v>
      </c>
      <c r="M1032" t="s">
        <v>5470</v>
      </c>
      <c r="N1032" t="s">
        <v>5471</v>
      </c>
      <c r="O1032" t="s">
        <v>5472</v>
      </c>
      <c r="P1032" t="s">
        <v>485</v>
      </c>
      <c r="Q1032" t="s">
        <v>4921</v>
      </c>
      <c r="R1032" t="s">
        <v>4922</v>
      </c>
      <c r="S1032" t="s">
        <v>2885</v>
      </c>
      <c r="T1032" t="s">
        <v>2886</v>
      </c>
    </row>
    <row r="1033" spans="1:20">
      <c r="A1033" s="241">
        <v>44001</v>
      </c>
      <c r="B1033" t="s">
        <v>5473</v>
      </c>
      <c r="C1033" t="s">
        <v>736</v>
      </c>
      <c r="D1033" t="s">
        <v>756</v>
      </c>
      <c r="E1033" t="s">
        <v>1986</v>
      </c>
      <c r="F1033" t="s">
        <v>3127</v>
      </c>
      <c r="G1033" t="s">
        <v>477</v>
      </c>
      <c r="H1033" t="s">
        <v>1649</v>
      </c>
      <c r="I1033" t="s">
        <v>5474</v>
      </c>
      <c r="J1033" t="s">
        <v>5475</v>
      </c>
      <c r="K1033" t="s">
        <v>5476</v>
      </c>
      <c r="L1033">
        <v>0.89</v>
      </c>
      <c r="M1033" t="s">
        <v>5477</v>
      </c>
      <c r="N1033" t="s">
        <v>5478</v>
      </c>
      <c r="O1033" t="s">
        <v>5479</v>
      </c>
      <c r="P1033" t="s">
        <v>485</v>
      </c>
      <c r="Q1033" t="s">
        <v>4921</v>
      </c>
      <c r="R1033" t="s">
        <v>4922</v>
      </c>
      <c r="S1033" t="s">
        <v>2885</v>
      </c>
      <c r="T1033" t="s">
        <v>2886</v>
      </c>
    </row>
    <row r="1034" spans="1:20">
      <c r="A1034" s="241">
        <v>44001</v>
      </c>
      <c r="B1034" t="s">
        <v>5480</v>
      </c>
      <c r="C1034" t="s">
        <v>487</v>
      </c>
      <c r="D1034" t="s">
        <v>1195</v>
      </c>
      <c r="E1034" t="s">
        <v>5481</v>
      </c>
      <c r="F1034" t="s">
        <v>5098</v>
      </c>
      <c r="G1034" t="s">
        <v>990</v>
      </c>
      <c r="H1034" t="s">
        <v>1657</v>
      </c>
      <c r="I1034" t="s">
        <v>5482</v>
      </c>
      <c r="J1034" t="s">
        <v>770</v>
      </c>
      <c r="K1034" t="s">
        <v>3131</v>
      </c>
      <c r="L1034">
        <v>0.89</v>
      </c>
      <c r="M1034" t="s">
        <v>5483</v>
      </c>
      <c r="N1034" t="s">
        <v>5484</v>
      </c>
      <c r="O1034" t="s">
        <v>5485</v>
      </c>
      <c r="P1034" t="s">
        <v>485</v>
      </c>
      <c r="Q1034" t="s">
        <v>4921</v>
      </c>
      <c r="R1034" t="s">
        <v>4922</v>
      </c>
      <c r="S1034" t="s">
        <v>2885</v>
      </c>
      <c r="T1034" t="s">
        <v>2886</v>
      </c>
    </row>
    <row r="1035" spans="1:20">
      <c r="A1035" s="241">
        <v>44001</v>
      </c>
      <c r="B1035" t="s">
        <v>5486</v>
      </c>
      <c r="C1035" t="s">
        <v>756</v>
      </c>
      <c r="D1035" t="s">
        <v>462</v>
      </c>
      <c r="E1035" t="s">
        <v>206</v>
      </c>
      <c r="F1035" t="s">
        <v>1667</v>
      </c>
      <c r="G1035" t="s">
        <v>990</v>
      </c>
      <c r="H1035" t="s">
        <v>5487</v>
      </c>
      <c r="I1035" t="s">
        <v>2629</v>
      </c>
      <c r="J1035" t="s">
        <v>5488</v>
      </c>
      <c r="K1035" t="s">
        <v>1650</v>
      </c>
      <c r="L1035">
        <v>0.89</v>
      </c>
      <c r="M1035" t="s">
        <v>5489</v>
      </c>
      <c r="N1035" t="s">
        <v>5490</v>
      </c>
      <c r="O1035" t="s">
        <v>5491</v>
      </c>
      <c r="P1035" t="s">
        <v>485</v>
      </c>
      <c r="Q1035" t="s">
        <v>4921</v>
      </c>
      <c r="R1035" t="s">
        <v>4922</v>
      </c>
      <c r="S1035" t="s">
        <v>2885</v>
      </c>
      <c r="T1035" t="s">
        <v>2886</v>
      </c>
    </row>
    <row r="1036" spans="1:20">
      <c r="A1036" s="241">
        <v>44001</v>
      </c>
      <c r="B1036" t="s">
        <v>5492</v>
      </c>
      <c r="C1036" t="s">
        <v>236</v>
      </c>
      <c r="D1036" t="s">
        <v>442</v>
      </c>
      <c r="E1036" t="s">
        <v>556</v>
      </c>
      <c r="F1036" t="s">
        <v>241</v>
      </c>
      <c r="G1036" t="s">
        <v>5493</v>
      </c>
      <c r="H1036" t="s">
        <v>4376</v>
      </c>
      <c r="I1036" t="s">
        <v>3840</v>
      </c>
      <c r="J1036" t="s">
        <v>3154</v>
      </c>
      <c r="K1036" t="s">
        <v>524</v>
      </c>
      <c r="L1036">
        <v>0.87</v>
      </c>
      <c r="M1036" t="s">
        <v>5494</v>
      </c>
      <c r="N1036" t="s">
        <v>5495</v>
      </c>
      <c r="O1036" t="s">
        <v>5496</v>
      </c>
      <c r="P1036" t="s">
        <v>485</v>
      </c>
      <c r="Q1036" t="s">
        <v>4921</v>
      </c>
      <c r="R1036" t="s">
        <v>4922</v>
      </c>
      <c r="S1036" t="s">
        <v>2885</v>
      </c>
      <c r="T1036" t="s">
        <v>2886</v>
      </c>
    </row>
    <row r="1037" spans="1:20">
      <c r="A1037" s="241">
        <v>44001</v>
      </c>
      <c r="B1037" t="s">
        <v>5497</v>
      </c>
      <c r="C1037" t="s">
        <v>510</v>
      </c>
      <c r="D1037" t="s">
        <v>224</v>
      </c>
      <c r="E1037" t="s">
        <v>225</v>
      </c>
      <c r="F1037" t="s">
        <v>2010</v>
      </c>
      <c r="G1037" t="s">
        <v>2023</v>
      </c>
      <c r="H1037" t="s">
        <v>2456</v>
      </c>
      <c r="I1037" t="s">
        <v>513</v>
      </c>
      <c r="J1037" t="s">
        <v>514</v>
      </c>
      <c r="K1037" t="s">
        <v>515</v>
      </c>
      <c r="L1037">
        <v>0.87</v>
      </c>
      <c r="M1037" t="s">
        <v>5498</v>
      </c>
      <c r="N1037" t="s">
        <v>5499</v>
      </c>
      <c r="O1037" t="s">
        <v>5500</v>
      </c>
      <c r="P1037" t="s">
        <v>485</v>
      </c>
      <c r="Q1037" t="s">
        <v>4921</v>
      </c>
      <c r="R1037" t="s">
        <v>4922</v>
      </c>
      <c r="S1037" t="s">
        <v>2885</v>
      </c>
      <c r="T1037" t="s">
        <v>2886</v>
      </c>
    </row>
    <row r="1038" spans="1:20">
      <c r="A1038" s="241">
        <v>44001</v>
      </c>
      <c r="B1038" t="s">
        <v>5501</v>
      </c>
      <c r="C1038" t="s">
        <v>207</v>
      </c>
      <c r="D1038" t="s">
        <v>206</v>
      </c>
      <c r="E1038" t="s">
        <v>225</v>
      </c>
      <c r="F1038" t="s">
        <v>2010</v>
      </c>
      <c r="G1038" t="s">
        <v>5502</v>
      </c>
      <c r="H1038" t="s">
        <v>2456</v>
      </c>
      <c r="I1038" t="s">
        <v>1698</v>
      </c>
      <c r="J1038" t="s">
        <v>514</v>
      </c>
      <c r="K1038" t="s">
        <v>1012</v>
      </c>
      <c r="L1038">
        <v>0.87</v>
      </c>
      <c r="M1038" t="s">
        <v>5503</v>
      </c>
      <c r="N1038" t="s">
        <v>5504</v>
      </c>
      <c r="O1038" t="s">
        <v>5505</v>
      </c>
      <c r="P1038" t="s">
        <v>485</v>
      </c>
      <c r="Q1038" t="s">
        <v>4921</v>
      </c>
      <c r="R1038" t="s">
        <v>4922</v>
      </c>
      <c r="S1038" t="s">
        <v>2885</v>
      </c>
      <c r="T1038" t="s">
        <v>2886</v>
      </c>
    </row>
    <row r="1039" spans="1:20">
      <c r="A1039" s="241">
        <v>44001</v>
      </c>
      <c r="B1039" t="s">
        <v>5506</v>
      </c>
      <c r="C1039" t="s">
        <v>262</v>
      </c>
      <c r="D1039" t="s">
        <v>1877</v>
      </c>
      <c r="E1039" t="s">
        <v>382</v>
      </c>
      <c r="F1039" t="s">
        <v>1257</v>
      </c>
      <c r="G1039" t="s">
        <v>4928</v>
      </c>
      <c r="H1039" t="s">
        <v>1679</v>
      </c>
      <c r="I1039" t="s">
        <v>1686</v>
      </c>
      <c r="J1039" t="s">
        <v>1699</v>
      </c>
      <c r="K1039" t="s">
        <v>524</v>
      </c>
      <c r="L1039">
        <v>0.87</v>
      </c>
      <c r="M1039" t="s">
        <v>5507</v>
      </c>
      <c r="N1039" t="s">
        <v>5508</v>
      </c>
      <c r="O1039" t="s">
        <v>5509</v>
      </c>
      <c r="P1039" t="s">
        <v>485</v>
      </c>
      <c r="Q1039" t="s">
        <v>4921</v>
      </c>
      <c r="R1039" t="s">
        <v>4922</v>
      </c>
      <c r="S1039" t="s">
        <v>2885</v>
      </c>
      <c r="T1039" t="s">
        <v>2886</v>
      </c>
    </row>
    <row r="1040" spans="1:20">
      <c r="A1040" s="241">
        <v>44001</v>
      </c>
      <c r="B1040" t="s">
        <v>5510</v>
      </c>
      <c r="C1040" t="s">
        <v>206</v>
      </c>
      <c r="D1040" t="s">
        <v>510</v>
      </c>
      <c r="E1040" t="s">
        <v>402</v>
      </c>
      <c r="F1040" t="s">
        <v>209</v>
      </c>
      <c r="G1040" t="s">
        <v>4170</v>
      </c>
      <c r="H1040" t="s">
        <v>5511</v>
      </c>
      <c r="I1040" t="s">
        <v>1010</v>
      </c>
      <c r="J1040" t="s">
        <v>514</v>
      </c>
      <c r="K1040" t="s">
        <v>1399</v>
      </c>
      <c r="L1040">
        <v>0.86</v>
      </c>
      <c r="M1040" t="s">
        <v>5512</v>
      </c>
      <c r="N1040" t="s">
        <v>5513</v>
      </c>
      <c r="O1040" t="s">
        <v>5514</v>
      </c>
      <c r="P1040" t="s">
        <v>485</v>
      </c>
      <c r="Q1040" t="s">
        <v>4921</v>
      </c>
      <c r="R1040" t="s">
        <v>4922</v>
      </c>
      <c r="S1040" t="s">
        <v>2885</v>
      </c>
      <c r="T1040" t="s">
        <v>2886</v>
      </c>
    </row>
    <row r="1041" spans="1:20">
      <c r="A1041" s="241">
        <v>44001</v>
      </c>
      <c r="B1041" t="s">
        <v>5515</v>
      </c>
      <c r="C1041" t="s">
        <v>1377</v>
      </c>
      <c r="D1041" t="s">
        <v>224</v>
      </c>
      <c r="E1041" t="s">
        <v>250</v>
      </c>
      <c r="F1041" t="s">
        <v>1453</v>
      </c>
      <c r="G1041" t="s">
        <v>5516</v>
      </c>
      <c r="H1041" t="s">
        <v>2456</v>
      </c>
      <c r="I1041" t="s">
        <v>1686</v>
      </c>
      <c r="J1041" t="s">
        <v>514</v>
      </c>
      <c r="K1041" t="s">
        <v>534</v>
      </c>
      <c r="L1041">
        <v>0.87</v>
      </c>
      <c r="M1041" t="s">
        <v>5517</v>
      </c>
      <c r="N1041" t="s">
        <v>5518</v>
      </c>
      <c r="O1041" t="s">
        <v>5519</v>
      </c>
      <c r="P1041" t="s">
        <v>485</v>
      </c>
      <c r="Q1041" t="s">
        <v>4921</v>
      </c>
      <c r="R1041" t="s">
        <v>4922</v>
      </c>
      <c r="S1041" t="s">
        <v>2885</v>
      </c>
      <c r="T1041" t="s">
        <v>2886</v>
      </c>
    </row>
    <row r="1042" spans="1:20">
      <c r="A1042" s="241">
        <v>44001</v>
      </c>
      <c r="B1042" t="s">
        <v>5520</v>
      </c>
      <c r="C1042" t="s">
        <v>249</v>
      </c>
      <c r="D1042" t="s">
        <v>273</v>
      </c>
      <c r="E1042" t="s">
        <v>443</v>
      </c>
      <c r="F1042" t="s">
        <v>529</v>
      </c>
      <c r="G1042" t="s">
        <v>1389</v>
      </c>
      <c r="H1042" t="s">
        <v>1018</v>
      </c>
      <c r="I1042" t="s">
        <v>1019</v>
      </c>
      <c r="J1042" t="s">
        <v>1710</v>
      </c>
      <c r="K1042" t="s">
        <v>231</v>
      </c>
      <c r="L1042">
        <v>0.87</v>
      </c>
      <c r="M1042" t="s">
        <v>5521</v>
      </c>
      <c r="N1042" t="s">
        <v>5522</v>
      </c>
      <c r="O1042" t="s">
        <v>5523</v>
      </c>
      <c r="P1042" t="s">
        <v>485</v>
      </c>
      <c r="Q1042" t="s">
        <v>4921</v>
      </c>
      <c r="R1042" t="s">
        <v>4922</v>
      </c>
      <c r="S1042" t="s">
        <v>2885</v>
      </c>
      <c r="T1042" t="s">
        <v>2886</v>
      </c>
    </row>
    <row r="1043" spans="1:20">
      <c r="A1043" s="241">
        <v>44001</v>
      </c>
      <c r="B1043" t="s">
        <v>5524</v>
      </c>
      <c r="C1043" t="s">
        <v>224</v>
      </c>
      <c r="D1043" t="s">
        <v>237</v>
      </c>
      <c r="E1043" t="s">
        <v>1079</v>
      </c>
      <c r="F1043" t="s">
        <v>608</v>
      </c>
      <c r="G1043" t="s">
        <v>511</v>
      </c>
      <c r="H1043" t="s">
        <v>787</v>
      </c>
      <c r="I1043" t="s">
        <v>793</v>
      </c>
      <c r="J1043" t="s">
        <v>533</v>
      </c>
      <c r="K1043" t="s">
        <v>231</v>
      </c>
      <c r="L1043">
        <v>0.87</v>
      </c>
      <c r="M1043" t="s">
        <v>5525</v>
      </c>
      <c r="N1043" t="s">
        <v>5526</v>
      </c>
      <c r="O1043" t="s">
        <v>5527</v>
      </c>
      <c r="P1043" t="s">
        <v>485</v>
      </c>
      <c r="Q1043" t="s">
        <v>4921</v>
      </c>
      <c r="R1043" t="s">
        <v>4922</v>
      </c>
      <c r="S1043" t="s">
        <v>2885</v>
      </c>
      <c r="T1043" t="s">
        <v>2886</v>
      </c>
    </row>
    <row r="1044" spans="1:20">
      <c r="A1044" s="241">
        <v>44001</v>
      </c>
      <c r="B1044" t="s">
        <v>5528</v>
      </c>
      <c r="C1044" t="s">
        <v>1877</v>
      </c>
      <c r="D1044" t="s">
        <v>294</v>
      </c>
      <c r="E1044" t="s">
        <v>208</v>
      </c>
      <c r="F1044" t="s">
        <v>1231</v>
      </c>
      <c r="G1044" t="s">
        <v>1398</v>
      </c>
      <c r="H1044" t="s">
        <v>521</v>
      </c>
      <c r="I1044" t="s">
        <v>1226</v>
      </c>
      <c r="J1044" t="s">
        <v>1026</v>
      </c>
      <c r="K1044" t="s">
        <v>214</v>
      </c>
      <c r="L1044">
        <v>0.87</v>
      </c>
      <c r="M1044" t="s">
        <v>5529</v>
      </c>
      <c r="N1044" t="s">
        <v>5530</v>
      </c>
      <c r="O1044" t="s">
        <v>5531</v>
      </c>
      <c r="P1044" t="s">
        <v>485</v>
      </c>
      <c r="Q1044" t="s">
        <v>4921</v>
      </c>
      <c r="R1044" t="s">
        <v>4922</v>
      </c>
      <c r="S1044" t="s">
        <v>2885</v>
      </c>
      <c r="T1044" t="s">
        <v>2886</v>
      </c>
    </row>
    <row r="1045" spans="1:20">
      <c r="A1045" s="241">
        <v>44001</v>
      </c>
      <c r="B1045" t="s">
        <v>5532</v>
      </c>
      <c r="C1045" t="s">
        <v>262</v>
      </c>
      <c r="D1045" t="s">
        <v>236</v>
      </c>
      <c r="E1045" t="s">
        <v>250</v>
      </c>
      <c r="F1045" t="s">
        <v>529</v>
      </c>
      <c r="G1045" t="s">
        <v>530</v>
      </c>
      <c r="H1045" t="s">
        <v>521</v>
      </c>
      <c r="I1045" t="s">
        <v>1226</v>
      </c>
      <c r="J1045" t="s">
        <v>1026</v>
      </c>
      <c r="K1045" t="s">
        <v>214</v>
      </c>
      <c r="L1045">
        <v>0.87</v>
      </c>
      <c r="M1045" t="s">
        <v>5533</v>
      </c>
      <c r="N1045" t="s">
        <v>5534</v>
      </c>
      <c r="O1045" t="s">
        <v>5535</v>
      </c>
      <c r="P1045" t="s">
        <v>485</v>
      </c>
      <c r="Q1045" t="s">
        <v>4921</v>
      </c>
      <c r="R1045" t="s">
        <v>4922</v>
      </c>
      <c r="S1045" t="s">
        <v>2885</v>
      </c>
      <c r="T1045" t="s">
        <v>2886</v>
      </c>
    </row>
    <row r="1046" spans="1:20">
      <c r="A1046" s="241">
        <v>44001</v>
      </c>
      <c r="B1046" t="s">
        <v>5536</v>
      </c>
      <c r="C1046" t="s">
        <v>223</v>
      </c>
      <c r="D1046" t="s">
        <v>223</v>
      </c>
      <c r="E1046" t="s">
        <v>250</v>
      </c>
      <c r="F1046" t="s">
        <v>1069</v>
      </c>
      <c r="G1046" t="s">
        <v>1008</v>
      </c>
      <c r="H1046" t="s">
        <v>815</v>
      </c>
      <c r="I1046" t="s">
        <v>1232</v>
      </c>
      <c r="J1046" t="s">
        <v>1428</v>
      </c>
      <c r="K1046" t="s">
        <v>579</v>
      </c>
      <c r="L1046">
        <v>0.87</v>
      </c>
      <c r="M1046" t="s">
        <v>5537</v>
      </c>
      <c r="N1046" t="s">
        <v>5538</v>
      </c>
      <c r="O1046" t="s">
        <v>5539</v>
      </c>
      <c r="P1046" t="s">
        <v>485</v>
      </c>
      <c r="Q1046" t="s">
        <v>4921</v>
      </c>
      <c r="R1046" t="s">
        <v>4922</v>
      </c>
      <c r="S1046" t="s">
        <v>2885</v>
      </c>
      <c r="T1046" t="s">
        <v>2886</v>
      </c>
    </row>
    <row r="1047" spans="1:20">
      <c r="A1047" s="241">
        <v>44001</v>
      </c>
      <c r="B1047" t="s">
        <v>5540</v>
      </c>
      <c r="C1047" t="s">
        <v>223</v>
      </c>
      <c r="D1047" t="s">
        <v>510</v>
      </c>
      <c r="E1047" t="s">
        <v>343</v>
      </c>
      <c r="F1047" t="s">
        <v>822</v>
      </c>
      <c r="G1047" t="s">
        <v>520</v>
      </c>
      <c r="H1047" t="s">
        <v>1716</v>
      </c>
      <c r="I1047" t="s">
        <v>1421</v>
      </c>
      <c r="J1047" t="s">
        <v>213</v>
      </c>
      <c r="K1047" t="s">
        <v>244</v>
      </c>
      <c r="L1047">
        <v>0.87</v>
      </c>
      <c r="M1047" t="s">
        <v>5541</v>
      </c>
      <c r="N1047" t="s">
        <v>5542</v>
      </c>
      <c r="O1047" t="s">
        <v>5543</v>
      </c>
      <c r="P1047" t="s">
        <v>485</v>
      </c>
      <c r="Q1047" t="s">
        <v>4921</v>
      </c>
      <c r="R1047" t="s">
        <v>4922</v>
      </c>
      <c r="S1047" t="s">
        <v>2885</v>
      </c>
      <c r="T1047" t="s">
        <v>2886</v>
      </c>
    </row>
    <row r="1048" spans="1:20">
      <c r="A1048" s="241">
        <v>44001</v>
      </c>
      <c r="B1048" t="s">
        <v>5544</v>
      </c>
      <c r="C1048" t="s">
        <v>207</v>
      </c>
      <c r="D1048" t="s">
        <v>423</v>
      </c>
      <c r="E1048" t="s">
        <v>208</v>
      </c>
      <c r="F1048" t="s">
        <v>1478</v>
      </c>
      <c r="G1048" t="s">
        <v>1725</v>
      </c>
      <c r="H1048" t="s">
        <v>549</v>
      </c>
      <c r="I1048" t="s">
        <v>1727</v>
      </c>
      <c r="J1048" t="s">
        <v>1428</v>
      </c>
      <c r="K1048" t="s">
        <v>214</v>
      </c>
      <c r="L1048">
        <v>0.87</v>
      </c>
      <c r="M1048" t="s">
        <v>5545</v>
      </c>
      <c r="N1048" t="s">
        <v>5546</v>
      </c>
      <c r="O1048" t="s">
        <v>5547</v>
      </c>
      <c r="P1048" t="s">
        <v>485</v>
      </c>
      <c r="Q1048" t="s">
        <v>4921</v>
      </c>
      <c r="R1048" t="s">
        <v>4922</v>
      </c>
      <c r="S1048" t="s">
        <v>2885</v>
      </c>
      <c r="T1048" t="s">
        <v>2886</v>
      </c>
    </row>
    <row r="1049" spans="1:20">
      <c r="A1049" s="241">
        <v>44001</v>
      </c>
      <c r="B1049" t="s">
        <v>5548</v>
      </c>
      <c r="C1049" t="s">
        <v>262</v>
      </c>
      <c r="D1049" t="s">
        <v>510</v>
      </c>
      <c r="E1049" t="s">
        <v>225</v>
      </c>
      <c r="F1049" t="s">
        <v>335</v>
      </c>
      <c r="G1049" t="s">
        <v>2075</v>
      </c>
      <c r="H1049" t="s">
        <v>1746</v>
      </c>
      <c r="I1049" t="s">
        <v>560</v>
      </c>
      <c r="J1049" t="s">
        <v>1245</v>
      </c>
      <c r="K1049" t="s">
        <v>244</v>
      </c>
      <c r="L1049">
        <v>0.86</v>
      </c>
      <c r="M1049" t="s">
        <v>5549</v>
      </c>
      <c r="N1049" t="s">
        <v>5550</v>
      </c>
      <c r="O1049" t="s">
        <v>5551</v>
      </c>
      <c r="P1049" t="s">
        <v>485</v>
      </c>
      <c r="Q1049" t="s">
        <v>4921</v>
      </c>
      <c r="R1049" t="s">
        <v>4922</v>
      </c>
      <c r="S1049" t="s">
        <v>2885</v>
      </c>
      <c r="T1049" t="s">
        <v>2886</v>
      </c>
    </row>
    <row r="1050" spans="1:20">
      <c r="A1050" s="241">
        <v>44001</v>
      </c>
      <c r="B1050" t="s">
        <v>5552</v>
      </c>
      <c r="C1050" t="s">
        <v>223</v>
      </c>
      <c r="D1050" t="s">
        <v>261</v>
      </c>
      <c r="E1050" t="s">
        <v>2549</v>
      </c>
      <c r="F1050" t="s">
        <v>557</v>
      </c>
      <c r="G1050" t="s">
        <v>548</v>
      </c>
      <c r="H1050" t="s">
        <v>776</v>
      </c>
      <c r="I1050" t="s">
        <v>1421</v>
      </c>
      <c r="J1050" t="s">
        <v>817</v>
      </c>
      <c r="K1050" t="s">
        <v>299</v>
      </c>
      <c r="L1050">
        <v>0.87</v>
      </c>
      <c r="M1050" t="s">
        <v>5553</v>
      </c>
      <c r="N1050" t="s">
        <v>5554</v>
      </c>
      <c r="O1050" t="s">
        <v>5555</v>
      </c>
      <c r="P1050" t="s">
        <v>485</v>
      </c>
      <c r="Q1050" t="s">
        <v>4921</v>
      </c>
      <c r="R1050" t="s">
        <v>4922</v>
      </c>
      <c r="S1050" t="s">
        <v>2885</v>
      </c>
      <c r="T1050" t="s">
        <v>2886</v>
      </c>
    </row>
    <row r="1051" spans="1:20">
      <c r="A1051" s="241">
        <v>44001</v>
      </c>
      <c r="B1051" t="s">
        <v>5556</v>
      </c>
      <c r="C1051" t="s">
        <v>207</v>
      </c>
      <c r="D1051" t="s">
        <v>274</v>
      </c>
      <c r="E1051" t="s">
        <v>1079</v>
      </c>
      <c r="F1051" t="s">
        <v>251</v>
      </c>
      <c r="G1051" t="s">
        <v>1239</v>
      </c>
      <c r="H1051" t="s">
        <v>776</v>
      </c>
      <c r="I1051" t="s">
        <v>806</v>
      </c>
      <c r="J1051" t="s">
        <v>1245</v>
      </c>
      <c r="K1051" t="s">
        <v>244</v>
      </c>
      <c r="L1051">
        <v>0.87</v>
      </c>
      <c r="M1051" t="s">
        <v>5557</v>
      </c>
      <c r="N1051" t="s">
        <v>5558</v>
      </c>
      <c r="O1051" t="s">
        <v>5559</v>
      </c>
      <c r="P1051" t="s">
        <v>485</v>
      </c>
      <c r="Q1051" t="s">
        <v>4921</v>
      </c>
      <c r="R1051" t="s">
        <v>4922</v>
      </c>
      <c r="S1051" t="s">
        <v>2885</v>
      </c>
      <c r="T1051" t="s">
        <v>2886</v>
      </c>
    </row>
    <row r="1052" spans="1:20">
      <c r="A1052" s="241">
        <v>44001</v>
      </c>
      <c r="B1052" t="s">
        <v>5560</v>
      </c>
      <c r="C1052" t="s">
        <v>206</v>
      </c>
      <c r="D1052" t="s">
        <v>224</v>
      </c>
      <c r="E1052" t="s">
        <v>402</v>
      </c>
      <c r="F1052" t="s">
        <v>822</v>
      </c>
      <c r="G1052" t="s">
        <v>1411</v>
      </c>
      <c r="H1052" t="s">
        <v>799</v>
      </c>
      <c r="I1052" t="s">
        <v>1747</v>
      </c>
      <c r="J1052" t="s">
        <v>807</v>
      </c>
      <c r="K1052" t="s">
        <v>579</v>
      </c>
      <c r="L1052">
        <v>0.87</v>
      </c>
      <c r="M1052" t="s">
        <v>5561</v>
      </c>
      <c r="N1052" t="s">
        <v>5562</v>
      </c>
      <c r="O1052" t="s">
        <v>5563</v>
      </c>
      <c r="P1052" t="s">
        <v>485</v>
      </c>
      <c r="Q1052" t="s">
        <v>4921</v>
      </c>
      <c r="R1052" t="s">
        <v>4922</v>
      </c>
      <c r="S1052" t="s">
        <v>2885</v>
      </c>
      <c r="T1052" t="s">
        <v>2886</v>
      </c>
    </row>
    <row r="1053" spans="1:20">
      <c r="A1053" s="241">
        <v>44001</v>
      </c>
      <c r="B1053" t="s">
        <v>5564</v>
      </c>
      <c r="C1053" t="s">
        <v>236</v>
      </c>
      <c r="D1053" t="s">
        <v>207</v>
      </c>
      <c r="E1053" t="s">
        <v>382</v>
      </c>
      <c r="F1053" t="s">
        <v>251</v>
      </c>
      <c r="G1053" t="s">
        <v>1239</v>
      </c>
      <c r="H1053" t="s">
        <v>1746</v>
      </c>
      <c r="I1053" t="s">
        <v>242</v>
      </c>
      <c r="J1053" t="s">
        <v>230</v>
      </c>
      <c r="K1053" t="s">
        <v>299</v>
      </c>
      <c r="L1053">
        <v>0.86</v>
      </c>
      <c r="M1053" t="s">
        <v>5565</v>
      </c>
      <c r="N1053" t="s">
        <v>5566</v>
      </c>
      <c r="O1053" t="s">
        <v>5567</v>
      </c>
      <c r="P1053" t="s">
        <v>485</v>
      </c>
      <c r="Q1053" t="s">
        <v>4921</v>
      </c>
      <c r="R1053" t="s">
        <v>4922</v>
      </c>
      <c r="S1053" t="s">
        <v>2885</v>
      </c>
      <c r="T1053" t="s">
        <v>2886</v>
      </c>
    </row>
    <row r="1054" spans="1:20">
      <c r="A1054" s="241">
        <v>44001</v>
      </c>
      <c r="B1054" t="s">
        <v>5568</v>
      </c>
      <c r="C1054" t="s">
        <v>5481</v>
      </c>
      <c r="D1054" t="s">
        <v>262</v>
      </c>
      <c r="E1054" t="s">
        <v>402</v>
      </c>
      <c r="F1054" t="s">
        <v>566</v>
      </c>
      <c r="G1054" t="s">
        <v>2075</v>
      </c>
      <c r="H1054" t="s">
        <v>1746</v>
      </c>
      <c r="I1054" t="s">
        <v>242</v>
      </c>
      <c r="J1054" t="s">
        <v>825</v>
      </c>
      <c r="K1054" t="s">
        <v>268</v>
      </c>
      <c r="L1054">
        <v>0.87</v>
      </c>
      <c r="M1054" t="s">
        <v>5569</v>
      </c>
      <c r="N1054" t="s">
        <v>5570</v>
      </c>
      <c r="O1054" t="s">
        <v>5571</v>
      </c>
      <c r="P1054" t="s">
        <v>485</v>
      </c>
      <c r="Q1054" t="s">
        <v>4921</v>
      </c>
      <c r="R1054" t="s">
        <v>4922</v>
      </c>
      <c r="S1054" t="s">
        <v>2885</v>
      </c>
      <c r="T1054" t="s">
        <v>2886</v>
      </c>
    </row>
    <row r="1055" spans="1:20">
      <c r="A1055" s="241">
        <v>44001</v>
      </c>
      <c r="B1055" t="s">
        <v>5572</v>
      </c>
      <c r="C1055" t="s">
        <v>423</v>
      </c>
      <c r="D1055" t="s">
        <v>224</v>
      </c>
      <c r="E1055" t="s">
        <v>1079</v>
      </c>
      <c r="F1055" t="s">
        <v>1050</v>
      </c>
      <c r="G1055" t="s">
        <v>548</v>
      </c>
      <c r="H1055" t="s">
        <v>1746</v>
      </c>
      <c r="I1055" t="s">
        <v>242</v>
      </c>
      <c r="J1055" t="s">
        <v>230</v>
      </c>
      <c r="K1055" t="s">
        <v>299</v>
      </c>
      <c r="L1055">
        <v>0.86</v>
      </c>
      <c r="M1055" t="s">
        <v>5573</v>
      </c>
      <c r="N1055" t="s">
        <v>5574</v>
      </c>
      <c r="O1055" t="s">
        <v>5575</v>
      </c>
      <c r="P1055" t="s">
        <v>485</v>
      </c>
      <c r="Q1055" t="s">
        <v>4921</v>
      </c>
      <c r="R1055" t="s">
        <v>4922</v>
      </c>
      <c r="S1055" t="s">
        <v>2885</v>
      </c>
      <c r="T1055" t="s">
        <v>2886</v>
      </c>
    </row>
    <row r="1056" spans="1:20">
      <c r="A1056" s="241">
        <v>44001</v>
      </c>
      <c r="B1056" t="s">
        <v>5576</v>
      </c>
      <c r="C1056" t="s">
        <v>273</v>
      </c>
      <c r="D1056" t="s">
        <v>510</v>
      </c>
      <c r="E1056" t="s">
        <v>443</v>
      </c>
      <c r="F1056" t="s">
        <v>576</v>
      </c>
      <c r="G1056" t="s">
        <v>1420</v>
      </c>
      <c r="H1056" t="s">
        <v>241</v>
      </c>
      <c r="I1056" t="s">
        <v>229</v>
      </c>
      <c r="J1056" t="s">
        <v>1770</v>
      </c>
      <c r="K1056" t="s">
        <v>299</v>
      </c>
      <c r="L1056">
        <v>0.86</v>
      </c>
      <c r="M1056" t="s">
        <v>5577</v>
      </c>
      <c r="N1056" t="s">
        <v>5578</v>
      </c>
      <c r="O1056" t="s">
        <v>5579</v>
      </c>
      <c r="P1056" t="s">
        <v>485</v>
      </c>
      <c r="Q1056" t="s">
        <v>4921</v>
      </c>
      <c r="R1056" t="s">
        <v>4922</v>
      </c>
      <c r="S1056" t="s">
        <v>2885</v>
      </c>
      <c r="T1056" t="s">
        <v>2886</v>
      </c>
    </row>
    <row r="1057" spans="1:20">
      <c r="A1057" s="241">
        <v>44001</v>
      </c>
      <c r="B1057" t="s">
        <v>5580</v>
      </c>
      <c r="C1057" t="s">
        <v>273</v>
      </c>
      <c r="D1057" t="s">
        <v>510</v>
      </c>
      <c r="E1057" t="s">
        <v>2535</v>
      </c>
      <c r="F1057" t="s">
        <v>835</v>
      </c>
      <c r="G1057" t="s">
        <v>798</v>
      </c>
      <c r="H1057" t="s">
        <v>211</v>
      </c>
      <c r="I1057" t="s">
        <v>824</v>
      </c>
      <c r="J1057" t="s">
        <v>570</v>
      </c>
      <c r="K1057" t="s">
        <v>256</v>
      </c>
      <c r="L1057">
        <v>0.86</v>
      </c>
      <c r="M1057" t="s">
        <v>5581</v>
      </c>
      <c r="N1057" t="s">
        <v>5582</v>
      </c>
      <c r="O1057" t="s">
        <v>5583</v>
      </c>
      <c r="P1057" t="s">
        <v>485</v>
      </c>
      <c r="Q1057" t="s">
        <v>4921</v>
      </c>
      <c r="R1057" t="s">
        <v>4922</v>
      </c>
      <c r="S1057" t="s">
        <v>2885</v>
      </c>
      <c r="T1057" t="s">
        <v>2886</v>
      </c>
    </row>
    <row r="1058" spans="1:20">
      <c r="A1058" s="241">
        <v>44001</v>
      </c>
      <c r="B1058" t="s">
        <v>5584</v>
      </c>
      <c r="C1058" t="s">
        <v>2821</v>
      </c>
      <c r="D1058" t="s">
        <v>236</v>
      </c>
      <c r="E1058" t="s">
        <v>615</v>
      </c>
      <c r="F1058" t="s">
        <v>576</v>
      </c>
      <c r="G1058" t="s">
        <v>1745</v>
      </c>
      <c r="H1058" t="s">
        <v>1051</v>
      </c>
      <c r="I1058" t="s">
        <v>577</v>
      </c>
      <c r="J1058" t="s">
        <v>1063</v>
      </c>
      <c r="K1058" t="s">
        <v>327</v>
      </c>
      <c r="L1058">
        <v>0.87</v>
      </c>
      <c r="M1058" t="s">
        <v>5585</v>
      </c>
      <c r="N1058" t="s">
        <v>5586</v>
      </c>
      <c r="O1058" t="s">
        <v>5587</v>
      </c>
      <c r="P1058" t="s">
        <v>485</v>
      </c>
      <c r="Q1058" t="s">
        <v>4921</v>
      </c>
      <c r="R1058" t="s">
        <v>4922</v>
      </c>
      <c r="S1058" t="s">
        <v>2885</v>
      </c>
      <c r="T1058" t="s">
        <v>2886</v>
      </c>
    </row>
    <row r="1059" spans="1:20">
      <c r="A1059" s="241">
        <v>44001</v>
      </c>
      <c r="B1059" t="s">
        <v>5588</v>
      </c>
      <c r="C1059" t="s">
        <v>1877</v>
      </c>
      <c r="D1059" t="s">
        <v>223</v>
      </c>
      <c r="E1059" t="s">
        <v>343</v>
      </c>
      <c r="F1059" t="s">
        <v>385</v>
      </c>
      <c r="G1059" t="s">
        <v>1239</v>
      </c>
      <c r="H1059" t="s">
        <v>1453</v>
      </c>
      <c r="I1059" t="s">
        <v>1776</v>
      </c>
      <c r="J1059" t="s">
        <v>279</v>
      </c>
      <c r="K1059" t="s">
        <v>338</v>
      </c>
      <c r="L1059">
        <v>0.86</v>
      </c>
      <c r="M1059" t="s">
        <v>5589</v>
      </c>
      <c r="N1059" t="s">
        <v>5590</v>
      </c>
      <c r="O1059" t="s">
        <v>5591</v>
      </c>
      <c r="P1059" t="s">
        <v>485</v>
      </c>
      <c r="Q1059" t="s">
        <v>4921</v>
      </c>
      <c r="R1059" t="s">
        <v>4922</v>
      </c>
      <c r="S1059" t="s">
        <v>2885</v>
      </c>
      <c r="T1059" t="s">
        <v>2886</v>
      </c>
    </row>
    <row r="1060" spans="1:20">
      <c r="A1060" s="241">
        <v>44001</v>
      </c>
      <c r="B1060" t="s">
        <v>5592</v>
      </c>
      <c r="C1060" t="s">
        <v>3679</v>
      </c>
      <c r="D1060" t="s">
        <v>510</v>
      </c>
      <c r="E1060" t="s">
        <v>2535</v>
      </c>
      <c r="F1060" t="s">
        <v>598</v>
      </c>
      <c r="G1060" t="s">
        <v>1044</v>
      </c>
      <c r="H1060" t="s">
        <v>1704</v>
      </c>
      <c r="I1060" t="s">
        <v>838</v>
      </c>
      <c r="J1060" t="s">
        <v>289</v>
      </c>
      <c r="K1060" t="s">
        <v>338</v>
      </c>
      <c r="L1060">
        <v>0.86</v>
      </c>
      <c r="M1060" t="s">
        <v>5593</v>
      </c>
      <c r="N1060" t="s">
        <v>5594</v>
      </c>
      <c r="O1060" t="s">
        <v>5595</v>
      </c>
      <c r="P1060" t="s">
        <v>485</v>
      </c>
      <c r="Q1060" t="s">
        <v>4921</v>
      </c>
      <c r="R1060" t="s">
        <v>4922</v>
      </c>
      <c r="S1060" t="s">
        <v>2885</v>
      </c>
      <c r="T1060" t="s">
        <v>2886</v>
      </c>
    </row>
    <row r="1061" spans="1:20">
      <c r="A1061" s="241">
        <v>44001</v>
      </c>
      <c r="B1061" t="s">
        <v>5596</v>
      </c>
      <c r="C1061" t="s">
        <v>1877</v>
      </c>
      <c r="D1061" t="s">
        <v>206</v>
      </c>
      <c r="E1061" t="s">
        <v>424</v>
      </c>
      <c r="F1061" t="s">
        <v>1262</v>
      </c>
      <c r="G1061" t="s">
        <v>1256</v>
      </c>
      <c r="H1061" t="s">
        <v>1453</v>
      </c>
      <c r="I1061" t="s">
        <v>838</v>
      </c>
      <c r="J1061" t="s">
        <v>279</v>
      </c>
      <c r="K1061" t="s">
        <v>256</v>
      </c>
      <c r="L1061">
        <v>0.86</v>
      </c>
      <c r="M1061" t="s">
        <v>5597</v>
      </c>
      <c r="N1061" t="s">
        <v>5598</v>
      </c>
      <c r="O1061" t="s">
        <v>5599</v>
      </c>
      <c r="P1061" t="s">
        <v>485</v>
      </c>
      <c r="Q1061" t="s">
        <v>4921</v>
      </c>
      <c r="R1061" t="s">
        <v>4922</v>
      </c>
      <c r="S1061" t="s">
        <v>2885</v>
      </c>
      <c r="T1061" t="s">
        <v>2886</v>
      </c>
    </row>
    <row r="1062" spans="1:20">
      <c r="A1062" s="241">
        <v>44001</v>
      </c>
      <c r="B1062" t="s">
        <v>5600</v>
      </c>
      <c r="C1062" t="s">
        <v>223</v>
      </c>
      <c r="D1062" t="s">
        <v>206</v>
      </c>
      <c r="E1062" t="s">
        <v>402</v>
      </c>
      <c r="F1062" t="s">
        <v>1262</v>
      </c>
      <c r="G1062" t="s">
        <v>804</v>
      </c>
      <c r="H1062" t="s">
        <v>1704</v>
      </c>
      <c r="I1062" t="s">
        <v>577</v>
      </c>
      <c r="J1062" t="s">
        <v>578</v>
      </c>
      <c r="K1062" t="s">
        <v>299</v>
      </c>
      <c r="L1062">
        <v>0.86</v>
      </c>
      <c r="M1062" t="s">
        <v>5601</v>
      </c>
      <c r="N1062" t="s">
        <v>5602</v>
      </c>
      <c r="O1062" t="s">
        <v>5603</v>
      </c>
      <c r="P1062" t="s">
        <v>485</v>
      </c>
      <c r="Q1062" t="s">
        <v>4921</v>
      </c>
      <c r="R1062" t="s">
        <v>4922</v>
      </c>
      <c r="S1062" t="s">
        <v>2885</v>
      </c>
      <c r="T1062" t="s">
        <v>2886</v>
      </c>
    </row>
    <row r="1063" spans="1:20">
      <c r="A1063" s="241">
        <v>44001</v>
      </c>
      <c r="B1063" t="s">
        <v>5604</v>
      </c>
      <c r="C1063" t="s">
        <v>5481</v>
      </c>
      <c r="D1063" t="s">
        <v>237</v>
      </c>
      <c r="E1063" t="s">
        <v>2535</v>
      </c>
      <c r="F1063" t="s">
        <v>1291</v>
      </c>
      <c r="G1063" t="s">
        <v>276</v>
      </c>
      <c r="H1063" t="s">
        <v>287</v>
      </c>
      <c r="I1063" t="s">
        <v>849</v>
      </c>
      <c r="J1063" t="s">
        <v>298</v>
      </c>
      <c r="K1063" t="s">
        <v>268</v>
      </c>
      <c r="L1063">
        <v>0.86</v>
      </c>
      <c r="M1063" t="s">
        <v>5605</v>
      </c>
      <c r="N1063" t="s">
        <v>5606</v>
      </c>
      <c r="O1063" t="s">
        <v>5607</v>
      </c>
      <c r="P1063" t="s">
        <v>485</v>
      </c>
      <c r="Q1063" t="s">
        <v>4921</v>
      </c>
      <c r="R1063" t="s">
        <v>4922</v>
      </c>
      <c r="S1063" t="s">
        <v>2885</v>
      </c>
      <c r="T1063" t="s">
        <v>2886</v>
      </c>
    </row>
    <row r="1064" spans="1:20">
      <c r="A1064" s="241">
        <v>44001</v>
      </c>
      <c r="B1064" t="s">
        <v>5608</v>
      </c>
      <c r="C1064" t="s">
        <v>510</v>
      </c>
      <c r="D1064" t="s">
        <v>262</v>
      </c>
      <c r="E1064" t="s">
        <v>238</v>
      </c>
      <c r="F1064" t="s">
        <v>1291</v>
      </c>
      <c r="G1064" t="s">
        <v>558</v>
      </c>
      <c r="H1064" t="s">
        <v>837</v>
      </c>
      <c r="I1064" t="s">
        <v>1264</v>
      </c>
      <c r="J1064" t="s">
        <v>289</v>
      </c>
      <c r="K1064" t="s">
        <v>256</v>
      </c>
      <c r="L1064">
        <v>0.86</v>
      </c>
      <c r="M1064" t="s">
        <v>5609</v>
      </c>
      <c r="N1064" t="s">
        <v>5610</v>
      </c>
      <c r="O1064" t="s">
        <v>5611</v>
      </c>
      <c r="P1064" t="s">
        <v>485</v>
      </c>
      <c r="Q1064" t="s">
        <v>4921</v>
      </c>
      <c r="R1064" t="s">
        <v>4922</v>
      </c>
      <c r="S1064" t="s">
        <v>2885</v>
      </c>
      <c r="T1064" t="s">
        <v>2886</v>
      </c>
    </row>
    <row r="1065" spans="1:20">
      <c r="A1065" s="241">
        <v>44001</v>
      </c>
      <c r="B1065" t="s">
        <v>5612</v>
      </c>
      <c r="C1065" t="s">
        <v>273</v>
      </c>
      <c r="D1065" t="s">
        <v>442</v>
      </c>
      <c r="E1065" t="s">
        <v>250</v>
      </c>
      <c r="F1065" t="s">
        <v>1080</v>
      </c>
      <c r="G1065" t="s">
        <v>1256</v>
      </c>
      <c r="H1065" t="s">
        <v>3554</v>
      </c>
      <c r="I1065" t="s">
        <v>1264</v>
      </c>
      <c r="J1065" t="s">
        <v>289</v>
      </c>
      <c r="K1065" t="s">
        <v>256</v>
      </c>
      <c r="L1065">
        <v>0.86</v>
      </c>
      <c r="M1065" t="s">
        <v>5613</v>
      </c>
      <c r="N1065" t="s">
        <v>5614</v>
      </c>
      <c r="O1065" t="s">
        <v>5615</v>
      </c>
      <c r="P1065" t="s">
        <v>485</v>
      </c>
      <c r="Q1065" t="s">
        <v>4921</v>
      </c>
      <c r="R1065" t="s">
        <v>4922</v>
      </c>
      <c r="S1065" t="s">
        <v>2885</v>
      </c>
      <c r="T1065" t="s">
        <v>2886</v>
      </c>
    </row>
    <row r="1066" spans="1:20">
      <c r="A1066" s="241">
        <v>44001</v>
      </c>
      <c r="B1066" t="s">
        <v>5616</v>
      </c>
      <c r="C1066" t="s">
        <v>236</v>
      </c>
      <c r="D1066" t="s">
        <v>510</v>
      </c>
      <c r="E1066" t="s">
        <v>250</v>
      </c>
      <c r="F1066" t="s">
        <v>295</v>
      </c>
      <c r="G1066" t="s">
        <v>1447</v>
      </c>
      <c r="H1066" t="s">
        <v>585</v>
      </c>
      <c r="I1066" t="s">
        <v>849</v>
      </c>
      <c r="J1066" t="s">
        <v>601</v>
      </c>
      <c r="K1066" t="s">
        <v>327</v>
      </c>
      <c r="L1066">
        <v>0.86</v>
      </c>
      <c r="M1066" t="s">
        <v>5617</v>
      </c>
      <c r="N1066" t="s">
        <v>5618</v>
      </c>
      <c r="O1066" t="s">
        <v>5619</v>
      </c>
      <c r="P1066" t="s">
        <v>485</v>
      </c>
      <c r="Q1066" t="s">
        <v>4921</v>
      </c>
      <c r="R1066" t="s">
        <v>4922</v>
      </c>
      <c r="S1066" t="s">
        <v>2885</v>
      </c>
      <c r="T1066" t="s">
        <v>2886</v>
      </c>
    </row>
    <row r="1067" spans="1:20">
      <c r="A1067" s="241">
        <v>44001</v>
      </c>
      <c r="B1067" t="s">
        <v>5620</v>
      </c>
      <c r="C1067" t="s">
        <v>423</v>
      </c>
      <c r="D1067" t="s">
        <v>249</v>
      </c>
      <c r="E1067" t="s">
        <v>556</v>
      </c>
      <c r="F1067" t="s">
        <v>706</v>
      </c>
      <c r="G1067" t="s">
        <v>296</v>
      </c>
      <c r="H1067" t="s">
        <v>1478</v>
      </c>
      <c r="I1067" t="s">
        <v>1082</v>
      </c>
      <c r="J1067" t="s">
        <v>1484</v>
      </c>
      <c r="K1067" t="s">
        <v>280</v>
      </c>
      <c r="L1067">
        <v>0.86</v>
      </c>
      <c r="M1067" t="s">
        <v>5621</v>
      </c>
      <c r="N1067" t="s">
        <v>5622</v>
      </c>
      <c r="O1067" t="s">
        <v>5623</v>
      </c>
      <c r="P1067" t="s">
        <v>485</v>
      </c>
      <c r="Q1067" t="s">
        <v>4921</v>
      </c>
      <c r="R1067" t="s">
        <v>4922</v>
      </c>
      <c r="S1067" t="s">
        <v>2885</v>
      </c>
      <c r="T1067" t="s">
        <v>2886</v>
      </c>
    </row>
    <row r="1068" spans="1:20">
      <c r="A1068" s="241">
        <v>44001</v>
      </c>
      <c r="B1068" t="s">
        <v>5624</v>
      </c>
      <c r="C1068" t="s">
        <v>423</v>
      </c>
      <c r="D1068" t="s">
        <v>274</v>
      </c>
      <c r="E1068" t="s">
        <v>556</v>
      </c>
      <c r="F1068" t="s">
        <v>305</v>
      </c>
      <c r="G1068" t="s">
        <v>1068</v>
      </c>
      <c r="H1068" t="s">
        <v>1274</v>
      </c>
      <c r="I1068" t="s">
        <v>308</v>
      </c>
      <c r="J1068" t="s">
        <v>1812</v>
      </c>
      <c r="K1068" t="s">
        <v>651</v>
      </c>
      <c r="L1068">
        <v>0.86</v>
      </c>
      <c r="M1068" t="s">
        <v>5625</v>
      </c>
      <c r="N1068" t="s">
        <v>5626</v>
      </c>
      <c r="O1068" t="s">
        <v>5627</v>
      </c>
      <c r="P1068" t="s">
        <v>485</v>
      </c>
      <c r="Q1068" t="s">
        <v>4921</v>
      </c>
      <c r="R1068" t="s">
        <v>4922</v>
      </c>
      <c r="S1068" t="s">
        <v>2885</v>
      </c>
      <c r="T1068" t="s">
        <v>2886</v>
      </c>
    </row>
    <row r="1069" spans="1:20">
      <c r="A1069" s="241">
        <v>44001</v>
      </c>
      <c r="B1069" t="s">
        <v>5628</v>
      </c>
      <c r="C1069" t="s">
        <v>224</v>
      </c>
      <c r="D1069" t="s">
        <v>261</v>
      </c>
      <c r="E1069" t="s">
        <v>238</v>
      </c>
      <c r="F1069" t="s">
        <v>713</v>
      </c>
      <c r="G1069" t="s">
        <v>836</v>
      </c>
      <c r="H1069" t="s">
        <v>277</v>
      </c>
      <c r="I1069" t="s">
        <v>1082</v>
      </c>
      <c r="J1069" t="s">
        <v>1484</v>
      </c>
      <c r="K1069" t="s">
        <v>280</v>
      </c>
      <c r="L1069">
        <v>0.86</v>
      </c>
      <c r="M1069" t="s">
        <v>5629</v>
      </c>
      <c r="N1069" t="s">
        <v>5630</v>
      </c>
      <c r="O1069" t="s">
        <v>5631</v>
      </c>
      <c r="P1069" t="s">
        <v>485</v>
      </c>
      <c r="Q1069" t="s">
        <v>4921</v>
      </c>
      <c r="R1069" t="s">
        <v>4922</v>
      </c>
      <c r="S1069" t="s">
        <v>2885</v>
      </c>
      <c r="T1069" t="s">
        <v>2886</v>
      </c>
    </row>
    <row r="1070" spans="1:20">
      <c r="A1070" s="241">
        <v>44001</v>
      </c>
      <c r="B1070" t="s">
        <v>5632</v>
      </c>
      <c r="C1070" t="s">
        <v>510</v>
      </c>
      <c r="D1070" t="s">
        <v>237</v>
      </c>
      <c r="E1070" t="s">
        <v>597</v>
      </c>
      <c r="F1070" t="s">
        <v>1493</v>
      </c>
      <c r="G1070" t="s">
        <v>607</v>
      </c>
      <c r="H1070" t="s">
        <v>539</v>
      </c>
      <c r="I1070" t="s">
        <v>1087</v>
      </c>
      <c r="J1070" t="s">
        <v>870</v>
      </c>
      <c r="K1070" t="s">
        <v>256</v>
      </c>
      <c r="L1070">
        <v>0.86</v>
      </c>
      <c r="M1070" t="s">
        <v>5633</v>
      </c>
      <c r="N1070" t="s">
        <v>5634</v>
      </c>
      <c r="O1070" t="s">
        <v>5635</v>
      </c>
      <c r="P1070" t="s">
        <v>485</v>
      </c>
      <c r="Q1070" t="s">
        <v>4921</v>
      </c>
      <c r="R1070" t="s">
        <v>4922</v>
      </c>
      <c r="S1070" t="s">
        <v>2885</v>
      </c>
      <c r="T1070" t="s">
        <v>2886</v>
      </c>
    </row>
    <row r="1071" spans="1:20">
      <c r="A1071" s="241">
        <v>44001</v>
      </c>
      <c r="B1071" t="s">
        <v>5636</v>
      </c>
      <c r="C1071" t="s">
        <v>206</v>
      </c>
      <c r="D1071" t="s">
        <v>237</v>
      </c>
      <c r="E1071" t="s">
        <v>1049</v>
      </c>
      <c r="F1071" t="s">
        <v>1109</v>
      </c>
      <c r="G1071" t="s">
        <v>1462</v>
      </c>
      <c r="H1071" t="s">
        <v>600</v>
      </c>
      <c r="I1071" t="s">
        <v>1087</v>
      </c>
      <c r="J1071" t="s">
        <v>870</v>
      </c>
      <c r="K1071" t="s">
        <v>268</v>
      </c>
      <c r="L1071">
        <v>0.86</v>
      </c>
      <c r="M1071" t="s">
        <v>5637</v>
      </c>
      <c r="N1071" t="s">
        <v>5638</v>
      </c>
      <c r="O1071" t="s">
        <v>5639</v>
      </c>
      <c r="P1071" t="s">
        <v>485</v>
      </c>
      <c r="Q1071" t="s">
        <v>4921</v>
      </c>
      <c r="R1071" t="s">
        <v>4922</v>
      </c>
      <c r="S1071" t="s">
        <v>2885</v>
      </c>
      <c r="T1071" t="s">
        <v>2886</v>
      </c>
    </row>
    <row r="1072" spans="1:20">
      <c r="A1072" s="241">
        <v>44001</v>
      </c>
      <c r="B1072" t="s">
        <v>5640</v>
      </c>
      <c r="C1072" t="s">
        <v>224</v>
      </c>
      <c r="D1072" t="s">
        <v>442</v>
      </c>
      <c r="E1072" t="s">
        <v>332</v>
      </c>
      <c r="F1072" t="s">
        <v>1109</v>
      </c>
      <c r="G1072" t="s">
        <v>843</v>
      </c>
      <c r="H1072" t="s">
        <v>618</v>
      </c>
      <c r="I1072" t="s">
        <v>317</v>
      </c>
      <c r="J1072" t="s">
        <v>1092</v>
      </c>
      <c r="K1072" t="s">
        <v>338</v>
      </c>
      <c r="L1072">
        <v>0.86</v>
      </c>
      <c r="M1072" t="s">
        <v>5641</v>
      </c>
      <c r="N1072" t="s">
        <v>5642</v>
      </c>
      <c r="O1072" t="s">
        <v>5643</v>
      </c>
      <c r="P1072" t="s">
        <v>485</v>
      </c>
      <c r="Q1072" t="s">
        <v>4921</v>
      </c>
      <c r="R1072" t="s">
        <v>4922</v>
      </c>
      <c r="S1072" t="s">
        <v>2885</v>
      </c>
      <c r="T1072" t="s">
        <v>2886</v>
      </c>
    </row>
    <row r="1073" spans="1:20">
      <c r="A1073" s="241">
        <v>44001</v>
      </c>
      <c r="B1073" t="s">
        <v>5644</v>
      </c>
      <c r="C1073" t="s">
        <v>273</v>
      </c>
      <c r="D1073" t="s">
        <v>206</v>
      </c>
      <c r="E1073" t="s">
        <v>631</v>
      </c>
      <c r="F1073" t="s">
        <v>435</v>
      </c>
      <c r="G1073" t="s">
        <v>1068</v>
      </c>
      <c r="H1073" t="s">
        <v>209</v>
      </c>
      <c r="I1073" t="s">
        <v>1087</v>
      </c>
      <c r="J1073" t="s">
        <v>1495</v>
      </c>
      <c r="K1073" t="s">
        <v>359</v>
      </c>
      <c r="L1073">
        <v>0.86</v>
      </c>
      <c r="M1073" t="s">
        <v>5645</v>
      </c>
      <c r="N1073" t="s">
        <v>5646</v>
      </c>
      <c r="O1073" t="s">
        <v>5647</v>
      </c>
      <c r="P1073" t="s">
        <v>485</v>
      </c>
      <c r="Q1073" t="s">
        <v>4921</v>
      </c>
      <c r="R1073" t="s">
        <v>4922</v>
      </c>
      <c r="S1073" t="s">
        <v>2885</v>
      </c>
      <c r="T1073" t="s">
        <v>2886</v>
      </c>
    </row>
    <row r="1074" spans="1:20">
      <c r="A1074" s="241">
        <v>44001</v>
      </c>
      <c r="B1074" t="s">
        <v>5648</v>
      </c>
      <c r="C1074" t="s">
        <v>206</v>
      </c>
      <c r="D1074" t="s">
        <v>207</v>
      </c>
      <c r="E1074" t="s">
        <v>2549</v>
      </c>
      <c r="F1074" t="s">
        <v>426</v>
      </c>
      <c r="G1074" t="s">
        <v>875</v>
      </c>
      <c r="H1074" t="s">
        <v>813</v>
      </c>
      <c r="I1074" t="s">
        <v>1097</v>
      </c>
      <c r="J1074" t="s">
        <v>640</v>
      </c>
      <c r="K1074" t="s">
        <v>327</v>
      </c>
      <c r="L1074">
        <v>0.86</v>
      </c>
      <c r="M1074" t="s">
        <v>5649</v>
      </c>
      <c r="N1074" t="s">
        <v>5650</v>
      </c>
      <c r="O1074" t="s">
        <v>5651</v>
      </c>
      <c r="P1074" t="s">
        <v>485</v>
      </c>
      <c r="Q1074" t="s">
        <v>4921</v>
      </c>
      <c r="R1074" t="s">
        <v>4922</v>
      </c>
      <c r="S1074" t="s">
        <v>2885</v>
      </c>
      <c r="T1074" t="s">
        <v>2886</v>
      </c>
    </row>
    <row r="1075" spans="1:20">
      <c r="A1075" s="241">
        <v>44001</v>
      </c>
      <c r="B1075" t="s">
        <v>5652</v>
      </c>
      <c r="C1075" t="s">
        <v>206</v>
      </c>
      <c r="D1075" t="s">
        <v>236</v>
      </c>
      <c r="E1075" t="s">
        <v>679</v>
      </c>
      <c r="F1075" t="s">
        <v>435</v>
      </c>
      <c r="G1075" t="s">
        <v>607</v>
      </c>
      <c r="H1075" t="s">
        <v>1478</v>
      </c>
      <c r="I1075" t="s">
        <v>1501</v>
      </c>
      <c r="J1075" t="s">
        <v>634</v>
      </c>
      <c r="K1075" t="s">
        <v>666</v>
      </c>
      <c r="L1075">
        <v>0.86</v>
      </c>
      <c r="M1075" t="s">
        <v>5653</v>
      </c>
      <c r="N1075" t="s">
        <v>5654</v>
      </c>
      <c r="O1075" t="s">
        <v>5655</v>
      </c>
      <c r="P1075" t="s">
        <v>485</v>
      </c>
      <c r="Q1075" t="s">
        <v>4921</v>
      </c>
      <c r="R1075" t="s">
        <v>4922</v>
      </c>
      <c r="S1075" t="s">
        <v>2885</v>
      </c>
      <c r="T1075" t="s">
        <v>2886</v>
      </c>
    </row>
    <row r="1076" spans="1:20">
      <c r="A1076" s="241">
        <v>44001</v>
      </c>
      <c r="B1076" t="s">
        <v>5656</v>
      </c>
      <c r="C1076" t="s">
        <v>423</v>
      </c>
      <c r="D1076" t="s">
        <v>614</v>
      </c>
      <c r="E1076" t="s">
        <v>343</v>
      </c>
      <c r="F1076" t="s">
        <v>383</v>
      </c>
      <c r="G1076" t="s">
        <v>1269</v>
      </c>
      <c r="H1076" t="s">
        <v>335</v>
      </c>
      <c r="I1076" t="s">
        <v>1097</v>
      </c>
      <c r="J1076" t="s">
        <v>337</v>
      </c>
      <c r="K1076" t="s">
        <v>666</v>
      </c>
      <c r="L1076">
        <v>0.86</v>
      </c>
      <c r="M1076" t="s">
        <v>5657</v>
      </c>
      <c r="N1076" t="s">
        <v>5658</v>
      </c>
      <c r="O1076" t="s">
        <v>5659</v>
      </c>
      <c r="P1076" t="s">
        <v>485</v>
      </c>
      <c r="Q1076" t="s">
        <v>4921</v>
      </c>
      <c r="R1076" t="s">
        <v>4922</v>
      </c>
      <c r="S1076" t="s">
        <v>2885</v>
      </c>
      <c r="T1076" t="s">
        <v>2886</v>
      </c>
    </row>
    <row r="1077" spans="1:20">
      <c r="A1077" s="241">
        <v>44001</v>
      </c>
      <c r="B1077" t="s">
        <v>5660</v>
      </c>
      <c r="C1077" t="s">
        <v>236</v>
      </c>
      <c r="D1077" t="s">
        <v>510</v>
      </c>
      <c r="E1077" t="s">
        <v>424</v>
      </c>
      <c r="F1077" t="s">
        <v>364</v>
      </c>
      <c r="G1077" t="s">
        <v>324</v>
      </c>
      <c r="H1077" t="s">
        <v>881</v>
      </c>
      <c r="I1077" t="s">
        <v>357</v>
      </c>
      <c r="J1077" t="s">
        <v>358</v>
      </c>
      <c r="K1077" t="s">
        <v>349</v>
      </c>
      <c r="L1077">
        <v>0.86</v>
      </c>
      <c r="M1077" t="s">
        <v>5661</v>
      </c>
      <c r="N1077" t="s">
        <v>5662</v>
      </c>
      <c r="O1077" t="s">
        <v>5663</v>
      </c>
      <c r="P1077" t="s">
        <v>485</v>
      </c>
      <c r="Q1077" t="s">
        <v>4921</v>
      </c>
      <c r="R1077" t="s">
        <v>4922</v>
      </c>
      <c r="S1077" t="s">
        <v>2885</v>
      </c>
      <c r="T1077" t="s">
        <v>2886</v>
      </c>
    </row>
    <row r="1078" spans="1:20">
      <c r="A1078" s="241">
        <v>44001</v>
      </c>
      <c r="B1078" t="s">
        <v>5664</v>
      </c>
      <c r="C1078" t="s">
        <v>224</v>
      </c>
      <c r="D1078" t="s">
        <v>423</v>
      </c>
      <c r="E1078" t="s">
        <v>443</v>
      </c>
      <c r="F1078" t="s">
        <v>333</v>
      </c>
      <c r="G1078" t="s">
        <v>591</v>
      </c>
      <c r="H1078" t="s">
        <v>566</v>
      </c>
      <c r="I1078" t="s">
        <v>347</v>
      </c>
      <c r="J1078" t="s">
        <v>337</v>
      </c>
      <c r="K1078" t="s">
        <v>327</v>
      </c>
      <c r="L1078">
        <v>0.86</v>
      </c>
      <c r="M1078" t="s">
        <v>5665</v>
      </c>
      <c r="N1078" t="s">
        <v>5666</v>
      </c>
      <c r="O1078" t="s">
        <v>5667</v>
      </c>
      <c r="P1078" t="s">
        <v>485</v>
      </c>
      <c r="Q1078" t="s">
        <v>4921</v>
      </c>
      <c r="R1078" t="s">
        <v>4922</v>
      </c>
      <c r="S1078" t="s">
        <v>2885</v>
      </c>
      <c r="T1078" t="s">
        <v>2886</v>
      </c>
    </row>
    <row r="1079" spans="1:20">
      <c r="A1079" s="241">
        <v>44001</v>
      </c>
      <c r="B1079" t="s">
        <v>5668</v>
      </c>
      <c r="C1079" t="s">
        <v>206</v>
      </c>
      <c r="D1079" t="s">
        <v>237</v>
      </c>
      <c r="E1079" t="s">
        <v>2535</v>
      </c>
      <c r="F1079" t="s">
        <v>729</v>
      </c>
      <c r="G1079" t="s">
        <v>1832</v>
      </c>
      <c r="H1079" t="s">
        <v>876</v>
      </c>
      <c r="I1079" t="s">
        <v>1518</v>
      </c>
      <c r="J1079" t="s">
        <v>358</v>
      </c>
      <c r="K1079" t="s">
        <v>700</v>
      </c>
      <c r="L1079">
        <v>0.86</v>
      </c>
      <c r="M1079" t="s">
        <v>5669</v>
      </c>
      <c r="N1079" t="s">
        <v>5670</v>
      </c>
      <c r="O1079" t="s">
        <v>5671</v>
      </c>
      <c r="P1079" t="s">
        <v>485</v>
      </c>
      <c r="Q1079" t="s">
        <v>4921</v>
      </c>
      <c r="R1079" t="s">
        <v>4922</v>
      </c>
      <c r="S1079" t="s">
        <v>2885</v>
      </c>
      <c r="T1079" t="s">
        <v>2886</v>
      </c>
    </row>
    <row r="1080" spans="1:20">
      <c r="A1080" s="241">
        <v>44001</v>
      </c>
      <c r="B1080" t="s">
        <v>5672</v>
      </c>
      <c r="C1080" t="s">
        <v>249</v>
      </c>
      <c r="D1080" t="s">
        <v>249</v>
      </c>
      <c r="E1080" t="s">
        <v>225</v>
      </c>
      <c r="F1080" t="s">
        <v>374</v>
      </c>
      <c r="G1080" t="s">
        <v>856</v>
      </c>
      <c r="H1080" t="s">
        <v>590</v>
      </c>
      <c r="I1080" t="s">
        <v>888</v>
      </c>
      <c r="J1080" t="s">
        <v>1868</v>
      </c>
      <c r="K1080" t="s">
        <v>327</v>
      </c>
      <c r="L1080">
        <v>0.86</v>
      </c>
      <c r="M1080" t="s">
        <v>5673</v>
      </c>
      <c r="N1080" t="s">
        <v>5674</v>
      </c>
      <c r="O1080" t="s">
        <v>5675</v>
      </c>
      <c r="P1080" t="s">
        <v>485</v>
      </c>
      <c r="Q1080" t="s">
        <v>4921</v>
      </c>
      <c r="R1080" t="s">
        <v>4922</v>
      </c>
      <c r="S1080" t="s">
        <v>2885</v>
      </c>
      <c r="T1080" t="s">
        <v>2886</v>
      </c>
    </row>
    <row r="1081" spans="1:20">
      <c r="A1081" s="241">
        <v>44001</v>
      </c>
      <c r="B1081" t="s">
        <v>5676</v>
      </c>
      <c r="C1081" t="s">
        <v>224</v>
      </c>
      <c r="D1081" t="s">
        <v>274</v>
      </c>
      <c r="E1081" t="s">
        <v>332</v>
      </c>
      <c r="F1081" t="s">
        <v>364</v>
      </c>
      <c r="G1081" t="s">
        <v>355</v>
      </c>
      <c r="H1081" t="s">
        <v>576</v>
      </c>
      <c r="I1081" t="s">
        <v>1523</v>
      </c>
      <c r="J1081" t="s">
        <v>1116</v>
      </c>
      <c r="K1081" t="s">
        <v>327</v>
      </c>
      <c r="L1081">
        <v>0.86</v>
      </c>
      <c r="M1081" t="s">
        <v>5677</v>
      </c>
      <c r="N1081" t="s">
        <v>5678</v>
      </c>
      <c r="O1081" t="s">
        <v>5679</v>
      </c>
      <c r="P1081" t="s">
        <v>485</v>
      </c>
      <c r="Q1081" t="s">
        <v>4921</v>
      </c>
      <c r="R1081" t="s">
        <v>4922</v>
      </c>
      <c r="S1081" t="s">
        <v>2885</v>
      </c>
      <c r="T1081" t="s">
        <v>2886</v>
      </c>
    </row>
    <row r="1082" spans="1:20">
      <c r="A1082" s="241">
        <v>44001</v>
      </c>
      <c r="B1082" t="s">
        <v>5680</v>
      </c>
      <c r="C1082" t="s">
        <v>614</v>
      </c>
      <c r="D1082" t="s">
        <v>615</v>
      </c>
      <c r="E1082" t="s">
        <v>382</v>
      </c>
      <c r="F1082" t="s">
        <v>672</v>
      </c>
      <c r="G1082" t="s">
        <v>355</v>
      </c>
      <c r="H1082" t="s">
        <v>263</v>
      </c>
      <c r="I1082" t="s">
        <v>888</v>
      </c>
      <c r="J1082" t="s">
        <v>358</v>
      </c>
      <c r="K1082" t="s">
        <v>349</v>
      </c>
      <c r="L1082">
        <v>0.86</v>
      </c>
      <c r="M1082" t="s">
        <v>5681</v>
      </c>
      <c r="N1082" t="s">
        <v>5682</v>
      </c>
      <c r="O1082" t="s">
        <v>5683</v>
      </c>
      <c r="P1082" t="s">
        <v>485</v>
      </c>
      <c r="Q1082" t="s">
        <v>4921</v>
      </c>
      <c r="R1082" t="s">
        <v>4922</v>
      </c>
      <c r="S1082" t="s">
        <v>2885</v>
      </c>
      <c r="T1082" t="s">
        <v>2886</v>
      </c>
    </row>
    <row r="1083" spans="1:20">
      <c r="A1083" s="241">
        <v>44001</v>
      </c>
      <c r="B1083" t="s">
        <v>5684</v>
      </c>
      <c r="C1083" t="s">
        <v>1986</v>
      </c>
      <c r="D1083" t="s">
        <v>262</v>
      </c>
      <c r="E1083" t="s">
        <v>2478</v>
      </c>
      <c r="F1083" t="s">
        <v>1591</v>
      </c>
      <c r="G1083" t="s">
        <v>1590</v>
      </c>
      <c r="H1083" t="s">
        <v>881</v>
      </c>
      <c r="I1083" t="s">
        <v>664</v>
      </c>
      <c r="J1083" t="s">
        <v>665</v>
      </c>
      <c r="K1083" t="s">
        <v>666</v>
      </c>
      <c r="L1083">
        <v>0.86</v>
      </c>
      <c r="M1083" t="s">
        <v>5685</v>
      </c>
      <c r="N1083" t="s">
        <v>5686</v>
      </c>
      <c r="O1083" t="s">
        <v>5687</v>
      </c>
      <c r="P1083" t="s">
        <v>485</v>
      </c>
      <c r="Q1083" t="s">
        <v>4921</v>
      </c>
      <c r="R1083" t="s">
        <v>4922</v>
      </c>
      <c r="S1083" t="s">
        <v>2885</v>
      </c>
      <c r="T1083" t="s">
        <v>2886</v>
      </c>
    </row>
    <row r="1084" spans="1:20">
      <c r="A1084" s="241">
        <v>44001</v>
      </c>
      <c r="B1084" t="s">
        <v>5688</v>
      </c>
      <c r="C1084" t="s">
        <v>236</v>
      </c>
      <c r="D1084" t="s">
        <v>423</v>
      </c>
      <c r="E1084" t="s">
        <v>402</v>
      </c>
      <c r="F1084" t="s">
        <v>662</v>
      </c>
      <c r="G1084" t="s">
        <v>2177</v>
      </c>
      <c r="H1084" t="s">
        <v>649</v>
      </c>
      <c r="I1084" t="s">
        <v>376</v>
      </c>
      <c r="J1084" t="s">
        <v>1128</v>
      </c>
      <c r="K1084" t="s">
        <v>700</v>
      </c>
      <c r="L1084">
        <v>0.86</v>
      </c>
      <c r="M1084" t="s">
        <v>5689</v>
      </c>
      <c r="N1084" t="s">
        <v>5690</v>
      </c>
      <c r="O1084" t="s">
        <v>5691</v>
      </c>
      <c r="P1084" t="s">
        <v>485</v>
      </c>
      <c r="Q1084" t="s">
        <v>4921</v>
      </c>
      <c r="R1084" t="s">
        <v>4922</v>
      </c>
      <c r="S1084" t="s">
        <v>2885</v>
      </c>
      <c r="T1084" t="s">
        <v>2886</v>
      </c>
    </row>
    <row r="1085" spans="1:20">
      <c r="A1085" s="241">
        <v>44001</v>
      </c>
      <c r="B1085" t="s">
        <v>5692</v>
      </c>
      <c r="C1085" t="s">
        <v>423</v>
      </c>
      <c r="D1085" t="s">
        <v>249</v>
      </c>
      <c r="E1085" t="s">
        <v>402</v>
      </c>
      <c r="F1085" t="s">
        <v>672</v>
      </c>
      <c r="G1085" t="s">
        <v>673</v>
      </c>
      <c r="H1085" t="s">
        <v>566</v>
      </c>
      <c r="I1085" t="s">
        <v>376</v>
      </c>
      <c r="J1085" t="s">
        <v>387</v>
      </c>
      <c r="K1085" t="s">
        <v>418</v>
      </c>
      <c r="L1085">
        <v>0.86</v>
      </c>
      <c r="M1085" t="s">
        <v>5693</v>
      </c>
      <c r="N1085" t="s">
        <v>5694</v>
      </c>
      <c r="O1085" t="s">
        <v>5695</v>
      </c>
      <c r="P1085" t="s">
        <v>485</v>
      </c>
      <c r="Q1085" t="s">
        <v>4921</v>
      </c>
      <c r="R1085" t="s">
        <v>4922</v>
      </c>
      <c r="S1085" t="s">
        <v>2885</v>
      </c>
      <c r="T1085" t="s">
        <v>2886</v>
      </c>
    </row>
    <row r="1086" spans="1:20">
      <c r="A1086" s="241">
        <v>44001</v>
      </c>
      <c r="B1086" t="s">
        <v>5696</v>
      </c>
      <c r="C1086" t="s">
        <v>273</v>
      </c>
      <c r="D1086" t="s">
        <v>207</v>
      </c>
      <c r="E1086" t="s">
        <v>382</v>
      </c>
      <c r="F1086" t="s">
        <v>383</v>
      </c>
      <c r="G1086" t="s">
        <v>2177</v>
      </c>
      <c r="H1086" t="s">
        <v>1756</v>
      </c>
      <c r="I1086" t="s">
        <v>1547</v>
      </c>
      <c r="J1086" t="s">
        <v>387</v>
      </c>
      <c r="K1086" t="s">
        <v>369</v>
      </c>
      <c r="L1086">
        <v>0.86</v>
      </c>
      <c r="M1086" t="s">
        <v>5697</v>
      </c>
      <c r="N1086" t="s">
        <v>5698</v>
      </c>
      <c r="O1086" t="s">
        <v>5699</v>
      </c>
      <c r="P1086" t="s">
        <v>485</v>
      </c>
      <c r="Q1086" t="s">
        <v>4921</v>
      </c>
      <c r="R1086" t="s">
        <v>4922</v>
      </c>
      <c r="S1086" t="s">
        <v>2885</v>
      </c>
      <c r="T1086" t="s">
        <v>2886</v>
      </c>
    </row>
    <row r="1087" spans="1:20">
      <c r="A1087" s="241">
        <v>44001</v>
      </c>
      <c r="B1087" t="s">
        <v>5700</v>
      </c>
      <c r="C1087" t="s">
        <v>3136</v>
      </c>
      <c r="D1087" t="s">
        <v>1877</v>
      </c>
      <c r="E1087" t="s">
        <v>2535</v>
      </c>
      <c r="F1087" t="s">
        <v>1536</v>
      </c>
      <c r="G1087" t="s">
        <v>1122</v>
      </c>
      <c r="H1087" t="s">
        <v>335</v>
      </c>
      <c r="I1087" t="s">
        <v>376</v>
      </c>
      <c r="J1087" t="s">
        <v>387</v>
      </c>
      <c r="K1087" t="s">
        <v>408</v>
      </c>
      <c r="L1087">
        <v>0.86</v>
      </c>
      <c r="M1087" t="s">
        <v>5701</v>
      </c>
      <c r="N1087" t="s">
        <v>5702</v>
      </c>
      <c r="O1087" t="s">
        <v>5703</v>
      </c>
      <c r="P1087" t="s">
        <v>485</v>
      </c>
      <c r="Q1087" t="s">
        <v>4921</v>
      </c>
      <c r="R1087" t="s">
        <v>4922</v>
      </c>
      <c r="S1087" t="s">
        <v>2885</v>
      </c>
      <c r="T1087" t="s">
        <v>2886</v>
      </c>
    </row>
    <row r="1088" spans="1:20">
      <c r="A1088" s="241">
        <v>44001</v>
      </c>
      <c r="B1088" t="s">
        <v>5704</v>
      </c>
      <c r="C1088" t="s">
        <v>237</v>
      </c>
      <c r="D1088" t="s">
        <v>273</v>
      </c>
      <c r="E1088" t="s">
        <v>225</v>
      </c>
      <c r="F1088" t="s">
        <v>2206</v>
      </c>
      <c r="G1088" t="s">
        <v>1104</v>
      </c>
      <c r="H1088" t="s">
        <v>576</v>
      </c>
      <c r="I1088" t="s">
        <v>1547</v>
      </c>
      <c r="J1088" t="s">
        <v>1128</v>
      </c>
      <c r="K1088" t="s">
        <v>359</v>
      </c>
      <c r="L1088">
        <v>0.86</v>
      </c>
      <c r="M1088" t="s">
        <v>5705</v>
      </c>
      <c r="N1088" t="s">
        <v>5706</v>
      </c>
      <c r="O1088" t="s">
        <v>5707</v>
      </c>
      <c r="P1088" t="s">
        <v>485</v>
      </c>
      <c r="Q1088" t="s">
        <v>4921</v>
      </c>
      <c r="R1088" t="s">
        <v>4922</v>
      </c>
      <c r="S1088" t="s">
        <v>2885</v>
      </c>
      <c r="T1088" t="s">
        <v>2886</v>
      </c>
    </row>
    <row r="1089" spans="1:20">
      <c r="A1089" s="241">
        <v>44001</v>
      </c>
      <c r="B1089" t="s">
        <v>5708</v>
      </c>
      <c r="C1089" t="s">
        <v>1196</v>
      </c>
      <c r="D1089" t="s">
        <v>206</v>
      </c>
      <c r="E1089" t="s">
        <v>443</v>
      </c>
      <c r="F1089" t="s">
        <v>1561</v>
      </c>
      <c r="G1089" t="s">
        <v>1104</v>
      </c>
      <c r="H1089" t="s">
        <v>1050</v>
      </c>
      <c r="I1089" t="s">
        <v>664</v>
      </c>
      <c r="J1089" t="s">
        <v>387</v>
      </c>
      <c r="K1089" t="s">
        <v>457</v>
      </c>
      <c r="L1089">
        <v>0.86</v>
      </c>
      <c r="M1089" t="s">
        <v>5709</v>
      </c>
      <c r="N1089" t="s">
        <v>5710</v>
      </c>
      <c r="O1089" t="s">
        <v>5711</v>
      </c>
      <c r="P1089" t="s">
        <v>485</v>
      </c>
      <c r="Q1089" t="s">
        <v>4921</v>
      </c>
      <c r="R1089" t="s">
        <v>4922</v>
      </c>
      <c r="S1089" t="s">
        <v>2885</v>
      </c>
      <c r="T1089" t="s">
        <v>2886</v>
      </c>
    </row>
    <row r="1090" spans="1:20">
      <c r="A1090" s="241">
        <v>44001</v>
      </c>
      <c r="B1090" t="s">
        <v>5712</v>
      </c>
      <c r="C1090" t="s">
        <v>423</v>
      </c>
      <c r="D1090" t="s">
        <v>207</v>
      </c>
      <c r="E1090" t="s">
        <v>343</v>
      </c>
      <c r="F1090" t="s">
        <v>413</v>
      </c>
      <c r="G1090" t="s">
        <v>375</v>
      </c>
      <c r="H1090" t="s">
        <v>590</v>
      </c>
      <c r="I1090" t="s">
        <v>683</v>
      </c>
      <c r="J1090" t="s">
        <v>1569</v>
      </c>
      <c r="K1090" t="s">
        <v>369</v>
      </c>
      <c r="L1090">
        <v>0.86</v>
      </c>
      <c r="M1090" t="s">
        <v>5713</v>
      </c>
      <c r="N1090" t="s">
        <v>5714</v>
      </c>
      <c r="O1090" t="s">
        <v>5715</v>
      </c>
      <c r="P1090" t="s">
        <v>485</v>
      </c>
      <c r="Q1090" t="s">
        <v>4921</v>
      </c>
      <c r="R1090" t="s">
        <v>4922</v>
      </c>
      <c r="S1090" t="s">
        <v>2885</v>
      </c>
      <c r="T1090" t="s">
        <v>2886</v>
      </c>
    </row>
    <row r="1091" spans="1:20">
      <c r="A1091" s="241">
        <v>44001</v>
      </c>
      <c r="B1091" t="s">
        <v>5716</v>
      </c>
      <c r="C1091" t="s">
        <v>423</v>
      </c>
      <c r="D1091" t="s">
        <v>223</v>
      </c>
      <c r="E1091" t="s">
        <v>443</v>
      </c>
      <c r="F1091" t="s">
        <v>2579</v>
      </c>
      <c r="G1091" t="s">
        <v>918</v>
      </c>
      <c r="H1091" t="s">
        <v>1467</v>
      </c>
      <c r="I1091" t="s">
        <v>690</v>
      </c>
      <c r="J1091" t="s">
        <v>397</v>
      </c>
      <c r="K1091" t="s">
        <v>700</v>
      </c>
      <c r="L1091">
        <v>0.86</v>
      </c>
      <c r="M1091" t="s">
        <v>5717</v>
      </c>
      <c r="N1091" t="s">
        <v>5718</v>
      </c>
      <c r="O1091" t="s">
        <v>5719</v>
      </c>
      <c r="P1091" t="s">
        <v>485</v>
      </c>
      <c r="Q1091" t="s">
        <v>4921</v>
      </c>
      <c r="R1091" t="s">
        <v>4922</v>
      </c>
      <c r="S1091" t="s">
        <v>2885</v>
      </c>
      <c r="T1091" t="s">
        <v>2886</v>
      </c>
    </row>
    <row r="1092" spans="1:20">
      <c r="A1092" s="241">
        <v>44001</v>
      </c>
      <c r="B1092" t="s">
        <v>5720</v>
      </c>
      <c r="C1092" t="s">
        <v>1196</v>
      </c>
      <c r="D1092" t="s">
        <v>206</v>
      </c>
      <c r="E1092" t="s">
        <v>343</v>
      </c>
      <c r="F1092" t="s">
        <v>433</v>
      </c>
      <c r="G1092" t="s">
        <v>663</v>
      </c>
      <c r="H1092" t="s">
        <v>1291</v>
      </c>
      <c r="I1092" t="s">
        <v>690</v>
      </c>
      <c r="J1092" t="s">
        <v>1141</v>
      </c>
      <c r="K1092" t="s">
        <v>369</v>
      </c>
      <c r="L1092">
        <v>0.86</v>
      </c>
      <c r="M1092" t="s">
        <v>5721</v>
      </c>
      <c r="N1092" t="s">
        <v>5722</v>
      </c>
      <c r="O1092" t="s">
        <v>5723</v>
      </c>
      <c r="P1092" t="s">
        <v>485</v>
      </c>
      <c r="Q1092" t="s">
        <v>4921</v>
      </c>
      <c r="R1092" t="s">
        <v>4922</v>
      </c>
      <c r="S1092" t="s">
        <v>2885</v>
      </c>
      <c r="T1092" t="s">
        <v>2886</v>
      </c>
    </row>
    <row r="1093" spans="1:20">
      <c r="A1093" s="241">
        <v>44001</v>
      </c>
      <c r="B1093" t="s">
        <v>5724</v>
      </c>
      <c r="C1093" t="s">
        <v>224</v>
      </c>
      <c r="D1093" t="s">
        <v>615</v>
      </c>
      <c r="E1093" t="s">
        <v>382</v>
      </c>
      <c r="F1093" t="s">
        <v>433</v>
      </c>
      <c r="G1093" t="s">
        <v>2393</v>
      </c>
      <c r="H1093" t="s">
        <v>1546</v>
      </c>
      <c r="I1093" t="s">
        <v>690</v>
      </c>
      <c r="J1093" t="s">
        <v>397</v>
      </c>
      <c r="K1093" t="s">
        <v>359</v>
      </c>
      <c r="L1093">
        <v>0.86</v>
      </c>
      <c r="M1093" t="s">
        <v>5725</v>
      </c>
      <c r="N1093" t="s">
        <v>5726</v>
      </c>
      <c r="O1093" t="s">
        <v>5727</v>
      </c>
      <c r="P1093" t="s">
        <v>485</v>
      </c>
      <c r="Q1093" t="s">
        <v>4921</v>
      </c>
      <c r="R1093" t="s">
        <v>4922</v>
      </c>
      <c r="S1093" t="s">
        <v>2885</v>
      </c>
      <c r="T1093" t="s">
        <v>2886</v>
      </c>
    </row>
    <row r="1094" spans="1:20">
      <c r="A1094" s="241">
        <v>44001</v>
      </c>
      <c r="B1094" t="s">
        <v>5728</v>
      </c>
      <c r="C1094" t="s">
        <v>262</v>
      </c>
      <c r="D1094" t="s">
        <v>237</v>
      </c>
      <c r="E1094" t="s">
        <v>238</v>
      </c>
      <c r="F1094" t="s">
        <v>689</v>
      </c>
      <c r="G1094" t="s">
        <v>1122</v>
      </c>
      <c r="H1094" t="s">
        <v>395</v>
      </c>
      <c r="I1094" t="s">
        <v>396</v>
      </c>
      <c r="J1094" t="s">
        <v>1141</v>
      </c>
      <c r="K1094" t="s">
        <v>408</v>
      </c>
      <c r="L1094">
        <v>0.86</v>
      </c>
      <c r="M1094" t="s">
        <v>5729</v>
      </c>
      <c r="N1094" t="s">
        <v>5730</v>
      </c>
      <c r="O1094" t="s">
        <v>5731</v>
      </c>
      <c r="P1094" t="s">
        <v>485</v>
      </c>
      <c r="Q1094" t="s">
        <v>4921</v>
      </c>
      <c r="R1094" t="s">
        <v>4922</v>
      </c>
      <c r="S1094" t="s">
        <v>2885</v>
      </c>
      <c r="T1094" t="s">
        <v>2886</v>
      </c>
    </row>
    <row r="1095" spans="1:20">
      <c r="A1095" s="241">
        <v>44001</v>
      </c>
      <c r="B1095" t="s">
        <v>5732</v>
      </c>
      <c r="C1095" t="s">
        <v>1377</v>
      </c>
      <c r="D1095" t="s">
        <v>510</v>
      </c>
      <c r="E1095" t="s">
        <v>343</v>
      </c>
      <c r="F1095" t="s">
        <v>2206</v>
      </c>
      <c r="G1095" t="s">
        <v>1605</v>
      </c>
      <c r="H1095" t="s">
        <v>590</v>
      </c>
      <c r="I1095" t="s">
        <v>698</v>
      </c>
      <c r="J1095" t="s">
        <v>919</v>
      </c>
      <c r="K1095" t="s">
        <v>418</v>
      </c>
      <c r="L1095">
        <v>0.86</v>
      </c>
      <c r="M1095" t="s">
        <v>5733</v>
      </c>
      <c r="N1095" t="s">
        <v>5734</v>
      </c>
      <c r="O1095" t="s">
        <v>5735</v>
      </c>
      <c r="P1095" t="s">
        <v>485</v>
      </c>
      <c r="Q1095" t="s">
        <v>4921</v>
      </c>
      <c r="R1095" t="s">
        <v>4922</v>
      </c>
      <c r="S1095" t="s">
        <v>2885</v>
      </c>
      <c r="T1095" t="s">
        <v>2886</v>
      </c>
    </row>
    <row r="1096" spans="1:20">
      <c r="A1096" s="241">
        <v>44001</v>
      </c>
      <c r="B1096" t="s">
        <v>5736</v>
      </c>
      <c r="C1096" t="s">
        <v>423</v>
      </c>
      <c r="D1096" t="s">
        <v>274</v>
      </c>
      <c r="E1096" t="s">
        <v>382</v>
      </c>
      <c r="F1096" t="s">
        <v>924</v>
      </c>
      <c r="G1096" t="s">
        <v>1568</v>
      </c>
      <c r="H1096" t="s">
        <v>305</v>
      </c>
      <c r="I1096" t="s">
        <v>1579</v>
      </c>
      <c r="J1096" t="s">
        <v>919</v>
      </c>
      <c r="K1096" t="s">
        <v>428</v>
      </c>
      <c r="L1096">
        <v>0.86</v>
      </c>
      <c r="M1096" t="s">
        <v>5737</v>
      </c>
      <c r="N1096" t="s">
        <v>5738</v>
      </c>
      <c r="O1096" t="s">
        <v>5739</v>
      </c>
      <c r="P1096" t="s">
        <v>485</v>
      </c>
      <c r="Q1096" t="s">
        <v>4921</v>
      </c>
      <c r="R1096" t="s">
        <v>4922</v>
      </c>
      <c r="S1096" t="s">
        <v>2885</v>
      </c>
      <c r="T1096" t="s">
        <v>2886</v>
      </c>
    </row>
    <row r="1097" spans="1:20">
      <c r="A1097" s="241">
        <v>44001</v>
      </c>
      <c r="B1097" t="s">
        <v>5740</v>
      </c>
      <c r="C1097" t="s">
        <v>273</v>
      </c>
      <c r="D1097" t="s">
        <v>207</v>
      </c>
      <c r="E1097" t="s">
        <v>238</v>
      </c>
      <c r="F1097" t="s">
        <v>1604</v>
      </c>
      <c r="G1097" t="s">
        <v>910</v>
      </c>
      <c r="H1097" t="s">
        <v>855</v>
      </c>
      <c r="I1097" t="s">
        <v>1140</v>
      </c>
      <c r="J1097" t="s">
        <v>407</v>
      </c>
      <c r="K1097" t="s">
        <v>457</v>
      </c>
      <c r="L1097">
        <v>0.86</v>
      </c>
      <c r="M1097" t="s">
        <v>5741</v>
      </c>
      <c r="N1097" t="s">
        <v>5742</v>
      </c>
      <c r="O1097" t="s">
        <v>5743</v>
      </c>
      <c r="P1097" t="s">
        <v>485</v>
      </c>
      <c r="Q1097" t="s">
        <v>4921</v>
      </c>
      <c r="R1097" t="s">
        <v>4922</v>
      </c>
      <c r="S1097" t="s">
        <v>2885</v>
      </c>
      <c r="T1097" t="s">
        <v>2886</v>
      </c>
    </row>
    <row r="1098" spans="1:20">
      <c r="A1098" s="241">
        <v>44001</v>
      </c>
      <c r="B1098" t="s">
        <v>5744</v>
      </c>
      <c r="C1098" t="s">
        <v>249</v>
      </c>
      <c r="D1098" t="s">
        <v>223</v>
      </c>
      <c r="E1098" t="s">
        <v>424</v>
      </c>
      <c r="F1098" t="s">
        <v>413</v>
      </c>
      <c r="G1098" t="s">
        <v>425</v>
      </c>
      <c r="H1098" t="s">
        <v>295</v>
      </c>
      <c r="I1098" t="s">
        <v>427</v>
      </c>
      <c r="J1098" t="s">
        <v>417</v>
      </c>
      <c r="K1098" t="s">
        <v>428</v>
      </c>
      <c r="L1098">
        <v>0.86</v>
      </c>
      <c r="M1098" t="s">
        <v>5745</v>
      </c>
      <c r="N1098" t="s">
        <v>5746</v>
      </c>
      <c r="O1098" t="s">
        <v>5747</v>
      </c>
      <c r="P1098" t="s">
        <v>485</v>
      </c>
      <c r="Q1098" t="s">
        <v>4921</v>
      </c>
      <c r="R1098" t="s">
        <v>4922</v>
      </c>
      <c r="S1098" t="s">
        <v>2885</v>
      </c>
      <c r="T1098" t="s">
        <v>2886</v>
      </c>
    </row>
    <row r="1099" spans="1:20">
      <c r="A1099" s="241">
        <v>44001</v>
      </c>
      <c r="B1099" t="s">
        <v>5748</v>
      </c>
      <c r="C1099" t="s">
        <v>236</v>
      </c>
      <c r="D1099" t="s">
        <v>274</v>
      </c>
      <c r="E1099" t="s">
        <v>556</v>
      </c>
      <c r="F1099" t="s">
        <v>1625</v>
      </c>
      <c r="G1099" t="s">
        <v>2393</v>
      </c>
      <c r="H1099" t="s">
        <v>415</v>
      </c>
      <c r="I1099" t="s">
        <v>436</v>
      </c>
      <c r="J1099" t="s">
        <v>437</v>
      </c>
      <c r="K1099" t="s">
        <v>408</v>
      </c>
      <c r="L1099">
        <v>0.86</v>
      </c>
      <c r="M1099" t="s">
        <v>5749</v>
      </c>
      <c r="N1099" t="s">
        <v>5750</v>
      </c>
      <c r="O1099" t="s">
        <v>5751</v>
      </c>
      <c r="P1099" t="s">
        <v>485</v>
      </c>
      <c r="Q1099" t="s">
        <v>4921</v>
      </c>
      <c r="R1099" t="s">
        <v>4922</v>
      </c>
      <c r="S1099" t="s">
        <v>2885</v>
      </c>
      <c r="T1099" t="s">
        <v>2886</v>
      </c>
    </row>
    <row r="1100" spans="1:20">
      <c r="A1100" s="241">
        <v>44001</v>
      </c>
      <c r="B1100" t="s">
        <v>5752</v>
      </c>
      <c r="C1100" t="s">
        <v>1196</v>
      </c>
      <c r="D1100" t="s">
        <v>294</v>
      </c>
      <c r="E1100" t="s">
        <v>332</v>
      </c>
      <c r="F1100" t="s">
        <v>1156</v>
      </c>
      <c r="G1100" t="s">
        <v>1605</v>
      </c>
      <c r="H1100" t="s">
        <v>314</v>
      </c>
      <c r="I1100" t="s">
        <v>416</v>
      </c>
      <c r="J1100" t="s">
        <v>940</v>
      </c>
      <c r="K1100" t="s">
        <v>428</v>
      </c>
      <c r="L1100">
        <v>0.86</v>
      </c>
      <c r="M1100" t="s">
        <v>5753</v>
      </c>
      <c r="N1100" t="s">
        <v>5754</v>
      </c>
      <c r="O1100" t="s">
        <v>5755</v>
      </c>
      <c r="P1100" t="s">
        <v>485</v>
      </c>
      <c r="Q1100" t="s">
        <v>4921</v>
      </c>
      <c r="R1100" t="s">
        <v>4922</v>
      </c>
      <c r="S1100" t="s">
        <v>2885</v>
      </c>
      <c r="T1100" t="s">
        <v>2886</v>
      </c>
    </row>
    <row r="1101" spans="1:20">
      <c r="A1101" s="241">
        <v>44001</v>
      </c>
      <c r="B1101" t="s">
        <v>5756</v>
      </c>
      <c r="C1101" t="s">
        <v>249</v>
      </c>
      <c r="D1101" t="s">
        <v>274</v>
      </c>
      <c r="E1101" t="s">
        <v>443</v>
      </c>
      <c r="F1101" t="s">
        <v>3086</v>
      </c>
      <c r="G1101" t="s">
        <v>681</v>
      </c>
      <c r="H1101" t="s">
        <v>647</v>
      </c>
      <c r="I1101" t="s">
        <v>1158</v>
      </c>
      <c r="J1101" t="s">
        <v>1159</v>
      </c>
      <c r="K1101" t="s">
        <v>457</v>
      </c>
      <c r="L1101">
        <v>0.86</v>
      </c>
      <c r="M1101" t="s">
        <v>5757</v>
      </c>
      <c r="N1101" t="s">
        <v>5758</v>
      </c>
      <c r="O1101" t="s">
        <v>5759</v>
      </c>
      <c r="P1101" t="s">
        <v>485</v>
      </c>
      <c r="Q1101" t="s">
        <v>4921</v>
      </c>
      <c r="R1101" t="s">
        <v>4922</v>
      </c>
      <c r="S1101" t="s">
        <v>2885</v>
      </c>
      <c r="T1101" t="s">
        <v>2886</v>
      </c>
    </row>
    <row r="1102" spans="1:20">
      <c r="A1102" s="241">
        <v>44001</v>
      </c>
      <c r="B1102" t="s">
        <v>5760</v>
      </c>
      <c r="C1102" t="s">
        <v>207</v>
      </c>
      <c r="D1102" t="s">
        <v>207</v>
      </c>
      <c r="E1102" t="s">
        <v>443</v>
      </c>
      <c r="F1102" t="s">
        <v>1625</v>
      </c>
      <c r="G1102" t="s">
        <v>1605</v>
      </c>
      <c r="H1102" t="s">
        <v>1620</v>
      </c>
      <c r="I1102" t="s">
        <v>446</v>
      </c>
      <c r="J1102" t="s">
        <v>447</v>
      </c>
      <c r="K1102" t="s">
        <v>722</v>
      </c>
      <c r="L1102">
        <v>0.86</v>
      </c>
      <c r="M1102" t="s">
        <v>5761</v>
      </c>
      <c r="N1102" t="s">
        <v>5762</v>
      </c>
      <c r="O1102" t="s">
        <v>5763</v>
      </c>
      <c r="P1102" t="s">
        <v>485</v>
      </c>
      <c r="Q1102" t="s">
        <v>4921</v>
      </c>
      <c r="R1102" t="s">
        <v>4922</v>
      </c>
      <c r="S1102" t="s">
        <v>2885</v>
      </c>
      <c r="T1102" t="s">
        <v>2886</v>
      </c>
    </row>
    <row r="1103" spans="1:20">
      <c r="A1103" s="241">
        <v>44001</v>
      </c>
      <c r="B1103" t="s">
        <v>5764</v>
      </c>
      <c r="C1103" t="s">
        <v>236</v>
      </c>
      <c r="D1103" t="s">
        <v>261</v>
      </c>
      <c r="E1103" t="s">
        <v>382</v>
      </c>
      <c r="F1103" t="s">
        <v>3086</v>
      </c>
      <c r="G1103" t="s">
        <v>925</v>
      </c>
      <c r="H1103" t="s">
        <v>720</v>
      </c>
      <c r="I1103" t="s">
        <v>721</v>
      </c>
      <c r="J1103" t="s">
        <v>447</v>
      </c>
      <c r="K1103" t="s">
        <v>457</v>
      </c>
      <c r="L1103">
        <v>0.86</v>
      </c>
      <c r="M1103" t="s">
        <v>5765</v>
      </c>
      <c r="N1103" t="s">
        <v>5766</v>
      </c>
      <c r="O1103" t="s">
        <v>5767</v>
      </c>
      <c r="P1103" t="s">
        <v>485</v>
      </c>
      <c r="Q1103" t="s">
        <v>4921</v>
      </c>
      <c r="R1103" t="s">
        <v>4922</v>
      </c>
      <c r="S1103" t="s">
        <v>2885</v>
      </c>
      <c r="T1103" t="s">
        <v>2886</v>
      </c>
    </row>
    <row r="1104" spans="1:20">
      <c r="A1104" s="241">
        <v>44001</v>
      </c>
      <c r="B1104" t="s">
        <v>5768</v>
      </c>
      <c r="C1104" t="s">
        <v>207</v>
      </c>
      <c r="D1104" t="s">
        <v>294</v>
      </c>
      <c r="E1104" t="s">
        <v>304</v>
      </c>
      <c r="F1104" t="s">
        <v>4133</v>
      </c>
      <c r="G1104" t="s">
        <v>1936</v>
      </c>
      <c r="H1104" t="s">
        <v>1493</v>
      </c>
      <c r="I1104" t="s">
        <v>446</v>
      </c>
      <c r="J1104" t="s">
        <v>1333</v>
      </c>
      <c r="K1104" t="s">
        <v>408</v>
      </c>
      <c r="L1104">
        <v>0.86</v>
      </c>
      <c r="M1104" t="s">
        <v>5769</v>
      </c>
      <c r="N1104" t="s">
        <v>5770</v>
      </c>
      <c r="O1104" t="s">
        <v>5771</v>
      </c>
      <c r="P1104" t="s">
        <v>485</v>
      </c>
      <c r="Q1104" t="s">
        <v>4921</v>
      </c>
      <c r="R1104" t="s">
        <v>4922</v>
      </c>
      <c r="S1104" t="s">
        <v>2885</v>
      </c>
      <c r="T1104" t="s">
        <v>2886</v>
      </c>
    </row>
    <row r="1105" spans="1:20">
      <c r="A1105" s="241">
        <v>44001</v>
      </c>
      <c r="B1105" t="s">
        <v>5772</v>
      </c>
      <c r="C1105" t="s">
        <v>207</v>
      </c>
      <c r="D1105" t="s">
        <v>625</v>
      </c>
      <c r="E1105" t="s">
        <v>556</v>
      </c>
      <c r="F1105" t="s">
        <v>3482</v>
      </c>
      <c r="G1105" t="s">
        <v>414</v>
      </c>
      <c r="H1105" t="s">
        <v>720</v>
      </c>
      <c r="I1105" t="s">
        <v>721</v>
      </c>
      <c r="J1105" t="s">
        <v>730</v>
      </c>
      <c r="K1105" t="s">
        <v>408</v>
      </c>
      <c r="L1105">
        <v>0.86</v>
      </c>
      <c r="M1105" t="s">
        <v>5773</v>
      </c>
      <c r="N1105" t="s">
        <v>5774</v>
      </c>
      <c r="O1105" t="s">
        <v>5775</v>
      </c>
      <c r="P1105" t="s">
        <v>485</v>
      </c>
      <c r="Q1105" t="s">
        <v>4921</v>
      </c>
      <c r="R1105" t="s">
        <v>4922</v>
      </c>
      <c r="S1105" t="s">
        <v>2885</v>
      </c>
      <c r="T1105" t="s">
        <v>2886</v>
      </c>
    </row>
    <row r="1106" spans="1:20">
      <c r="A1106" s="241">
        <v>44001</v>
      </c>
      <c r="B1106" t="s">
        <v>5776</v>
      </c>
      <c r="C1106" t="s">
        <v>274</v>
      </c>
      <c r="D1106" t="s">
        <v>274</v>
      </c>
      <c r="E1106" t="s">
        <v>238</v>
      </c>
      <c r="F1106" t="s">
        <v>5777</v>
      </c>
      <c r="G1106" t="s">
        <v>414</v>
      </c>
      <c r="H1106" t="s">
        <v>647</v>
      </c>
      <c r="I1106" t="s">
        <v>5778</v>
      </c>
      <c r="J1106" t="s">
        <v>5779</v>
      </c>
      <c r="K1106" t="s">
        <v>408</v>
      </c>
      <c r="L1106">
        <v>0.86</v>
      </c>
      <c r="M1106" t="s">
        <v>5780</v>
      </c>
      <c r="N1106" t="s">
        <v>5781</v>
      </c>
      <c r="O1106" t="s">
        <v>5782</v>
      </c>
      <c r="P1106" t="s">
        <v>485</v>
      </c>
      <c r="Q1106" t="s">
        <v>4921</v>
      </c>
      <c r="R1106" t="s">
        <v>4922</v>
      </c>
      <c r="S1106" t="s">
        <v>2885</v>
      </c>
      <c r="T1106" t="s">
        <v>2886</v>
      </c>
    </row>
    <row r="1107" spans="1:20">
      <c r="A1107" s="241">
        <v>44001</v>
      </c>
      <c r="B1107" t="s">
        <v>5783</v>
      </c>
      <c r="C1107" t="s">
        <v>207</v>
      </c>
      <c r="D1107" t="s">
        <v>294</v>
      </c>
      <c r="E1107" t="s">
        <v>304</v>
      </c>
      <c r="F1107" t="s">
        <v>3661</v>
      </c>
      <c r="G1107" t="s">
        <v>1297</v>
      </c>
      <c r="H1107" t="s">
        <v>647</v>
      </c>
      <c r="I1107" t="s">
        <v>1631</v>
      </c>
      <c r="J1107" t="s">
        <v>730</v>
      </c>
      <c r="K1107" t="s">
        <v>700</v>
      </c>
      <c r="L1107">
        <v>0.86</v>
      </c>
      <c r="M1107" t="s">
        <v>5784</v>
      </c>
      <c r="N1107" t="s">
        <v>5785</v>
      </c>
      <c r="O1107" t="s">
        <v>5786</v>
      </c>
      <c r="P1107" t="s">
        <v>485</v>
      </c>
      <c r="Q1107" t="s">
        <v>4921</v>
      </c>
      <c r="R1107" t="s">
        <v>4922</v>
      </c>
      <c r="S1107" t="s">
        <v>2885</v>
      </c>
      <c r="T1107" t="s">
        <v>2886</v>
      </c>
    </row>
    <row r="1108" spans="1:20">
      <c r="A1108" s="241">
        <v>44001</v>
      </c>
      <c r="B1108" t="s">
        <v>5787</v>
      </c>
      <c r="C1108" t="s">
        <v>499</v>
      </c>
      <c r="D1108" t="s">
        <v>735</v>
      </c>
      <c r="E1108" t="s">
        <v>236</v>
      </c>
      <c r="F1108" t="s">
        <v>960</v>
      </c>
      <c r="G1108" t="s">
        <v>5788</v>
      </c>
      <c r="H1108" t="s">
        <v>980</v>
      </c>
      <c r="I1108" t="s">
        <v>5789</v>
      </c>
      <c r="J1108" t="s">
        <v>5790</v>
      </c>
      <c r="K1108" t="s">
        <v>2426</v>
      </c>
      <c r="L1108">
        <v>0.89</v>
      </c>
      <c r="M1108" t="s">
        <v>5791</v>
      </c>
      <c r="N1108" t="s">
        <v>5792</v>
      </c>
      <c r="O1108" t="s">
        <v>5793</v>
      </c>
      <c r="P1108" t="s">
        <v>485</v>
      </c>
      <c r="Q1108" t="s">
        <v>4921</v>
      </c>
      <c r="R1108" t="s">
        <v>4922</v>
      </c>
      <c r="S1108" t="s">
        <v>2885</v>
      </c>
      <c r="T1108" t="s">
        <v>2886</v>
      </c>
    </row>
    <row r="1109" spans="1:20">
      <c r="A1109" s="241">
        <v>44001</v>
      </c>
      <c r="B1109" t="s">
        <v>5794</v>
      </c>
      <c r="C1109" t="s">
        <v>5795</v>
      </c>
      <c r="D1109" t="s">
        <v>736</v>
      </c>
      <c r="E1109" t="s">
        <v>3679</v>
      </c>
      <c r="F1109" t="s">
        <v>3110</v>
      </c>
      <c r="G1109" t="s">
        <v>3977</v>
      </c>
      <c r="H1109" t="s">
        <v>2822</v>
      </c>
      <c r="I1109" t="s">
        <v>5796</v>
      </c>
      <c r="J1109" t="s">
        <v>4160</v>
      </c>
      <c r="K1109" t="s">
        <v>5476</v>
      </c>
      <c r="L1109">
        <v>0.89</v>
      </c>
      <c r="M1109" t="s">
        <v>5797</v>
      </c>
      <c r="N1109" t="s">
        <v>5798</v>
      </c>
      <c r="O1109" t="s">
        <v>5799</v>
      </c>
      <c r="P1109" t="s">
        <v>485</v>
      </c>
      <c r="Q1109" t="s">
        <v>4921</v>
      </c>
      <c r="R1109" t="s">
        <v>4922</v>
      </c>
      <c r="S1109" t="s">
        <v>2885</v>
      </c>
      <c r="T1109" t="s">
        <v>2886</v>
      </c>
    </row>
    <row r="1110" spans="1:20">
      <c r="A1110" s="241">
        <v>44001</v>
      </c>
      <c r="B1110" t="s">
        <v>5800</v>
      </c>
      <c r="C1110" t="s">
        <v>735</v>
      </c>
      <c r="D1110" t="s">
        <v>756</v>
      </c>
      <c r="E1110" t="s">
        <v>5481</v>
      </c>
      <c r="F1110" t="s">
        <v>2645</v>
      </c>
      <c r="G1110" t="s">
        <v>1206</v>
      </c>
      <c r="H1110" t="s">
        <v>2449</v>
      </c>
      <c r="I1110" t="s">
        <v>3510</v>
      </c>
      <c r="J1110" t="s">
        <v>5801</v>
      </c>
      <c r="K1110" t="s">
        <v>4358</v>
      </c>
      <c r="L1110">
        <v>0.89</v>
      </c>
      <c r="M1110" t="s">
        <v>5802</v>
      </c>
      <c r="N1110" t="s">
        <v>5803</v>
      </c>
      <c r="O1110" t="s">
        <v>5804</v>
      </c>
      <c r="P1110" t="s">
        <v>485</v>
      </c>
      <c r="Q1110" t="s">
        <v>4921</v>
      </c>
      <c r="R1110" t="s">
        <v>4922</v>
      </c>
      <c r="S1110" t="s">
        <v>2885</v>
      </c>
      <c r="T1110" t="s">
        <v>2886</v>
      </c>
    </row>
    <row r="1111" spans="1:20">
      <c r="A1111" s="241">
        <v>44001</v>
      </c>
      <c r="B1111" t="s">
        <v>5805</v>
      </c>
      <c r="C1111" t="s">
        <v>2636</v>
      </c>
      <c r="D1111" t="s">
        <v>206</v>
      </c>
      <c r="E1111" t="s">
        <v>442</v>
      </c>
      <c r="F1111" t="s">
        <v>5806</v>
      </c>
      <c r="G1111" t="s">
        <v>5807</v>
      </c>
      <c r="H1111" t="s">
        <v>5808</v>
      </c>
      <c r="I1111" t="s">
        <v>5809</v>
      </c>
      <c r="J1111" t="s">
        <v>5810</v>
      </c>
      <c r="K1111" t="s">
        <v>5811</v>
      </c>
      <c r="L1111">
        <v>0.88</v>
      </c>
      <c r="M1111" t="s">
        <v>5812</v>
      </c>
      <c r="N1111" t="s">
        <v>5813</v>
      </c>
      <c r="O1111" t="s">
        <v>5814</v>
      </c>
      <c r="P1111" t="s">
        <v>485</v>
      </c>
      <c r="Q1111" t="s">
        <v>4921</v>
      </c>
      <c r="R1111" t="s">
        <v>4922</v>
      </c>
      <c r="S1111" t="s">
        <v>2885</v>
      </c>
      <c r="T1111" t="s">
        <v>2886</v>
      </c>
    </row>
    <row r="1112" spans="1:20">
      <c r="A1112" s="241">
        <v>44001</v>
      </c>
      <c r="B1112" t="s">
        <v>5815</v>
      </c>
      <c r="C1112" t="s">
        <v>510</v>
      </c>
      <c r="D1112" t="s">
        <v>237</v>
      </c>
      <c r="E1112" t="s">
        <v>382</v>
      </c>
      <c r="F1112" t="s">
        <v>531</v>
      </c>
      <c r="G1112" t="s">
        <v>5816</v>
      </c>
      <c r="H1112" t="s">
        <v>2456</v>
      </c>
      <c r="I1112" t="s">
        <v>3840</v>
      </c>
      <c r="J1112" t="s">
        <v>2832</v>
      </c>
      <c r="K1112" t="s">
        <v>1003</v>
      </c>
      <c r="L1112">
        <v>0.87</v>
      </c>
      <c r="M1112" t="s">
        <v>5817</v>
      </c>
      <c r="N1112" t="s">
        <v>5818</v>
      </c>
      <c r="O1112" t="s">
        <v>5819</v>
      </c>
      <c r="P1112" t="s">
        <v>485</v>
      </c>
      <c r="Q1112" t="s">
        <v>4921</v>
      </c>
      <c r="R1112" t="s">
        <v>4922</v>
      </c>
      <c r="S1112" t="s">
        <v>2885</v>
      </c>
      <c r="T1112" t="s">
        <v>2886</v>
      </c>
    </row>
    <row r="1113" spans="1:20">
      <c r="A1113" s="241">
        <v>44001</v>
      </c>
      <c r="B1113" t="s">
        <v>5820</v>
      </c>
      <c r="C1113" t="s">
        <v>223</v>
      </c>
      <c r="D1113" t="s">
        <v>237</v>
      </c>
      <c r="E1113" t="s">
        <v>343</v>
      </c>
      <c r="F1113" t="s">
        <v>568</v>
      </c>
      <c r="G1113" t="s">
        <v>4170</v>
      </c>
      <c r="H1113" t="s">
        <v>5511</v>
      </c>
      <c r="I1113" t="s">
        <v>2011</v>
      </c>
      <c r="J1113" t="s">
        <v>4000</v>
      </c>
      <c r="K1113" t="s">
        <v>1234</v>
      </c>
      <c r="L1113">
        <v>0.87</v>
      </c>
      <c r="M1113" t="s">
        <v>5821</v>
      </c>
      <c r="N1113" t="s">
        <v>5822</v>
      </c>
      <c r="O1113" t="s">
        <v>5823</v>
      </c>
      <c r="P1113" t="s">
        <v>485</v>
      </c>
      <c r="Q1113" t="s">
        <v>4921</v>
      </c>
      <c r="R1113" t="s">
        <v>4922</v>
      </c>
      <c r="S1113" t="s">
        <v>2885</v>
      </c>
      <c r="T1113" t="s">
        <v>2886</v>
      </c>
    </row>
    <row r="1114" spans="1:20">
      <c r="A1114" s="241">
        <v>44001</v>
      </c>
      <c r="B1114" t="s">
        <v>5824</v>
      </c>
      <c r="C1114" t="s">
        <v>273</v>
      </c>
      <c r="D1114" t="s">
        <v>442</v>
      </c>
      <c r="E1114" t="s">
        <v>424</v>
      </c>
      <c r="F1114" t="s">
        <v>2010</v>
      </c>
      <c r="G1114" t="s">
        <v>5493</v>
      </c>
      <c r="H1114" t="s">
        <v>1679</v>
      </c>
      <c r="I1114" t="s">
        <v>1391</v>
      </c>
      <c r="J1114" t="s">
        <v>1687</v>
      </c>
      <c r="K1114" t="s">
        <v>524</v>
      </c>
      <c r="L1114">
        <v>0.87</v>
      </c>
      <c r="M1114" t="s">
        <v>5825</v>
      </c>
      <c r="N1114" t="s">
        <v>5826</v>
      </c>
      <c r="O1114" t="s">
        <v>5827</v>
      </c>
      <c r="P1114" t="s">
        <v>485</v>
      </c>
      <c r="Q1114" t="s">
        <v>4921</v>
      </c>
      <c r="R1114" t="s">
        <v>4922</v>
      </c>
      <c r="S1114" t="s">
        <v>2885</v>
      </c>
      <c r="T1114" t="s">
        <v>2886</v>
      </c>
    </row>
    <row r="1115" spans="1:20">
      <c r="A1115" s="241">
        <v>44001</v>
      </c>
      <c r="B1115" t="s">
        <v>5828</v>
      </c>
      <c r="C1115" t="s">
        <v>206</v>
      </c>
      <c r="D1115" t="s">
        <v>510</v>
      </c>
      <c r="E1115" t="s">
        <v>225</v>
      </c>
      <c r="F1115" t="s">
        <v>1388</v>
      </c>
      <c r="G1115" t="s">
        <v>2004</v>
      </c>
      <c r="H1115" t="s">
        <v>2017</v>
      </c>
      <c r="I1115" t="s">
        <v>2011</v>
      </c>
      <c r="J1115" t="s">
        <v>4000</v>
      </c>
      <c r="K1115" t="s">
        <v>1399</v>
      </c>
      <c r="L1115">
        <v>0.87</v>
      </c>
      <c r="M1115" t="s">
        <v>5829</v>
      </c>
      <c r="N1115" t="s">
        <v>5830</v>
      </c>
      <c r="O1115" t="s">
        <v>5831</v>
      </c>
      <c r="P1115" t="s">
        <v>485</v>
      </c>
      <c r="Q1115" t="s">
        <v>4921</v>
      </c>
      <c r="R1115" t="s">
        <v>4922</v>
      </c>
      <c r="S1115" t="s">
        <v>2885</v>
      </c>
      <c r="T1115" t="s">
        <v>2886</v>
      </c>
    </row>
    <row r="1116" spans="1:20">
      <c r="A1116" s="241">
        <v>44001</v>
      </c>
      <c r="B1116" t="s">
        <v>5832</v>
      </c>
      <c r="C1116" t="s">
        <v>475</v>
      </c>
      <c r="D1116" t="s">
        <v>207</v>
      </c>
      <c r="E1116" t="s">
        <v>332</v>
      </c>
      <c r="F1116" t="s">
        <v>539</v>
      </c>
      <c r="G1116" t="s">
        <v>2016</v>
      </c>
      <c r="H1116" t="s">
        <v>512</v>
      </c>
      <c r="I1116" t="s">
        <v>1010</v>
      </c>
      <c r="J1116" t="s">
        <v>1405</v>
      </c>
      <c r="K1116" t="s">
        <v>515</v>
      </c>
      <c r="L1116">
        <v>0.87</v>
      </c>
      <c r="M1116" t="s">
        <v>5833</v>
      </c>
      <c r="N1116" t="s">
        <v>5834</v>
      </c>
      <c r="O1116" t="s">
        <v>5835</v>
      </c>
      <c r="P1116" t="s">
        <v>485</v>
      </c>
      <c r="Q1116" t="s">
        <v>4921</v>
      </c>
      <c r="R1116" t="s">
        <v>4922</v>
      </c>
      <c r="S1116" t="s">
        <v>2885</v>
      </c>
      <c r="T1116" t="s">
        <v>2886</v>
      </c>
    </row>
    <row r="1117" spans="1:20">
      <c r="A1117" s="241">
        <v>44001</v>
      </c>
      <c r="B1117" t="s">
        <v>5836</v>
      </c>
      <c r="C1117" t="s">
        <v>423</v>
      </c>
      <c r="D1117" t="s">
        <v>423</v>
      </c>
      <c r="E1117" t="s">
        <v>556</v>
      </c>
      <c r="F1117" t="s">
        <v>1274</v>
      </c>
      <c r="G1117" t="s">
        <v>5502</v>
      </c>
      <c r="H1117" t="s">
        <v>2456</v>
      </c>
      <c r="I1117" t="s">
        <v>2029</v>
      </c>
      <c r="J1117" t="s">
        <v>523</v>
      </c>
      <c r="K1117" t="s">
        <v>534</v>
      </c>
      <c r="L1117">
        <v>0.87</v>
      </c>
      <c r="M1117" t="s">
        <v>5837</v>
      </c>
      <c r="N1117" t="s">
        <v>5838</v>
      </c>
      <c r="O1117" t="s">
        <v>5839</v>
      </c>
      <c r="P1117" t="s">
        <v>485</v>
      </c>
      <c r="Q1117" t="s">
        <v>4921</v>
      </c>
      <c r="R1117" t="s">
        <v>4922</v>
      </c>
      <c r="S1117" t="s">
        <v>2885</v>
      </c>
      <c r="T1117" t="s">
        <v>2886</v>
      </c>
    </row>
    <row r="1118" spans="1:20">
      <c r="A1118" s="241">
        <v>44001</v>
      </c>
      <c r="B1118" t="s">
        <v>5840</v>
      </c>
      <c r="C1118" t="s">
        <v>237</v>
      </c>
      <c r="D1118" t="s">
        <v>207</v>
      </c>
      <c r="E1118" t="s">
        <v>332</v>
      </c>
      <c r="F1118" t="s">
        <v>209</v>
      </c>
      <c r="G1118" t="s">
        <v>777</v>
      </c>
      <c r="H1118" t="s">
        <v>2456</v>
      </c>
      <c r="I1118" t="s">
        <v>1010</v>
      </c>
      <c r="J1118" t="s">
        <v>1011</v>
      </c>
      <c r="K1118" t="s">
        <v>1012</v>
      </c>
      <c r="L1118">
        <v>0.87</v>
      </c>
      <c r="M1118" t="s">
        <v>5841</v>
      </c>
      <c r="N1118" t="s">
        <v>5842</v>
      </c>
      <c r="O1118" t="s">
        <v>5843</v>
      </c>
      <c r="P1118" t="s">
        <v>485</v>
      </c>
      <c r="Q1118" t="s">
        <v>4921</v>
      </c>
      <c r="R1118" t="s">
        <v>4922</v>
      </c>
      <c r="S1118" t="s">
        <v>2885</v>
      </c>
      <c r="T1118" t="s">
        <v>2886</v>
      </c>
    </row>
    <row r="1119" spans="1:20">
      <c r="A1119" s="241">
        <v>44001</v>
      </c>
      <c r="B1119" t="s">
        <v>5844</v>
      </c>
      <c r="C1119" t="s">
        <v>423</v>
      </c>
      <c r="D1119" t="s">
        <v>423</v>
      </c>
      <c r="E1119" t="s">
        <v>250</v>
      </c>
      <c r="F1119" t="s">
        <v>1069</v>
      </c>
      <c r="G1119" t="s">
        <v>2463</v>
      </c>
      <c r="H1119" t="s">
        <v>787</v>
      </c>
      <c r="I1119" t="s">
        <v>2472</v>
      </c>
      <c r="J1119" t="s">
        <v>2681</v>
      </c>
      <c r="K1119" t="s">
        <v>524</v>
      </c>
      <c r="L1119">
        <v>0.87</v>
      </c>
      <c r="M1119" t="s">
        <v>5845</v>
      </c>
      <c r="N1119" t="s">
        <v>5846</v>
      </c>
      <c r="O1119" t="s">
        <v>5847</v>
      </c>
      <c r="P1119" t="s">
        <v>485</v>
      </c>
      <c r="Q1119" t="s">
        <v>4921</v>
      </c>
      <c r="R1119" t="s">
        <v>4922</v>
      </c>
      <c r="S1119" t="s">
        <v>2885</v>
      </c>
      <c r="T1119" t="s">
        <v>2886</v>
      </c>
    </row>
    <row r="1120" spans="1:20">
      <c r="A1120" s="241">
        <v>44001</v>
      </c>
      <c r="B1120" t="s">
        <v>5848</v>
      </c>
      <c r="C1120" t="s">
        <v>510</v>
      </c>
      <c r="D1120" t="s">
        <v>442</v>
      </c>
      <c r="E1120" t="s">
        <v>343</v>
      </c>
      <c r="F1120" t="s">
        <v>335</v>
      </c>
      <c r="G1120" t="s">
        <v>4170</v>
      </c>
      <c r="H1120" t="s">
        <v>1697</v>
      </c>
      <c r="I1120" t="s">
        <v>1226</v>
      </c>
      <c r="J1120" t="s">
        <v>1710</v>
      </c>
      <c r="K1120" t="s">
        <v>515</v>
      </c>
      <c r="L1120">
        <v>0.87</v>
      </c>
      <c r="M1120" t="s">
        <v>5849</v>
      </c>
      <c r="N1120" t="s">
        <v>5850</v>
      </c>
      <c r="O1120" t="s">
        <v>5851</v>
      </c>
      <c r="P1120" t="s">
        <v>485</v>
      </c>
      <c r="Q1120" t="s">
        <v>4921</v>
      </c>
      <c r="R1120" t="s">
        <v>4922</v>
      </c>
      <c r="S1120" t="s">
        <v>2885</v>
      </c>
      <c r="T1120" t="s">
        <v>2886</v>
      </c>
    </row>
    <row r="1121" spans="1:20">
      <c r="A1121" s="241">
        <v>44001</v>
      </c>
      <c r="B1121" t="s">
        <v>5852</v>
      </c>
      <c r="C1121" t="s">
        <v>207</v>
      </c>
      <c r="D1121" t="s">
        <v>207</v>
      </c>
      <c r="E1121" t="s">
        <v>2535</v>
      </c>
      <c r="F1121" t="s">
        <v>868</v>
      </c>
      <c r="G1121" t="s">
        <v>2686</v>
      </c>
      <c r="H1121" t="s">
        <v>549</v>
      </c>
      <c r="I1121" t="s">
        <v>1427</v>
      </c>
      <c r="J1121" t="s">
        <v>1240</v>
      </c>
      <c r="K1121" t="s">
        <v>214</v>
      </c>
      <c r="L1121">
        <v>0.87</v>
      </c>
      <c r="M1121" t="s">
        <v>5853</v>
      </c>
      <c r="N1121" t="s">
        <v>5854</v>
      </c>
      <c r="O1121" t="s">
        <v>5855</v>
      </c>
      <c r="P1121" t="s">
        <v>485</v>
      </c>
      <c r="Q1121" t="s">
        <v>4921</v>
      </c>
      <c r="R1121" t="s">
        <v>4922</v>
      </c>
      <c r="S1121" t="s">
        <v>2885</v>
      </c>
      <c r="T1121" t="s">
        <v>2886</v>
      </c>
    </row>
    <row r="1122" spans="1:20">
      <c r="A1122" s="241">
        <v>44001</v>
      </c>
      <c r="B1122" t="s">
        <v>5856</v>
      </c>
      <c r="C1122" t="s">
        <v>207</v>
      </c>
      <c r="D1122" t="s">
        <v>224</v>
      </c>
      <c r="E1122" t="s">
        <v>382</v>
      </c>
      <c r="F1122" t="s">
        <v>1231</v>
      </c>
      <c r="G1122" t="s">
        <v>1389</v>
      </c>
      <c r="H1122" t="s">
        <v>776</v>
      </c>
      <c r="I1122" t="s">
        <v>793</v>
      </c>
      <c r="J1122" t="s">
        <v>1026</v>
      </c>
      <c r="K1122" t="s">
        <v>1032</v>
      </c>
      <c r="L1122">
        <v>0.87</v>
      </c>
      <c r="M1122" t="s">
        <v>5857</v>
      </c>
      <c r="N1122" t="s">
        <v>5858</v>
      </c>
      <c r="O1122" t="s">
        <v>5859</v>
      </c>
      <c r="P1122" t="s">
        <v>485</v>
      </c>
      <c r="Q1122" t="s">
        <v>4921</v>
      </c>
      <c r="R1122" t="s">
        <v>4922</v>
      </c>
      <c r="S1122" t="s">
        <v>2885</v>
      </c>
      <c r="T1122" t="s">
        <v>2886</v>
      </c>
    </row>
    <row r="1123" spans="1:20">
      <c r="A1123" s="241">
        <v>44001</v>
      </c>
      <c r="B1123" t="s">
        <v>5860</v>
      </c>
      <c r="C1123" t="s">
        <v>249</v>
      </c>
      <c r="D1123" t="s">
        <v>423</v>
      </c>
      <c r="E1123" t="s">
        <v>343</v>
      </c>
      <c r="F1123" t="s">
        <v>346</v>
      </c>
      <c r="G1123" t="s">
        <v>2043</v>
      </c>
      <c r="H1123" t="s">
        <v>211</v>
      </c>
      <c r="I1123" t="s">
        <v>1421</v>
      </c>
      <c r="J1123" t="s">
        <v>1240</v>
      </c>
      <c r="K1123" t="s">
        <v>1032</v>
      </c>
      <c r="L1123">
        <v>0.86</v>
      </c>
      <c r="M1123" t="s">
        <v>5861</v>
      </c>
      <c r="N1123" t="s">
        <v>5862</v>
      </c>
      <c r="O1123" t="s">
        <v>5863</v>
      </c>
      <c r="P1123" t="s">
        <v>485</v>
      </c>
      <c r="Q1123" t="s">
        <v>4921</v>
      </c>
      <c r="R1123" t="s">
        <v>4922</v>
      </c>
      <c r="S1123" t="s">
        <v>2885</v>
      </c>
      <c r="T1123" t="s">
        <v>2886</v>
      </c>
    </row>
    <row r="1124" spans="1:20">
      <c r="A1124" s="241">
        <v>44001</v>
      </c>
      <c r="B1124" t="s">
        <v>5864</v>
      </c>
      <c r="C1124" t="s">
        <v>475</v>
      </c>
      <c r="D1124" t="s">
        <v>510</v>
      </c>
      <c r="E1124" t="s">
        <v>343</v>
      </c>
      <c r="F1124" t="s">
        <v>881</v>
      </c>
      <c r="G1124" t="s">
        <v>786</v>
      </c>
      <c r="H1124" t="s">
        <v>1426</v>
      </c>
      <c r="I1124" t="s">
        <v>816</v>
      </c>
      <c r="J1124" t="s">
        <v>561</v>
      </c>
      <c r="K1124" t="s">
        <v>579</v>
      </c>
      <c r="L1124">
        <v>0.87</v>
      </c>
      <c r="M1124" t="s">
        <v>5865</v>
      </c>
      <c r="N1124" t="s">
        <v>5866</v>
      </c>
      <c r="O1124" t="s">
        <v>5867</v>
      </c>
      <c r="P1124" t="s">
        <v>485</v>
      </c>
      <c r="Q1124" t="s">
        <v>4921</v>
      </c>
      <c r="R1124" t="s">
        <v>4922</v>
      </c>
      <c r="S1124" t="s">
        <v>2885</v>
      </c>
      <c r="T1124" t="s">
        <v>2886</v>
      </c>
    </row>
    <row r="1125" spans="1:20">
      <c r="A1125" s="241">
        <v>44001</v>
      </c>
      <c r="B1125" t="s">
        <v>5868</v>
      </c>
      <c r="C1125" t="s">
        <v>262</v>
      </c>
      <c r="D1125" t="s">
        <v>237</v>
      </c>
      <c r="E1125" t="s">
        <v>556</v>
      </c>
      <c r="F1125" t="s">
        <v>881</v>
      </c>
      <c r="G1125" t="s">
        <v>1025</v>
      </c>
      <c r="H1125" t="s">
        <v>1038</v>
      </c>
      <c r="I1125" t="s">
        <v>1747</v>
      </c>
      <c r="J1125" t="s">
        <v>561</v>
      </c>
      <c r="K1125" t="s">
        <v>299</v>
      </c>
      <c r="L1125">
        <v>0.87</v>
      </c>
      <c r="M1125" t="s">
        <v>5869</v>
      </c>
      <c r="N1125" t="s">
        <v>5870</v>
      </c>
      <c r="O1125" t="s">
        <v>5871</v>
      </c>
      <c r="P1125" t="s">
        <v>485</v>
      </c>
      <c r="Q1125" t="s">
        <v>4921</v>
      </c>
      <c r="R1125" t="s">
        <v>4922</v>
      </c>
      <c r="S1125" t="s">
        <v>2885</v>
      </c>
      <c r="T1125" t="s">
        <v>2886</v>
      </c>
    </row>
    <row r="1126" spans="1:20">
      <c r="A1126" s="241">
        <v>44001</v>
      </c>
      <c r="B1126" t="s">
        <v>5872</v>
      </c>
      <c r="C1126" t="s">
        <v>249</v>
      </c>
      <c r="D1126" t="s">
        <v>475</v>
      </c>
      <c r="E1126" t="s">
        <v>2549</v>
      </c>
      <c r="F1126" t="s">
        <v>1756</v>
      </c>
      <c r="G1126" t="s">
        <v>548</v>
      </c>
      <c r="H1126" t="s">
        <v>1213</v>
      </c>
      <c r="I1126" t="s">
        <v>806</v>
      </c>
      <c r="J1126" t="s">
        <v>243</v>
      </c>
      <c r="K1126" t="s">
        <v>256</v>
      </c>
      <c r="L1126">
        <v>0.87</v>
      </c>
      <c r="M1126" t="s">
        <v>5873</v>
      </c>
      <c r="N1126" t="s">
        <v>5874</v>
      </c>
      <c r="O1126" t="s">
        <v>5875</v>
      </c>
      <c r="P1126" t="s">
        <v>485</v>
      </c>
      <c r="Q1126" t="s">
        <v>4921</v>
      </c>
      <c r="R1126" t="s">
        <v>4922</v>
      </c>
      <c r="S1126" t="s">
        <v>2885</v>
      </c>
      <c r="T1126" t="s">
        <v>2886</v>
      </c>
    </row>
    <row r="1127" spans="1:20">
      <c r="A1127" s="241">
        <v>44001</v>
      </c>
      <c r="B1127" t="s">
        <v>5876</v>
      </c>
      <c r="C1127" t="s">
        <v>1986</v>
      </c>
      <c r="D1127" t="s">
        <v>423</v>
      </c>
      <c r="E1127" t="s">
        <v>2549</v>
      </c>
      <c r="F1127" t="s">
        <v>576</v>
      </c>
      <c r="G1127" t="s">
        <v>540</v>
      </c>
      <c r="H1127" t="s">
        <v>1051</v>
      </c>
      <c r="I1127" t="s">
        <v>824</v>
      </c>
      <c r="J1127" t="s">
        <v>570</v>
      </c>
      <c r="K1127" t="s">
        <v>299</v>
      </c>
      <c r="L1127">
        <v>0.86</v>
      </c>
      <c r="M1127" t="s">
        <v>5877</v>
      </c>
      <c r="N1127" t="s">
        <v>5878</v>
      </c>
      <c r="O1127" t="s">
        <v>5879</v>
      </c>
      <c r="P1127" t="s">
        <v>485</v>
      </c>
      <c r="Q1127" t="s">
        <v>4921</v>
      </c>
      <c r="R1127" t="s">
        <v>4922</v>
      </c>
      <c r="S1127" t="s">
        <v>2885</v>
      </c>
      <c r="T1127" t="s">
        <v>2886</v>
      </c>
    </row>
    <row r="1128" spans="1:20">
      <c r="A1128" s="241">
        <v>44001</v>
      </c>
      <c r="B1128" t="s">
        <v>5880</v>
      </c>
      <c r="C1128" t="s">
        <v>224</v>
      </c>
      <c r="D1128" t="s">
        <v>223</v>
      </c>
      <c r="E1128" t="s">
        <v>208</v>
      </c>
      <c r="F1128" t="s">
        <v>356</v>
      </c>
      <c r="G1128" t="s">
        <v>1411</v>
      </c>
      <c r="H1128" t="s">
        <v>799</v>
      </c>
      <c r="I1128" t="s">
        <v>242</v>
      </c>
      <c r="J1128" t="s">
        <v>230</v>
      </c>
      <c r="K1128" t="s">
        <v>299</v>
      </c>
      <c r="L1128">
        <v>0.86</v>
      </c>
      <c r="M1128" t="s">
        <v>5881</v>
      </c>
      <c r="N1128" t="s">
        <v>5882</v>
      </c>
      <c r="O1128" t="s">
        <v>5883</v>
      </c>
      <c r="P1128" t="s">
        <v>485</v>
      </c>
      <c r="Q1128" t="s">
        <v>4921</v>
      </c>
      <c r="R1128" t="s">
        <v>4922</v>
      </c>
      <c r="S1128" t="s">
        <v>2885</v>
      </c>
      <c r="T1128" t="s">
        <v>2886</v>
      </c>
    </row>
    <row r="1129" spans="1:20">
      <c r="A1129" s="241">
        <v>44001</v>
      </c>
      <c r="B1129" t="s">
        <v>5884</v>
      </c>
      <c r="C1129" t="s">
        <v>273</v>
      </c>
      <c r="D1129" t="s">
        <v>223</v>
      </c>
      <c r="E1129" t="s">
        <v>402</v>
      </c>
      <c r="F1129" t="s">
        <v>1769</v>
      </c>
      <c r="G1129" t="s">
        <v>2314</v>
      </c>
      <c r="H1129" t="s">
        <v>2324</v>
      </c>
      <c r="I1129" t="s">
        <v>229</v>
      </c>
      <c r="J1129" t="s">
        <v>570</v>
      </c>
      <c r="K1129" t="s">
        <v>268</v>
      </c>
      <c r="L1129">
        <v>0.87</v>
      </c>
      <c r="M1129" t="s">
        <v>5885</v>
      </c>
      <c r="N1129" t="s">
        <v>5886</v>
      </c>
      <c r="O1129" t="s">
        <v>5887</v>
      </c>
      <c r="P1129" t="s">
        <v>485</v>
      </c>
      <c r="Q1129" t="s">
        <v>4921</v>
      </c>
      <c r="R1129" t="s">
        <v>4922</v>
      </c>
      <c r="S1129" t="s">
        <v>2885</v>
      </c>
      <c r="T1129" t="s">
        <v>2886</v>
      </c>
    </row>
    <row r="1130" spans="1:20">
      <c r="A1130" s="241">
        <v>44001</v>
      </c>
      <c r="B1130" t="s">
        <v>5888</v>
      </c>
      <c r="C1130" t="s">
        <v>207</v>
      </c>
      <c r="D1130" t="s">
        <v>224</v>
      </c>
      <c r="E1130" t="s">
        <v>392</v>
      </c>
      <c r="F1130" t="s">
        <v>576</v>
      </c>
      <c r="G1130" t="s">
        <v>2080</v>
      </c>
      <c r="H1130" t="s">
        <v>1726</v>
      </c>
      <c r="I1130" t="s">
        <v>242</v>
      </c>
      <c r="J1130" t="s">
        <v>230</v>
      </c>
      <c r="K1130" t="s">
        <v>579</v>
      </c>
      <c r="L1130">
        <v>0.86</v>
      </c>
      <c r="M1130" t="s">
        <v>5889</v>
      </c>
      <c r="N1130" t="s">
        <v>5890</v>
      </c>
      <c r="O1130" t="s">
        <v>5891</v>
      </c>
      <c r="P1130" t="s">
        <v>485</v>
      </c>
      <c r="Q1130" t="s">
        <v>4921</v>
      </c>
      <c r="R1130" t="s">
        <v>4922</v>
      </c>
      <c r="S1130" t="s">
        <v>2885</v>
      </c>
      <c r="T1130" t="s">
        <v>2886</v>
      </c>
    </row>
    <row r="1131" spans="1:20">
      <c r="A1131" s="241">
        <v>44001</v>
      </c>
      <c r="B1131" t="s">
        <v>5892</v>
      </c>
      <c r="C1131" t="s">
        <v>1196</v>
      </c>
      <c r="D1131" t="s">
        <v>510</v>
      </c>
      <c r="E1131" t="s">
        <v>238</v>
      </c>
      <c r="F1131" t="s">
        <v>848</v>
      </c>
      <c r="G1131" t="s">
        <v>1745</v>
      </c>
      <c r="H1131" t="s">
        <v>2315</v>
      </c>
      <c r="I1131" t="s">
        <v>2329</v>
      </c>
      <c r="J1131" t="s">
        <v>1786</v>
      </c>
      <c r="K1131" t="s">
        <v>280</v>
      </c>
      <c r="L1131">
        <v>0.86</v>
      </c>
      <c r="M1131" t="s">
        <v>5893</v>
      </c>
      <c r="N1131" t="s">
        <v>5894</v>
      </c>
      <c r="O1131" t="s">
        <v>5895</v>
      </c>
      <c r="P1131" t="s">
        <v>485</v>
      </c>
      <c r="Q1131" t="s">
        <v>4921</v>
      </c>
      <c r="R1131" t="s">
        <v>4922</v>
      </c>
      <c r="S1131" t="s">
        <v>2885</v>
      </c>
      <c r="T1131" t="s">
        <v>2886</v>
      </c>
    </row>
    <row r="1132" spans="1:20">
      <c r="A1132" s="241">
        <v>44001</v>
      </c>
      <c r="B1132" t="s">
        <v>5896</v>
      </c>
      <c r="C1132" t="s">
        <v>1986</v>
      </c>
      <c r="D1132" t="s">
        <v>614</v>
      </c>
      <c r="E1132" t="s">
        <v>382</v>
      </c>
      <c r="F1132" t="s">
        <v>1262</v>
      </c>
      <c r="G1132" t="s">
        <v>1420</v>
      </c>
      <c r="H1132" t="s">
        <v>287</v>
      </c>
      <c r="I1132" t="s">
        <v>569</v>
      </c>
      <c r="J1132" t="s">
        <v>2330</v>
      </c>
      <c r="K1132" t="s">
        <v>299</v>
      </c>
      <c r="L1132">
        <v>0.86</v>
      </c>
      <c r="M1132" t="s">
        <v>5897</v>
      </c>
      <c r="N1132" t="s">
        <v>5898</v>
      </c>
      <c r="O1132" t="s">
        <v>5899</v>
      </c>
      <c r="P1132" t="s">
        <v>485</v>
      </c>
      <c r="Q1132" t="s">
        <v>4921</v>
      </c>
      <c r="R1132" t="s">
        <v>4922</v>
      </c>
      <c r="S1132" t="s">
        <v>2885</v>
      </c>
      <c r="T1132" t="s">
        <v>2886</v>
      </c>
    </row>
    <row r="1133" spans="1:20">
      <c r="A1133" s="241">
        <v>44001</v>
      </c>
      <c r="B1133" t="s">
        <v>5900</v>
      </c>
      <c r="C1133" t="s">
        <v>475</v>
      </c>
      <c r="D1133" t="s">
        <v>237</v>
      </c>
      <c r="E1133" t="s">
        <v>382</v>
      </c>
      <c r="F1133" t="s">
        <v>590</v>
      </c>
      <c r="G1133" t="s">
        <v>1433</v>
      </c>
      <c r="H1133" t="s">
        <v>1388</v>
      </c>
      <c r="I1133" t="s">
        <v>577</v>
      </c>
      <c r="J1133" t="s">
        <v>1786</v>
      </c>
      <c r="K1133" t="s">
        <v>268</v>
      </c>
      <c r="L1133">
        <v>0.86</v>
      </c>
      <c r="M1133" t="s">
        <v>5901</v>
      </c>
      <c r="N1133" t="s">
        <v>5902</v>
      </c>
      <c r="O1133" t="s">
        <v>5903</v>
      </c>
      <c r="P1133" t="s">
        <v>485</v>
      </c>
      <c r="Q1133" t="s">
        <v>4921</v>
      </c>
      <c r="R1133" t="s">
        <v>4922</v>
      </c>
      <c r="S1133" t="s">
        <v>2885</v>
      </c>
      <c r="T1133" t="s">
        <v>2886</v>
      </c>
    </row>
    <row r="1134" spans="1:20">
      <c r="A1134" s="241">
        <v>44001</v>
      </c>
      <c r="B1134" t="s">
        <v>5904</v>
      </c>
      <c r="C1134" t="s">
        <v>475</v>
      </c>
      <c r="D1134" t="s">
        <v>249</v>
      </c>
      <c r="E1134" t="s">
        <v>556</v>
      </c>
      <c r="F1134" t="s">
        <v>590</v>
      </c>
      <c r="G1134" t="s">
        <v>1037</v>
      </c>
      <c r="H1134" t="s">
        <v>1704</v>
      </c>
      <c r="I1134" t="s">
        <v>577</v>
      </c>
      <c r="J1134" t="s">
        <v>578</v>
      </c>
      <c r="K1134" t="s">
        <v>299</v>
      </c>
      <c r="L1134">
        <v>0.86</v>
      </c>
      <c r="M1134" t="s">
        <v>5905</v>
      </c>
      <c r="N1134" t="s">
        <v>5906</v>
      </c>
      <c r="O1134" t="s">
        <v>5907</v>
      </c>
      <c r="P1134" t="s">
        <v>485</v>
      </c>
      <c r="Q1134" t="s">
        <v>4921</v>
      </c>
      <c r="R1134" t="s">
        <v>4922</v>
      </c>
      <c r="S1134" t="s">
        <v>2885</v>
      </c>
      <c r="T1134" t="s">
        <v>2886</v>
      </c>
    </row>
    <row r="1135" spans="1:20">
      <c r="A1135" s="241">
        <v>44001</v>
      </c>
      <c r="B1135" t="s">
        <v>5908</v>
      </c>
      <c r="C1135" t="s">
        <v>224</v>
      </c>
      <c r="D1135" t="s">
        <v>223</v>
      </c>
      <c r="E1135" t="s">
        <v>332</v>
      </c>
      <c r="F1135" t="s">
        <v>598</v>
      </c>
      <c r="G1135" t="s">
        <v>1781</v>
      </c>
      <c r="H1135" t="s">
        <v>1069</v>
      </c>
      <c r="I1135" t="s">
        <v>1468</v>
      </c>
      <c r="J1135" t="s">
        <v>850</v>
      </c>
      <c r="K1135" t="s">
        <v>280</v>
      </c>
      <c r="L1135">
        <v>0.86</v>
      </c>
      <c r="M1135" t="s">
        <v>5909</v>
      </c>
      <c r="N1135" t="s">
        <v>5910</v>
      </c>
      <c r="O1135" t="s">
        <v>5911</v>
      </c>
      <c r="P1135" t="s">
        <v>485</v>
      </c>
      <c r="Q1135" t="s">
        <v>4921</v>
      </c>
      <c r="R1135" t="s">
        <v>4922</v>
      </c>
      <c r="S1135" t="s">
        <v>2885</v>
      </c>
      <c r="T1135" t="s">
        <v>2886</v>
      </c>
    </row>
    <row r="1136" spans="1:20">
      <c r="A1136" s="241">
        <v>44001</v>
      </c>
      <c r="B1136" t="s">
        <v>5912</v>
      </c>
      <c r="C1136" t="s">
        <v>249</v>
      </c>
      <c r="D1136" t="s">
        <v>274</v>
      </c>
      <c r="E1136" t="s">
        <v>2535</v>
      </c>
      <c r="F1136" t="s">
        <v>385</v>
      </c>
      <c r="G1136" t="s">
        <v>252</v>
      </c>
      <c r="H1136" t="s">
        <v>307</v>
      </c>
      <c r="I1136" t="s">
        <v>1264</v>
      </c>
      <c r="J1136" t="s">
        <v>289</v>
      </c>
      <c r="K1136" t="s">
        <v>256</v>
      </c>
      <c r="L1136">
        <v>0.86</v>
      </c>
      <c r="M1136" t="s">
        <v>5913</v>
      </c>
      <c r="N1136" t="s">
        <v>5914</v>
      </c>
      <c r="O1136" t="s">
        <v>5915</v>
      </c>
      <c r="P1136" t="s">
        <v>485</v>
      </c>
      <c r="Q1136" t="s">
        <v>4921</v>
      </c>
      <c r="R1136" t="s">
        <v>4922</v>
      </c>
      <c r="S1136" t="s">
        <v>2885</v>
      </c>
      <c r="T1136" t="s">
        <v>2886</v>
      </c>
    </row>
    <row r="1137" spans="1:20">
      <c r="A1137" s="241">
        <v>44001</v>
      </c>
      <c r="B1137" t="s">
        <v>5916</v>
      </c>
      <c r="C1137" t="s">
        <v>223</v>
      </c>
      <c r="D1137" t="s">
        <v>237</v>
      </c>
      <c r="E1137" t="s">
        <v>2549</v>
      </c>
      <c r="F1137" t="s">
        <v>314</v>
      </c>
      <c r="G1137" t="s">
        <v>252</v>
      </c>
      <c r="H1137" t="s">
        <v>585</v>
      </c>
      <c r="I1137" t="s">
        <v>288</v>
      </c>
      <c r="J1137" t="s">
        <v>857</v>
      </c>
      <c r="K1137" t="s">
        <v>651</v>
      </c>
      <c r="L1137">
        <v>0.86</v>
      </c>
      <c r="M1137" t="s">
        <v>5917</v>
      </c>
      <c r="N1137" t="s">
        <v>5918</v>
      </c>
      <c r="O1137" t="s">
        <v>5919</v>
      </c>
      <c r="P1137" t="s">
        <v>485</v>
      </c>
      <c r="Q1137" t="s">
        <v>4921</v>
      </c>
      <c r="R1137" t="s">
        <v>4922</v>
      </c>
      <c r="S1137" t="s">
        <v>2885</v>
      </c>
      <c r="T1137" t="s">
        <v>2886</v>
      </c>
    </row>
    <row r="1138" spans="1:20">
      <c r="A1138" s="241">
        <v>44001</v>
      </c>
      <c r="B1138" t="s">
        <v>5920</v>
      </c>
      <c r="C1138" t="s">
        <v>510</v>
      </c>
      <c r="D1138" t="s">
        <v>261</v>
      </c>
      <c r="E1138" t="s">
        <v>402</v>
      </c>
      <c r="F1138" t="s">
        <v>305</v>
      </c>
      <c r="G1138" t="s">
        <v>1442</v>
      </c>
      <c r="H1138" t="s">
        <v>585</v>
      </c>
      <c r="I1138" t="s">
        <v>1468</v>
      </c>
      <c r="J1138" t="s">
        <v>850</v>
      </c>
      <c r="K1138" t="s">
        <v>280</v>
      </c>
      <c r="L1138">
        <v>0.86</v>
      </c>
      <c r="M1138" t="s">
        <v>5921</v>
      </c>
      <c r="N1138" t="s">
        <v>5922</v>
      </c>
      <c r="O1138" t="s">
        <v>5923</v>
      </c>
      <c r="P1138" t="s">
        <v>485</v>
      </c>
      <c r="Q1138" t="s">
        <v>4921</v>
      </c>
      <c r="R1138" t="s">
        <v>4922</v>
      </c>
      <c r="S1138" t="s">
        <v>2885</v>
      </c>
      <c r="T1138" t="s">
        <v>2886</v>
      </c>
    </row>
    <row r="1139" spans="1:20">
      <c r="A1139" s="241">
        <v>44001</v>
      </c>
      <c r="B1139" t="s">
        <v>5924</v>
      </c>
      <c r="C1139" t="s">
        <v>510</v>
      </c>
      <c r="D1139" t="s">
        <v>237</v>
      </c>
      <c r="E1139" t="s">
        <v>343</v>
      </c>
      <c r="F1139" t="s">
        <v>405</v>
      </c>
      <c r="G1139" t="s">
        <v>1775</v>
      </c>
      <c r="H1139" t="s">
        <v>1478</v>
      </c>
      <c r="I1139" t="s">
        <v>1082</v>
      </c>
      <c r="J1139" t="s">
        <v>309</v>
      </c>
      <c r="K1139" t="s">
        <v>579</v>
      </c>
      <c r="L1139">
        <v>0.86</v>
      </c>
      <c r="M1139" t="s">
        <v>5925</v>
      </c>
      <c r="N1139" t="s">
        <v>5926</v>
      </c>
      <c r="O1139" t="s">
        <v>5927</v>
      </c>
      <c r="P1139" t="s">
        <v>485</v>
      </c>
      <c r="Q1139" t="s">
        <v>4921</v>
      </c>
      <c r="R1139" t="s">
        <v>4922</v>
      </c>
      <c r="S1139" t="s">
        <v>2885</v>
      </c>
      <c r="T1139" t="s">
        <v>2886</v>
      </c>
    </row>
    <row r="1140" spans="1:20">
      <c r="A1140" s="241">
        <v>44001</v>
      </c>
      <c r="B1140" t="s">
        <v>5928</v>
      </c>
      <c r="C1140" t="s">
        <v>423</v>
      </c>
      <c r="D1140" t="s">
        <v>475</v>
      </c>
      <c r="E1140" t="s">
        <v>304</v>
      </c>
      <c r="F1140" t="s">
        <v>1080</v>
      </c>
      <c r="G1140" t="s">
        <v>296</v>
      </c>
      <c r="H1140" t="s">
        <v>585</v>
      </c>
      <c r="I1140" t="s">
        <v>849</v>
      </c>
      <c r="J1140" t="s">
        <v>298</v>
      </c>
      <c r="K1140" t="s">
        <v>256</v>
      </c>
      <c r="L1140">
        <v>0.86</v>
      </c>
      <c r="M1140" t="s">
        <v>5929</v>
      </c>
      <c r="N1140" t="s">
        <v>5930</v>
      </c>
      <c r="O1140" t="s">
        <v>5931</v>
      </c>
      <c r="P1140" t="s">
        <v>485</v>
      </c>
      <c r="Q1140" t="s">
        <v>4921</v>
      </c>
      <c r="R1140" t="s">
        <v>4922</v>
      </c>
      <c r="S1140" t="s">
        <v>2885</v>
      </c>
      <c r="T1140" t="s">
        <v>2886</v>
      </c>
    </row>
    <row r="1141" spans="1:20">
      <c r="A1141" s="241">
        <v>44001</v>
      </c>
      <c r="B1141" t="s">
        <v>5932</v>
      </c>
      <c r="C1141" t="s">
        <v>224</v>
      </c>
      <c r="D1141" t="s">
        <v>207</v>
      </c>
      <c r="E1141" t="s">
        <v>250</v>
      </c>
      <c r="F1141" t="s">
        <v>706</v>
      </c>
      <c r="G1141" t="s">
        <v>286</v>
      </c>
      <c r="H1141" t="s">
        <v>585</v>
      </c>
      <c r="I1141" t="s">
        <v>308</v>
      </c>
      <c r="J1141" t="s">
        <v>309</v>
      </c>
      <c r="K1141" t="s">
        <v>268</v>
      </c>
      <c r="L1141">
        <v>0.86</v>
      </c>
      <c r="M1141" t="s">
        <v>5933</v>
      </c>
      <c r="N1141" t="s">
        <v>5934</v>
      </c>
      <c r="O1141" t="s">
        <v>5935</v>
      </c>
      <c r="P1141" t="s">
        <v>485</v>
      </c>
      <c r="Q1141" t="s">
        <v>4921</v>
      </c>
      <c r="R1141" t="s">
        <v>4922</v>
      </c>
      <c r="S1141" t="s">
        <v>2885</v>
      </c>
      <c r="T1141" t="s">
        <v>2886</v>
      </c>
    </row>
    <row r="1142" spans="1:20">
      <c r="A1142" s="241">
        <v>44001</v>
      </c>
      <c r="B1142" t="s">
        <v>5936</v>
      </c>
      <c r="C1142" t="s">
        <v>206</v>
      </c>
      <c r="D1142" t="s">
        <v>615</v>
      </c>
      <c r="E1142" t="s">
        <v>382</v>
      </c>
      <c r="F1142" t="s">
        <v>1591</v>
      </c>
      <c r="G1142" t="s">
        <v>599</v>
      </c>
      <c r="H1142" t="s">
        <v>600</v>
      </c>
      <c r="I1142" t="s">
        <v>619</v>
      </c>
      <c r="J1142" t="s">
        <v>620</v>
      </c>
      <c r="K1142" t="s">
        <v>268</v>
      </c>
      <c r="L1142">
        <v>0.86</v>
      </c>
      <c r="M1142" t="s">
        <v>5937</v>
      </c>
      <c r="N1142" t="s">
        <v>5938</v>
      </c>
      <c r="O1142" t="s">
        <v>5939</v>
      </c>
      <c r="P1142" t="s">
        <v>485</v>
      </c>
      <c r="Q1142" t="s">
        <v>4921</v>
      </c>
      <c r="R1142" t="s">
        <v>4922</v>
      </c>
      <c r="S1142" t="s">
        <v>2885</v>
      </c>
      <c r="T1142" t="s">
        <v>2886</v>
      </c>
    </row>
    <row r="1143" spans="1:20">
      <c r="A1143" s="241">
        <v>44001</v>
      </c>
      <c r="B1143" t="s">
        <v>5940</v>
      </c>
      <c r="C1143" t="s">
        <v>249</v>
      </c>
      <c r="D1143" t="s">
        <v>442</v>
      </c>
      <c r="E1143" t="s">
        <v>382</v>
      </c>
      <c r="F1143" t="s">
        <v>2151</v>
      </c>
      <c r="G1143" t="s">
        <v>286</v>
      </c>
      <c r="H1143" t="s">
        <v>539</v>
      </c>
      <c r="I1143" t="s">
        <v>863</v>
      </c>
      <c r="J1143" t="s">
        <v>1812</v>
      </c>
      <c r="K1143" t="s">
        <v>280</v>
      </c>
      <c r="L1143">
        <v>0.86</v>
      </c>
      <c r="M1143" t="s">
        <v>5941</v>
      </c>
      <c r="N1143" t="s">
        <v>5942</v>
      </c>
      <c r="O1143" t="s">
        <v>5943</v>
      </c>
      <c r="P1143" t="s">
        <v>485</v>
      </c>
      <c r="Q1143" t="s">
        <v>4921</v>
      </c>
      <c r="R1143" t="s">
        <v>4922</v>
      </c>
      <c r="S1143" t="s">
        <v>2885</v>
      </c>
      <c r="T1143" t="s">
        <v>2886</v>
      </c>
    </row>
    <row r="1144" spans="1:20">
      <c r="A1144" s="241">
        <v>44001</v>
      </c>
      <c r="B1144" t="s">
        <v>5944</v>
      </c>
      <c r="C1144" t="s">
        <v>206</v>
      </c>
      <c r="D1144" t="s">
        <v>442</v>
      </c>
      <c r="E1144" t="s">
        <v>443</v>
      </c>
      <c r="F1144" t="s">
        <v>2151</v>
      </c>
      <c r="G1144" t="s">
        <v>286</v>
      </c>
      <c r="H1144" t="s">
        <v>1478</v>
      </c>
      <c r="I1144" t="s">
        <v>1811</v>
      </c>
      <c r="J1144" t="s">
        <v>1484</v>
      </c>
      <c r="K1144" t="s">
        <v>268</v>
      </c>
      <c r="L1144">
        <v>0.86</v>
      </c>
      <c r="M1144" t="s">
        <v>5945</v>
      </c>
      <c r="N1144" t="s">
        <v>5946</v>
      </c>
      <c r="O1144" t="s">
        <v>5947</v>
      </c>
      <c r="P1144" t="s">
        <v>485</v>
      </c>
      <c r="Q1144" t="s">
        <v>4921</v>
      </c>
      <c r="R1144" t="s">
        <v>4922</v>
      </c>
      <c r="S1144" t="s">
        <v>2885</v>
      </c>
      <c r="T1144" t="s">
        <v>2886</v>
      </c>
    </row>
    <row r="1145" spans="1:20">
      <c r="A1145" s="241">
        <v>44001</v>
      </c>
      <c r="B1145" t="s">
        <v>5948</v>
      </c>
      <c r="C1145" t="s">
        <v>2636</v>
      </c>
      <c r="D1145" t="s">
        <v>959</v>
      </c>
      <c r="E1145" t="s">
        <v>237</v>
      </c>
      <c r="F1145" t="s">
        <v>295</v>
      </c>
      <c r="G1145" t="s">
        <v>1775</v>
      </c>
      <c r="H1145" t="s">
        <v>287</v>
      </c>
      <c r="I1145" t="s">
        <v>619</v>
      </c>
      <c r="J1145" t="s">
        <v>337</v>
      </c>
      <c r="K1145" t="s">
        <v>5949</v>
      </c>
      <c r="L1145">
        <v>0.87</v>
      </c>
      <c r="M1145" t="s">
        <v>5950</v>
      </c>
      <c r="N1145" t="s">
        <v>5951</v>
      </c>
      <c r="O1145" t="s">
        <v>5952</v>
      </c>
      <c r="P1145" t="s">
        <v>485</v>
      </c>
      <c r="Q1145" t="s">
        <v>4921</v>
      </c>
      <c r="R1145" t="s">
        <v>4922</v>
      </c>
      <c r="S1145" t="s">
        <v>2885</v>
      </c>
      <c r="T1145" t="s">
        <v>2886</v>
      </c>
    </row>
    <row r="1146" spans="1:20">
      <c r="A1146" s="241">
        <v>44001</v>
      </c>
      <c r="B1146" t="s">
        <v>5953</v>
      </c>
      <c r="C1146" t="s">
        <v>2431</v>
      </c>
      <c r="D1146" t="s">
        <v>1665</v>
      </c>
      <c r="E1146" t="s">
        <v>510</v>
      </c>
      <c r="F1146" t="s">
        <v>855</v>
      </c>
      <c r="G1146" t="s">
        <v>2343</v>
      </c>
      <c r="H1146" t="s">
        <v>287</v>
      </c>
      <c r="I1146" t="s">
        <v>869</v>
      </c>
      <c r="J1146" t="s">
        <v>640</v>
      </c>
      <c r="K1146" t="s">
        <v>457</v>
      </c>
      <c r="L1146">
        <v>0.86</v>
      </c>
      <c r="M1146" t="s">
        <v>5954</v>
      </c>
      <c r="N1146" t="s">
        <v>5955</v>
      </c>
      <c r="O1146" t="s">
        <v>5956</v>
      </c>
      <c r="P1146" t="s">
        <v>485</v>
      </c>
      <c r="Q1146" t="s">
        <v>4921</v>
      </c>
      <c r="R1146" t="s">
        <v>4922</v>
      </c>
      <c r="S1146" t="s">
        <v>2885</v>
      </c>
      <c r="T1146" t="s">
        <v>2886</v>
      </c>
    </row>
    <row r="1147" spans="1:20">
      <c r="A1147" s="241">
        <v>44001</v>
      </c>
      <c r="B1147" t="s">
        <v>5957</v>
      </c>
      <c r="C1147" t="s">
        <v>206</v>
      </c>
      <c r="D1147" t="s">
        <v>274</v>
      </c>
      <c r="E1147" t="s">
        <v>443</v>
      </c>
      <c r="F1147" t="s">
        <v>1511</v>
      </c>
      <c r="G1147" t="s">
        <v>1832</v>
      </c>
      <c r="H1147" t="s">
        <v>316</v>
      </c>
      <c r="I1147" t="s">
        <v>325</v>
      </c>
      <c r="J1147" t="s">
        <v>1506</v>
      </c>
      <c r="K1147" t="s">
        <v>338</v>
      </c>
      <c r="L1147">
        <v>0.86</v>
      </c>
      <c r="M1147" t="s">
        <v>5958</v>
      </c>
      <c r="N1147" t="s">
        <v>5959</v>
      </c>
      <c r="O1147" t="s">
        <v>5960</v>
      </c>
      <c r="P1147" t="s">
        <v>485</v>
      </c>
      <c r="Q1147" t="s">
        <v>4921</v>
      </c>
      <c r="R1147" t="s">
        <v>4922</v>
      </c>
      <c r="S1147" t="s">
        <v>2885</v>
      </c>
      <c r="T1147" t="s">
        <v>2886</v>
      </c>
    </row>
    <row r="1148" spans="1:20">
      <c r="A1148" s="241">
        <v>44001</v>
      </c>
      <c r="B1148" t="s">
        <v>5961</v>
      </c>
      <c r="C1148" t="s">
        <v>249</v>
      </c>
      <c r="D1148" t="s">
        <v>224</v>
      </c>
      <c r="E1148" t="s">
        <v>424</v>
      </c>
      <c r="F1148" t="s">
        <v>445</v>
      </c>
      <c r="G1148" t="s">
        <v>607</v>
      </c>
      <c r="H1148" t="s">
        <v>862</v>
      </c>
      <c r="I1148" t="s">
        <v>869</v>
      </c>
      <c r="J1148" t="s">
        <v>1827</v>
      </c>
      <c r="K1148" t="s">
        <v>651</v>
      </c>
      <c r="L1148">
        <v>0.86</v>
      </c>
      <c r="M1148" t="s">
        <v>5962</v>
      </c>
      <c r="N1148" t="s">
        <v>5963</v>
      </c>
      <c r="O1148" t="s">
        <v>5964</v>
      </c>
      <c r="P1148" t="s">
        <v>485</v>
      </c>
      <c r="Q1148" t="s">
        <v>4921</v>
      </c>
      <c r="R1148" t="s">
        <v>4922</v>
      </c>
      <c r="S1148" t="s">
        <v>2885</v>
      </c>
      <c r="T1148" t="s">
        <v>2886</v>
      </c>
    </row>
    <row r="1149" spans="1:20">
      <c r="A1149" s="241">
        <v>44001</v>
      </c>
      <c r="B1149" t="s">
        <v>5965</v>
      </c>
      <c r="C1149" t="s">
        <v>261</v>
      </c>
      <c r="D1149" t="s">
        <v>261</v>
      </c>
      <c r="E1149" t="s">
        <v>1139</v>
      </c>
      <c r="F1149" t="s">
        <v>633</v>
      </c>
      <c r="G1149" t="s">
        <v>599</v>
      </c>
      <c r="H1149" t="s">
        <v>346</v>
      </c>
      <c r="I1149" t="s">
        <v>1842</v>
      </c>
      <c r="J1149" t="s">
        <v>1506</v>
      </c>
      <c r="K1149" t="s">
        <v>327</v>
      </c>
      <c r="L1149">
        <v>0.86</v>
      </c>
      <c r="M1149" t="s">
        <v>5966</v>
      </c>
      <c r="N1149" t="s">
        <v>5967</v>
      </c>
      <c r="O1149" t="s">
        <v>5968</v>
      </c>
      <c r="P1149" t="s">
        <v>485</v>
      </c>
      <c r="Q1149" t="s">
        <v>4921</v>
      </c>
      <c r="R1149" t="s">
        <v>4922</v>
      </c>
      <c r="S1149" t="s">
        <v>2885</v>
      </c>
      <c r="T1149" t="s">
        <v>2886</v>
      </c>
    </row>
    <row r="1150" spans="1:20">
      <c r="A1150" s="241">
        <v>44001</v>
      </c>
      <c r="B1150" t="s">
        <v>5969</v>
      </c>
      <c r="C1150" t="s">
        <v>237</v>
      </c>
      <c r="D1150" t="s">
        <v>1877</v>
      </c>
      <c r="E1150" t="s">
        <v>2549</v>
      </c>
      <c r="F1150" t="s">
        <v>1103</v>
      </c>
      <c r="G1150" t="s">
        <v>1477</v>
      </c>
      <c r="H1150" t="s">
        <v>862</v>
      </c>
      <c r="I1150" t="s">
        <v>1494</v>
      </c>
      <c r="J1150" t="s">
        <v>337</v>
      </c>
      <c r="K1150" t="s">
        <v>369</v>
      </c>
      <c r="L1150">
        <v>0.86</v>
      </c>
      <c r="M1150" t="s">
        <v>5970</v>
      </c>
      <c r="N1150" t="s">
        <v>5971</v>
      </c>
      <c r="O1150" t="s">
        <v>5972</v>
      </c>
      <c r="P1150" t="s">
        <v>485</v>
      </c>
      <c r="Q1150" t="s">
        <v>4921</v>
      </c>
      <c r="R1150" t="s">
        <v>4922</v>
      </c>
      <c r="S1150" t="s">
        <v>2885</v>
      </c>
      <c r="T1150" t="s">
        <v>2886</v>
      </c>
    </row>
    <row r="1151" spans="1:20">
      <c r="A1151" s="241">
        <v>44001</v>
      </c>
      <c r="B1151" t="s">
        <v>5973</v>
      </c>
      <c r="C1151" t="s">
        <v>273</v>
      </c>
      <c r="D1151" t="s">
        <v>224</v>
      </c>
      <c r="E1151" t="s">
        <v>1079</v>
      </c>
      <c r="F1151" t="s">
        <v>445</v>
      </c>
      <c r="G1151" t="s">
        <v>1292</v>
      </c>
      <c r="H1151" t="s">
        <v>2927</v>
      </c>
      <c r="I1151" t="s">
        <v>347</v>
      </c>
      <c r="J1151" t="s">
        <v>2372</v>
      </c>
      <c r="K1151" t="s">
        <v>700</v>
      </c>
      <c r="L1151">
        <v>0.86</v>
      </c>
      <c r="M1151" t="s">
        <v>5974</v>
      </c>
      <c r="N1151" t="s">
        <v>5975</v>
      </c>
      <c r="O1151" t="s">
        <v>5976</v>
      </c>
      <c r="P1151" t="s">
        <v>485</v>
      </c>
      <c r="Q1151" t="s">
        <v>4921</v>
      </c>
      <c r="R1151" t="s">
        <v>4922</v>
      </c>
      <c r="S1151" t="s">
        <v>2885</v>
      </c>
      <c r="T1151" t="s">
        <v>2886</v>
      </c>
    </row>
    <row r="1152" spans="1:20">
      <c r="A1152" s="241">
        <v>44001</v>
      </c>
      <c r="B1152" t="s">
        <v>5977</v>
      </c>
      <c r="C1152" t="s">
        <v>262</v>
      </c>
      <c r="D1152" t="s">
        <v>510</v>
      </c>
      <c r="E1152" t="s">
        <v>556</v>
      </c>
      <c r="F1152" t="s">
        <v>639</v>
      </c>
      <c r="G1152" t="s">
        <v>334</v>
      </c>
      <c r="H1152" t="s">
        <v>251</v>
      </c>
      <c r="I1152" t="s">
        <v>882</v>
      </c>
      <c r="J1152" t="s">
        <v>2372</v>
      </c>
      <c r="K1152" t="s">
        <v>666</v>
      </c>
      <c r="L1152">
        <v>0.86</v>
      </c>
      <c r="M1152" t="s">
        <v>5978</v>
      </c>
      <c r="N1152" t="s">
        <v>5979</v>
      </c>
      <c r="O1152" t="s">
        <v>5980</v>
      </c>
      <c r="P1152" t="s">
        <v>485</v>
      </c>
      <c r="Q1152" t="s">
        <v>4921</v>
      </c>
      <c r="R1152" t="s">
        <v>4922</v>
      </c>
      <c r="S1152" t="s">
        <v>2885</v>
      </c>
      <c r="T1152" t="s">
        <v>2886</v>
      </c>
    </row>
    <row r="1153" spans="1:20">
      <c r="A1153" s="241">
        <v>44001</v>
      </c>
      <c r="B1153" t="s">
        <v>5981</v>
      </c>
      <c r="C1153" t="s">
        <v>236</v>
      </c>
      <c r="D1153" t="s">
        <v>274</v>
      </c>
      <c r="E1153" t="s">
        <v>424</v>
      </c>
      <c r="F1153" t="s">
        <v>1536</v>
      </c>
      <c r="G1153" t="s">
        <v>875</v>
      </c>
      <c r="H1153" t="s">
        <v>251</v>
      </c>
      <c r="I1153" t="s">
        <v>357</v>
      </c>
      <c r="J1153" t="s">
        <v>1868</v>
      </c>
      <c r="K1153" t="s">
        <v>327</v>
      </c>
      <c r="L1153">
        <v>0.86</v>
      </c>
      <c r="M1153" t="s">
        <v>5982</v>
      </c>
      <c r="N1153" t="s">
        <v>5983</v>
      </c>
      <c r="O1153" t="s">
        <v>5984</v>
      </c>
      <c r="P1153" t="s">
        <v>485</v>
      </c>
      <c r="Q1153" t="s">
        <v>4921</v>
      </c>
      <c r="R1153" t="s">
        <v>4922</v>
      </c>
      <c r="S1153" t="s">
        <v>2885</v>
      </c>
      <c r="T1153" t="s">
        <v>2886</v>
      </c>
    </row>
    <row r="1154" spans="1:20">
      <c r="A1154" s="241">
        <v>44001</v>
      </c>
      <c r="B1154" t="s">
        <v>5985</v>
      </c>
      <c r="C1154" t="s">
        <v>1986</v>
      </c>
      <c r="D1154" t="s">
        <v>510</v>
      </c>
      <c r="E1154" t="s">
        <v>2478</v>
      </c>
      <c r="F1154" t="s">
        <v>426</v>
      </c>
      <c r="G1154" t="s">
        <v>355</v>
      </c>
      <c r="H1154" t="s">
        <v>868</v>
      </c>
      <c r="I1154" t="s">
        <v>336</v>
      </c>
      <c r="J1154" t="s">
        <v>2372</v>
      </c>
      <c r="K1154" t="s">
        <v>359</v>
      </c>
      <c r="L1154">
        <v>0.86</v>
      </c>
      <c r="M1154" t="s">
        <v>5986</v>
      </c>
      <c r="N1154" t="s">
        <v>5987</v>
      </c>
      <c r="O1154" t="s">
        <v>5988</v>
      </c>
      <c r="P1154" t="s">
        <v>485</v>
      </c>
      <c r="Q1154" t="s">
        <v>4921</v>
      </c>
      <c r="R1154" t="s">
        <v>4922</v>
      </c>
      <c r="S1154" t="s">
        <v>2885</v>
      </c>
      <c r="T1154" t="s">
        <v>2886</v>
      </c>
    </row>
    <row r="1155" spans="1:20">
      <c r="A1155" s="241">
        <v>44001</v>
      </c>
      <c r="B1155" t="s">
        <v>5989</v>
      </c>
      <c r="C1155" t="s">
        <v>273</v>
      </c>
      <c r="D1155" t="s">
        <v>236</v>
      </c>
      <c r="E1155" t="s">
        <v>343</v>
      </c>
      <c r="F1155" t="s">
        <v>374</v>
      </c>
      <c r="G1155" t="s">
        <v>1841</v>
      </c>
      <c r="H1155" t="s">
        <v>868</v>
      </c>
      <c r="I1155" t="s">
        <v>357</v>
      </c>
      <c r="J1155" t="s">
        <v>1116</v>
      </c>
      <c r="K1155" t="s">
        <v>700</v>
      </c>
      <c r="L1155">
        <v>0.86</v>
      </c>
      <c r="M1155" t="s">
        <v>5990</v>
      </c>
      <c r="N1155" t="s">
        <v>5991</v>
      </c>
      <c r="O1155" t="s">
        <v>5992</v>
      </c>
      <c r="P1155" t="s">
        <v>485</v>
      </c>
      <c r="Q1155" t="s">
        <v>4921</v>
      </c>
      <c r="R1155" t="s">
        <v>4922</v>
      </c>
      <c r="S1155" t="s">
        <v>2885</v>
      </c>
      <c r="T1155" t="s">
        <v>2886</v>
      </c>
    </row>
    <row r="1156" spans="1:20">
      <c r="A1156" s="241">
        <v>44001</v>
      </c>
      <c r="B1156" t="s">
        <v>5993</v>
      </c>
      <c r="C1156" t="s">
        <v>224</v>
      </c>
      <c r="D1156" t="s">
        <v>510</v>
      </c>
      <c r="E1156" t="s">
        <v>250</v>
      </c>
      <c r="F1156" t="s">
        <v>887</v>
      </c>
      <c r="G1156" t="s">
        <v>856</v>
      </c>
      <c r="H1156" t="s">
        <v>275</v>
      </c>
      <c r="I1156" t="s">
        <v>1518</v>
      </c>
      <c r="J1156" t="s">
        <v>1868</v>
      </c>
      <c r="K1156" t="s">
        <v>359</v>
      </c>
      <c r="L1156">
        <v>0.86</v>
      </c>
      <c r="M1156" t="s">
        <v>5994</v>
      </c>
      <c r="N1156" t="s">
        <v>5995</v>
      </c>
      <c r="O1156" t="s">
        <v>5996</v>
      </c>
      <c r="P1156" t="s">
        <v>485</v>
      </c>
      <c r="Q1156" t="s">
        <v>4921</v>
      </c>
      <c r="R1156" t="s">
        <v>4922</v>
      </c>
      <c r="S1156" t="s">
        <v>2885</v>
      </c>
      <c r="T1156" t="s">
        <v>2886</v>
      </c>
    </row>
    <row r="1157" spans="1:20">
      <c r="A1157" s="241">
        <v>44001</v>
      </c>
      <c r="B1157" t="s">
        <v>5997</v>
      </c>
      <c r="C1157" t="s">
        <v>223</v>
      </c>
      <c r="D1157" t="s">
        <v>273</v>
      </c>
      <c r="E1157" t="s">
        <v>392</v>
      </c>
      <c r="F1157" t="s">
        <v>647</v>
      </c>
      <c r="G1157" t="s">
        <v>1500</v>
      </c>
      <c r="H1157" t="s">
        <v>813</v>
      </c>
      <c r="I1157" t="s">
        <v>357</v>
      </c>
      <c r="J1157" t="s">
        <v>358</v>
      </c>
      <c r="K1157" t="s">
        <v>349</v>
      </c>
      <c r="L1157">
        <v>0.86</v>
      </c>
      <c r="M1157" t="s">
        <v>5998</v>
      </c>
      <c r="N1157" t="s">
        <v>5999</v>
      </c>
      <c r="O1157" t="s">
        <v>6000</v>
      </c>
      <c r="P1157" t="s">
        <v>485</v>
      </c>
      <c r="Q1157" t="s">
        <v>4921</v>
      </c>
      <c r="R1157" t="s">
        <v>4922</v>
      </c>
      <c r="S1157" t="s">
        <v>2885</v>
      </c>
      <c r="T1157" t="s">
        <v>2886</v>
      </c>
    </row>
    <row r="1158" spans="1:20">
      <c r="A1158" s="241">
        <v>44001</v>
      </c>
      <c r="B1158" t="s">
        <v>6001</v>
      </c>
      <c r="C1158" t="s">
        <v>423</v>
      </c>
      <c r="D1158" t="s">
        <v>223</v>
      </c>
      <c r="E1158" t="s">
        <v>679</v>
      </c>
      <c r="F1158" t="s">
        <v>647</v>
      </c>
      <c r="G1158" t="s">
        <v>1500</v>
      </c>
      <c r="H1158" t="s">
        <v>566</v>
      </c>
      <c r="I1158" t="s">
        <v>357</v>
      </c>
      <c r="J1158" t="s">
        <v>358</v>
      </c>
      <c r="K1158" t="s">
        <v>359</v>
      </c>
      <c r="L1158">
        <v>0.86</v>
      </c>
      <c r="M1158" t="s">
        <v>6002</v>
      </c>
      <c r="N1158" t="s">
        <v>6003</v>
      </c>
      <c r="O1158" t="s">
        <v>6004</v>
      </c>
      <c r="P1158" t="s">
        <v>485</v>
      </c>
      <c r="Q1158" t="s">
        <v>4921</v>
      </c>
      <c r="R1158" t="s">
        <v>4922</v>
      </c>
      <c r="S1158" t="s">
        <v>2885</v>
      </c>
      <c r="T1158" t="s">
        <v>2886</v>
      </c>
    </row>
    <row r="1159" spans="1:20">
      <c r="A1159" s="241">
        <v>44001</v>
      </c>
      <c r="B1159" t="s">
        <v>6005</v>
      </c>
      <c r="C1159" t="s">
        <v>236</v>
      </c>
      <c r="D1159" t="s">
        <v>236</v>
      </c>
      <c r="E1159" t="s">
        <v>208</v>
      </c>
      <c r="F1159" t="s">
        <v>887</v>
      </c>
      <c r="G1159" t="s">
        <v>1483</v>
      </c>
      <c r="H1159" t="s">
        <v>649</v>
      </c>
      <c r="I1159" t="s">
        <v>1523</v>
      </c>
      <c r="J1159" t="s">
        <v>657</v>
      </c>
      <c r="K1159" t="s">
        <v>349</v>
      </c>
      <c r="L1159">
        <v>0.86</v>
      </c>
      <c r="M1159" t="s">
        <v>6006</v>
      </c>
      <c r="N1159" t="s">
        <v>6007</v>
      </c>
      <c r="O1159" t="s">
        <v>6008</v>
      </c>
      <c r="P1159" t="s">
        <v>485</v>
      </c>
      <c r="Q1159" t="s">
        <v>4921</v>
      </c>
      <c r="R1159" t="s">
        <v>4922</v>
      </c>
      <c r="S1159" t="s">
        <v>2885</v>
      </c>
      <c r="T1159" t="s">
        <v>2886</v>
      </c>
    </row>
    <row r="1160" spans="1:20">
      <c r="A1160" s="241">
        <v>44001</v>
      </c>
      <c r="B1160" t="s">
        <v>6009</v>
      </c>
      <c r="C1160" t="s">
        <v>223</v>
      </c>
      <c r="D1160" t="s">
        <v>614</v>
      </c>
      <c r="E1160" t="s">
        <v>382</v>
      </c>
      <c r="F1160" t="s">
        <v>1561</v>
      </c>
      <c r="G1160" t="s">
        <v>334</v>
      </c>
      <c r="H1160" t="s">
        <v>263</v>
      </c>
      <c r="I1160" t="s">
        <v>1859</v>
      </c>
      <c r="J1160" t="s">
        <v>657</v>
      </c>
      <c r="K1160" t="s">
        <v>700</v>
      </c>
      <c r="L1160">
        <v>0.86</v>
      </c>
      <c r="M1160" t="s">
        <v>6010</v>
      </c>
      <c r="N1160" t="s">
        <v>6011</v>
      </c>
      <c r="O1160" t="s">
        <v>6012</v>
      </c>
      <c r="P1160" t="s">
        <v>485</v>
      </c>
      <c r="Q1160" t="s">
        <v>4921</v>
      </c>
      <c r="R1160" t="s">
        <v>4922</v>
      </c>
      <c r="S1160" t="s">
        <v>2885</v>
      </c>
      <c r="T1160" t="s">
        <v>2886</v>
      </c>
    </row>
    <row r="1161" spans="1:20">
      <c r="A1161" s="241">
        <v>44001</v>
      </c>
      <c r="B1161" t="s">
        <v>6013</v>
      </c>
      <c r="C1161" t="s">
        <v>224</v>
      </c>
      <c r="D1161" t="s">
        <v>274</v>
      </c>
      <c r="E1161" t="s">
        <v>238</v>
      </c>
      <c r="F1161" t="s">
        <v>374</v>
      </c>
      <c r="G1161" t="s">
        <v>355</v>
      </c>
      <c r="H1161" t="s">
        <v>1769</v>
      </c>
      <c r="I1161" t="s">
        <v>656</v>
      </c>
      <c r="J1161" t="s">
        <v>1116</v>
      </c>
      <c r="K1161" t="s">
        <v>338</v>
      </c>
      <c r="L1161">
        <v>0.86</v>
      </c>
      <c r="M1161" t="s">
        <v>6014</v>
      </c>
      <c r="N1161" t="s">
        <v>6015</v>
      </c>
      <c r="O1161" t="s">
        <v>6016</v>
      </c>
      <c r="P1161" t="s">
        <v>485</v>
      </c>
      <c r="Q1161" t="s">
        <v>4921</v>
      </c>
      <c r="R1161" t="s">
        <v>4922</v>
      </c>
      <c r="S1161" t="s">
        <v>2885</v>
      </c>
      <c r="T1161" t="s">
        <v>2886</v>
      </c>
    </row>
    <row r="1162" spans="1:20">
      <c r="A1162" s="241">
        <v>44001</v>
      </c>
      <c r="B1162" t="s">
        <v>6017</v>
      </c>
      <c r="C1162" t="s">
        <v>475</v>
      </c>
      <c r="D1162" t="s">
        <v>274</v>
      </c>
      <c r="E1162" t="s">
        <v>238</v>
      </c>
      <c r="F1162" t="s">
        <v>1561</v>
      </c>
      <c r="G1162" t="s">
        <v>355</v>
      </c>
      <c r="H1162" t="s">
        <v>616</v>
      </c>
      <c r="I1162" t="s">
        <v>1547</v>
      </c>
      <c r="J1162" t="s">
        <v>377</v>
      </c>
      <c r="K1162" t="s">
        <v>349</v>
      </c>
      <c r="L1162">
        <v>0.86</v>
      </c>
      <c r="M1162" t="s">
        <v>6018</v>
      </c>
      <c r="N1162" t="s">
        <v>6019</v>
      </c>
      <c r="O1162" t="s">
        <v>6020</v>
      </c>
      <c r="P1162" t="s">
        <v>485</v>
      </c>
      <c r="Q1162" t="s">
        <v>4921</v>
      </c>
      <c r="R1162" t="s">
        <v>4922</v>
      </c>
      <c r="S1162" t="s">
        <v>2885</v>
      </c>
      <c r="T1162" t="s">
        <v>2886</v>
      </c>
    </row>
    <row r="1163" spans="1:20">
      <c r="A1163" s="241">
        <v>44001</v>
      </c>
      <c r="B1163" t="s">
        <v>6021</v>
      </c>
      <c r="C1163" t="s">
        <v>423</v>
      </c>
      <c r="D1163" t="s">
        <v>442</v>
      </c>
      <c r="E1163" t="s">
        <v>250</v>
      </c>
      <c r="F1163" t="s">
        <v>383</v>
      </c>
      <c r="G1163" t="s">
        <v>375</v>
      </c>
      <c r="H1163" t="s">
        <v>356</v>
      </c>
      <c r="I1163" t="s">
        <v>664</v>
      </c>
      <c r="J1163" t="s">
        <v>665</v>
      </c>
      <c r="K1163" t="s">
        <v>666</v>
      </c>
      <c r="L1163">
        <v>0.86</v>
      </c>
      <c r="M1163" t="s">
        <v>6022</v>
      </c>
      <c r="N1163" t="s">
        <v>6023</v>
      </c>
      <c r="O1163" t="s">
        <v>6024</v>
      </c>
      <c r="P1163" t="s">
        <v>485</v>
      </c>
      <c r="Q1163" t="s">
        <v>4921</v>
      </c>
      <c r="R1163" t="s">
        <v>4922</v>
      </c>
      <c r="S1163" t="s">
        <v>2885</v>
      </c>
      <c r="T1163" t="s">
        <v>2886</v>
      </c>
    </row>
    <row r="1164" spans="1:20">
      <c r="A1164" s="241">
        <v>44001</v>
      </c>
      <c r="B1164" t="s">
        <v>6025</v>
      </c>
      <c r="C1164" t="s">
        <v>510</v>
      </c>
      <c r="D1164" t="s">
        <v>237</v>
      </c>
      <c r="E1164" t="s">
        <v>424</v>
      </c>
      <c r="F1164" t="s">
        <v>1536</v>
      </c>
      <c r="G1164" t="s">
        <v>2160</v>
      </c>
      <c r="H1164" t="s">
        <v>275</v>
      </c>
      <c r="I1164" t="s">
        <v>656</v>
      </c>
      <c r="J1164" t="s">
        <v>1116</v>
      </c>
      <c r="K1164" t="s">
        <v>338</v>
      </c>
      <c r="L1164">
        <v>0.86</v>
      </c>
      <c r="M1164" t="s">
        <v>6026</v>
      </c>
      <c r="N1164" t="s">
        <v>6027</v>
      </c>
      <c r="O1164" t="s">
        <v>6028</v>
      </c>
      <c r="P1164" t="s">
        <v>485</v>
      </c>
      <c r="Q1164" t="s">
        <v>4921</v>
      </c>
      <c r="R1164" t="s">
        <v>4922</v>
      </c>
      <c r="S1164" t="s">
        <v>2885</v>
      </c>
      <c r="T1164" t="s">
        <v>2886</v>
      </c>
    </row>
    <row r="1165" spans="1:20">
      <c r="A1165" s="241">
        <v>44001</v>
      </c>
      <c r="B1165" t="s">
        <v>6029</v>
      </c>
      <c r="C1165" t="s">
        <v>236</v>
      </c>
      <c r="D1165" t="s">
        <v>3136</v>
      </c>
      <c r="E1165" t="s">
        <v>343</v>
      </c>
      <c r="F1165" t="s">
        <v>1882</v>
      </c>
      <c r="G1165" t="s">
        <v>617</v>
      </c>
      <c r="H1165" t="s">
        <v>1255</v>
      </c>
      <c r="I1165" t="s">
        <v>1523</v>
      </c>
      <c r="J1165" t="s">
        <v>377</v>
      </c>
      <c r="K1165" t="s">
        <v>457</v>
      </c>
      <c r="L1165">
        <v>0.86</v>
      </c>
      <c r="M1165" t="s">
        <v>6030</v>
      </c>
      <c r="N1165" t="s">
        <v>6031</v>
      </c>
      <c r="O1165" t="s">
        <v>6032</v>
      </c>
      <c r="P1165" t="s">
        <v>485</v>
      </c>
      <c r="Q1165" t="s">
        <v>4921</v>
      </c>
      <c r="R1165" t="s">
        <v>4922</v>
      </c>
      <c r="S1165" t="s">
        <v>2885</v>
      </c>
      <c r="T1165" t="s">
        <v>2886</v>
      </c>
    </row>
    <row r="1166" spans="1:20">
      <c r="A1166" s="241">
        <v>44001</v>
      </c>
      <c r="B1166" t="s">
        <v>6033</v>
      </c>
      <c r="C1166" t="s">
        <v>273</v>
      </c>
      <c r="D1166" t="s">
        <v>223</v>
      </c>
      <c r="E1166" t="s">
        <v>402</v>
      </c>
      <c r="F1166" t="s">
        <v>374</v>
      </c>
      <c r="G1166" t="s">
        <v>1115</v>
      </c>
      <c r="H1166" t="s">
        <v>251</v>
      </c>
      <c r="I1166" t="s">
        <v>664</v>
      </c>
      <c r="J1166" t="s">
        <v>368</v>
      </c>
      <c r="K1166" t="s">
        <v>359</v>
      </c>
      <c r="L1166">
        <v>0.86</v>
      </c>
      <c r="M1166" t="s">
        <v>6034</v>
      </c>
      <c r="N1166" t="s">
        <v>6035</v>
      </c>
      <c r="O1166" t="s">
        <v>6036</v>
      </c>
      <c r="P1166" t="s">
        <v>485</v>
      </c>
      <c r="Q1166" t="s">
        <v>4921</v>
      </c>
      <c r="R1166" t="s">
        <v>4922</v>
      </c>
      <c r="S1166" t="s">
        <v>2885</v>
      </c>
      <c r="T1166" t="s">
        <v>2886</v>
      </c>
    </row>
    <row r="1167" spans="1:20">
      <c r="A1167" s="241">
        <v>44001</v>
      </c>
      <c r="B1167" t="s">
        <v>6037</v>
      </c>
      <c r="C1167" t="s">
        <v>510</v>
      </c>
      <c r="D1167" t="s">
        <v>261</v>
      </c>
      <c r="E1167" t="s">
        <v>2549</v>
      </c>
      <c r="F1167" t="s">
        <v>383</v>
      </c>
      <c r="G1167" t="s">
        <v>1517</v>
      </c>
      <c r="H1167" t="s">
        <v>598</v>
      </c>
      <c r="I1167" t="s">
        <v>376</v>
      </c>
      <c r="J1167" t="s">
        <v>377</v>
      </c>
      <c r="K1167" t="s">
        <v>359</v>
      </c>
      <c r="L1167">
        <v>0.86</v>
      </c>
      <c r="M1167" t="s">
        <v>6038</v>
      </c>
      <c r="N1167" t="s">
        <v>6039</v>
      </c>
      <c r="O1167" t="s">
        <v>6040</v>
      </c>
      <c r="P1167" t="s">
        <v>485</v>
      </c>
      <c r="Q1167" t="s">
        <v>4921</v>
      </c>
      <c r="R1167" t="s">
        <v>4922</v>
      </c>
      <c r="S1167" t="s">
        <v>2885</v>
      </c>
      <c r="T1167" t="s">
        <v>2886</v>
      </c>
    </row>
    <row r="1168" spans="1:20">
      <c r="A1168" s="241">
        <v>44001</v>
      </c>
      <c r="B1168" t="s">
        <v>6041</v>
      </c>
      <c r="C1168" t="s">
        <v>206</v>
      </c>
      <c r="D1168" t="s">
        <v>237</v>
      </c>
      <c r="E1168" t="s">
        <v>225</v>
      </c>
      <c r="F1168" t="s">
        <v>924</v>
      </c>
      <c r="G1168" t="s">
        <v>1562</v>
      </c>
      <c r="H1168" t="s">
        <v>385</v>
      </c>
      <c r="I1168" t="s">
        <v>683</v>
      </c>
      <c r="J1168" t="s">
        <v>912</v>
      </c>
      <c r="K1168" t="s">
        <v>408</v>
      </c>
      <c r="L1168">
        <v>0.86</v>
      </c>
      <c r="M1168" t="s">
        <v>6042</v>
      </c>
      <c r="N1168" t="s">
        <v>6043</v>
      </c>
      <c r="O1168" t="s">
        <v>6044</v>
      </c>
      <c r="P1168" t="s">
        <v>485</v>
      </c>
      <c r="Q1168" t="s">
        <v>4921</v>
      </c>
      <c r="R1168" t="s">
        <v>4922</v>
      </c>
      <c r="S1168" t="s">
        <v>2885</v>
      </c>
      <c r="T1168" t="s">
        <v>2886</v>
      </c>
    </row>
    <row r="1169" spans="1:20">
      <c r="A1169" s="241">
        <v>44001</v>
      </c>
      <c r="B1169" t="s">
        <v>6045</v>
      </c>
      <c r="C1169" t="s">
        <v>423</v>
      </c>
      <c r="D1169" t="s">
        <v>274</v>
      </c>
      <c r="E1169" t="s">
        <v>424</v>
      </c>
      <c r="F1169" t="s">
        <v>2579</v>
      </c>
      <c r="G1169" t="s">
        <v>2393</v>
      </c>
      <c r="H1169" t="s">
        <v>590</v>
      </c>
      <c r="I1169" t="s">
        <v>683</v>
      </c>
      <c r="J1169" t="s">
        <v>1298</v>
      </c>
      <c r="K1169" t="s">
        <v>359</v>
      </c>
      <c r="L1169">
        <v>0.86</v>
      </c>
      <c r="M1169" t="s">
        <v>6046</v>
      </c>
      <c r="N1169" t="s">
        <v>6047</v>
      </c>
      <c r="O1169" t="s">
        <v>6048</v>
      </c>
      <c r="P1169" t="s">
        <v>485</v>
      </c>
      <c r="Q1169" t="s">
        <v>4921</v>
      </c>
      <c r="R1169" t="s">
        <v>4922</v>
      </c>
      <c r="S1169" t="s">
        <v>2885</v>
      </c>
      <c r="T1169" t="s">
        <v>2886</v>
      </c>
    </row>
    <row r="1170" spans="1:20">
      <c r="A1170" s="241">
        <v>44001</v>
      </c>
      <c r="B1170" t="s">
        <v>6049</v>
      </c>
      <c r="C1170" t="s">
        <v>224</v>
      </c>
      <c r="D1170" t="s">
        <v>274</v>
      </c>
      <c r="E1170" t="s">
        <v>238</v>
      </c>
      <c r="F1170" t="s">
        <v>917</v>
      </c>
      <c r="G1170" t="s">
        <v>394</v>
      </c>
      <c r="H1170" t="s">
        <v>415</v>
      </c>
      <c r="I1170" t="s">
        <v>698</v>
      </c>
      <c r="J1170" t="s">
        <v>919</v>
      </c>
      <c r="K1170" t="s">
        <v>418</v>
      </c>
      <c r="L1170">
        <v>0.86</v>
      </c>
      <c r="M1170" t="s">
        <v>6050</v>
      </c>
      <c r="N1170" t="s">
        <v>6051</v>
      </c>
      <c r="O1170" t="s">
        <v>6052</v>
      </c>
      <c r="P1170" t="s">
        <v>485</v>
      </c>
      <c r="Q1170" t="s">
        <v>4921</v>
      </c>
      <c r="R1170" t="s">
        <v>4922</v>
      </c>
      <c r="S1170" t="s">
        <v>2885</v>
      </c>
      <c r="T1170" t="s">
        <v>2886</v>
      </c>
    </row>
    <row r="1171" spans="1:20">
      <c r="A1171" s="241">
        <v>44001</v>
      </c>
      <c r="B1171" t="s">
        <v>6053</v>
      </c>
      <c r="C1171" t="s">
        <v>223</v>
      </c>
      <c r="D1171" t="s">
        <v>273</v>
      </c>
      <c r="E1171" t="s">
        <v>250</v>
      </c>
      <c r="F1171" t="s">
        <v>433</v>
      </c>
      <c r="G1171" t="s">
        <v>918</v>
      </c>
      <c r="H1171" t="s">
        <v>385</v>
      </c>
      <c r="I1171" t="s">
        <v>690</v>
      </c>
      <c r="J1171" t="s">
        <v>699</v>
      </c>
      <c r="K1171" t="s">
        <v>428</v>
      </c>
      <c r="L1171">
        <v>0.86</v>
      </c>
      <c r="M1171" t="s">
        <v>6054</v>
      </c>
      <c r="N1171" t="s">
        <v>6055</v>
      </c>
      <c r="O1171" t="s">
        <v>6056</v>
      </c>
      <c r="P1171" t="s">
        <v>485</v>
      </c>
      <c r="Q1171" t="s">
        <v>4921</v>
      </c>
      <c r="R1171" t="s">
        <v>4922</v>
      </c>
      <c r="S1171" t="s">
        <v>2885</v>
      </c>
      <c r="T1171" t="s">
        <v>2886</v>
      </c>
    </row>
    <row r="1172" spans="1:20">
      <c r="A1172" s="241">
        <v>44001</v>
      </c>
      <c r="B1172" t="s">
        <v>6057</v>
      </c>
      <c r="C1172" t="s">
        <v>262</v>
      </c>
      <c r="D1172" t="s">
        <v>237</v>
      </c>
      <c r="E1172" t="s">
        <v>402</v>
      </c>
      <c r="F1172" t="s">
        <v>403</v>
      </c>
      <c r="G1172" t="s">
        <v>1590</v>
      </c>
      <c r="H1172" t="s">
        <v>385</v>
      </c>
      <c r="I1172" t="s">
        <v>396</v>
      </c>
      <c r="J1172" t="s">
        <v>397</v>
      </c>
      <c r="K1172" t="s">
        <v>369</v>
      </c>
      <c r="L1172">
        <v>0.86</v>
      </c>
      <c r="M1172" t="s">
        <v>6058</v>
      </c>
      <c r="N1172" t="s">
        <v>6059</v>
      </c>
      <c r="O1172" t="s">
        <v>6060</v>
      </c>
      <c r="P1172" t="s">
        <v>485</v>
      </c>
      <c r="Q1172" t="s">
        <v>4921</v>
      </c>
      <c r="R1172" t="s">
        <v>4922</v>
      </c>
      <c r="S1172" t="s">
        <v>2885</v>
      </c>
      <c r="T1172" t="s">
        <v>2886</v>
      </c>
    </row>
    <row r="1173" spans="1:20">
      <c r="A1173" s="241">
        <v>44001</v>
      </c>
      <c r="B1173" t="s">
        <v>6061</v>
      </c>
      <c r="C1173" t="s">
        <v>273</v>
      </c>
      <c r="D1173" t="s">
        <v>294</v>
      </c>
      <c r="E1173" t="s">
        <v>2549</v>
      </c>
      <c r="F1173" t="s">
        <v>403</v>
      </c>
      <c r="G1173" t="s">
        <v>384</v>
      </c>
      <c r="H1173" t="s">
        <v>285</v>
      </c>
      <c r="I1173" t="s">
        <v>911</v>
      </c>
      <c r="J1173" t="s">
        <v>397</v>
      </c>
      <c r="K1173" t="s">
        <v>408</v>
      </c>
      <c r="L1173">
        <v>0.86</v>
      </c>
      <c r="M1173" t="s">
        <v>6062</v>
      </c>
      <c r="N1173" t="s">
        <v>6063</v>
      </c>
      <c r="O1173" t="s">
        <v>6064</v>
      </c>
      <c r="P1173" t="s">
        <v>485</v>
      </c>
      <c r="Q1173" t="s">
        <v>4921</v>
      </c>
      <c r="R1173" t="s">
        <v>4922</v>
      </c>
      <c r="S1173" t="s">
        <v>2885</v>
      </c>
      <c r="T1173" t="s">
        <v>2886</v>
      </c>
    </row>
    <row r="1174" spans="1:20">
      <c r="A1174" s="241">
        <v>44001</v>
      </c>
      <c r="B1174" t="s">
        <v>6065</v>
      </c>
      <c r="C1174" t="s">
        <v>224</v>
      </c>
      <c r="D1174" t="s">
        <v>510</v>
      </c>
      <c r="E1174" t="s">
        <v>250</v>
      </c>
      <c r="F1174" t="s">
        <v>952</v>
      </c>
      <c r="G1174" t="s">
        <v>394</v>
      </c>
      <c r="H1174" t="s">
        <v>1552</v>
      </c>
      <c r="I1174" t="s">
        <v>406</v>
      </c>
      <c r="J1174" t="s">
        <v>707</v>
      </c>
      <c r="K1174" t="s">
        <v>369</v>
      </c>
      <c r="L1174">
        <v>0.86</v>
      </c>
      <c r="M1174" t="s">
        <v>6066</v>
      </c>
      <c r="N1174" t="s">
        <v>6067</v>
      </c>
      <c r="O1174" t="s">
        <v>6068</v>
      </c>
      <c r="P1174" t="s">
        <v>485</v>
      </c>
      <c r="Q1174" t="s">
        <v>4921</v>
      </c>
      <c r="R1174" t="s">
        <v>4922</v>
      </c>
      <c r="S1174" t="s">
        <v>2885</v>
      </c>
      <c r="T1174" t="s">
        <v>2886</v>
      </c>
    </row>
    <row r="1175" spans="1:20">
      <c r="A1175" s="241">
        <v>44001</v>
      </c>
      <c r="B1175" t="s">
        <v>6069</v>
      </c>
      <c r="C1175" t="s">
        <v>224</v>
      </c>
      <c r="D1175" t="s">
        <v>274</v>
      </c>
      <c r="E1175" t="s">
        <v>332</v>
      </c>
      <c r="F1175" t="s">
        <v>1164</v>
      </c>
      <c r="G1175" t="s">
        <v>1568</v>
      </c>
      <c r="H1175" t="s">
        <v>405</v>
      </c>
      <c r="I1175" t="s">
        <v>932</v>
      </c>
      <c r="J1175" t="s">
        <v>1309</v>
      </c>
      <c r="K1175" t="s">
        <v>428</v>
      </c>
      <c r="L1175">
        <v>0.86</v>
      </c>
      <c r="M1175" t="s">
        <v>6070</v>
      </c>
      <c r="N1175" t="s">
        <v>6071</v>
      </c>
      <c r="O1175" t="s">
        <v>6072</v>
      </c>
      <c r="P1175" t="s">
        <v>485</v>
      </c>
      <c r="Q1175" t="s">
        <v>4921</v>
      </c>
      <c r="R1175" t="s">
        <v>4922</v>
      </c>
      <c r="S1175" t="s">
        <v>2885</v>
      </c>
      <c r="T1175" t="s">
        <v>2886</v>
      </c>
    </row>
    <row r="1176" spans="1:20">
      <c r="A1176" s="241">
        <v>44001</v>
      </c>
      <c r="B1176" t="s">
        <v>6073</v>
      </c>
      <c r="C1176" t="s">
        <v>423</v>
      </c>
      <c r="D1176" t="s">
        <v>614</v>
      </c>
      <c r="E1176" t="s">
        <v>208</v>
      </c>
      <c r="F1176" t="s">
        <v>1604</v>
      </c>
      <c r="G1176" t="s">
        <v>681</v>
      </c>
      <c r="H1176" t="s">
        <v>405</v>
      </c>
      <c r="I1176" t="s">
        <v>932</v>
      </c>
      <c r="J1176" t="s">
        <v>407</v>
      </c>
      <c r="K1176" t="s">
        <v>369</v>
      </c>
      <c r="L1176">
        <v>0.86</v>
      </c>
      <c r="M1176" t="s">
        <v>6074</v>
      </c>
      <c r="N1176" t="s">
        <v>6075</v>
      </c>
      <c r="O1176" t="s">
        <v>6076</v>
      </c>
      <c r="P1176" t="s">
        <v>485</v>
      </c>
      <c r="Q1176" t="s">
        <v>4921</v>
      </c>
      <c r="R1176" t="s">
        <v>4922</v>
      </c>
      <c r="S1176" t="s">
        <v>2885</v>
      </c>
      <c r="T1176" t="s">
        <v>2886</v>
      </c>
    </row>
    <row r="1177" spans="1:20">
      <c r="A1177" s="241">
        <v>44001</v>
      </c>
      <c r="B1177" t="s">
        <v>6077</v>
      </c>
      <c r="C1177" t="s">
        <v>224</v>
      </c>
      <c r="D1177" t="s">
        <v>442</v>
      </c>
      <c r="E1177" t="s">
        <v>332</v>
      </c>
      <c r="F1177" t="s">
        <v>3661</v>
      </c>
      <c r="G1177" t="s">
        <v>1122</v>
      </c>
      <c r="H1177" t="s">
        <v>713</v>
      </c>
      <c r="I1177" t="s">
        <v>939</v>
      </c>
      <c r="J1177" t="s">
        <v>954</v>
      </c>
      <c r="K1177" t="s">
        <v>428</v>
      </c>
      <c r="L1177">
        <v>0.86</v>
      </c>
      <c r="M1177" t="s">
        <v>6078</v>
      </c>
      <c r="N1177" t="s">
        <v>6079</v>
      </c>
      <c r="O1177" t="s">
        <v>6080</v>
      </c>
      <c r="P1177" t="s">
        <v>485</v>
      </c>
      <c r="Q1177" t="s">
        <v>4921</v>
      </c>
      <c r="R1177" t="s">
        <v>4922</v>
      </c>
      <c r="S1177" t="s">
        <v>2885</v>
      </c>
      <c r="T1177" t="s">
        <v>2886</v>
      </c>
    </row>
    <row r="1178" spans="1:20">
      <c r="A1178" s="241">
        <v>44001</v>
      </c>
      <c r="B1178" t="s">
        <v>6081</v>
      </c>
      <c r="C1178" t="s">
        <v>224</v>
      </c>
      <c r="D1178" t="s">
        <v>274</v>
      </c>
      <c r="E1178" t="s">
        <v>304</v>
      </c>
      <c r="F1178" t="s">
        <v>718</v>
      </c>
      <c r="G1178" t="s">
        <v>925</v>
      </c>
      <c r="H1178" t="s">
        <v>1591</v>
      </c>
      <c r="I1178" t="s">
        <v>1158</v>
      </c>
      <c r="J1178" t="s">
        <v>954</v>
      </c>
      <c r="K1178" t="s">
        <v>408</v>
      </c>
      <c r="L1178">
        <v>0.86</v>
      </c>
      <c r="M1178" t="s">
        <v>6082</v>
      </c>
      <c r="N1178" t="s">
        <v>6083</v>
      </c>
      <c r="O1178" t="s">
        <v>6084</v>
      </c>
      <c r="P1178" t="s">
        <v>485</v>
      </c>
      <c r="Q1178" t="s">
        <v>4921</v>
      </c>
      <c r="R1178" t="s">
        <v>4922</v>
      </c>
      <c r="S1178" t="s">
        <v>2885</v>
      </c>
      <c r="T1178" t="s">
        <v>2886</v>
      </c>
    </row>
    <row r="1179" spans="1:20">
      <c r="A1179" s="241">
        <v>44001</v>
      </c>
      <c r="B1179" t="s">
        <v>6085</v>
      </c>
      <c r="C1179" t="s">
        <v>423</v>
      </c>
      <c r="D1179" t="s">
        <v>442</v>
      </c>
      <c r="E1179" t="s">
        <v>304</v>
      </c>
      <c r="F1179" t="s">
        <v>3414</v>
      </c>
      <c r="G1179" t="s">
        <v>910</v>
      </c>
      <c r="H1179" t="s">
        <v>2410</v>
      </c>
      <c r="I1179" t="s">
        <v>721</v>
      </c>
      <c r="J1179" t="s">
        <v>730</v>
      </c>
      <c r="K1179" t="s">
        <v>428</v>
      </c>
      <c r="L1179">
        <v>0.86</v>
      </c>
      <c r="M1179" t="s">
        <v>6086</v>
      </c>
      <c r="N1179" t="s">
        <v>6087</v>
      </c>
      <c r="O1179" t="s">
        <v>6088</v>
      </c>
      <c r="P1179" t="s">
        <v>485</v>
      </c>
      <c r="Q1179" t="s">
        <v>4921</v>
      </c>
      <c r="R1179" t="s">
        <v>4922</v>
      </c>
      <c r="S1179" t="s">
        <v>2885</v>
      </c>
      <c r="T1179" t="s">
        <v>2886</v>
      </c>
    </row>
    <row r="1180" spans="1:20">
      <c r="A1180" s="241">
        <v>44001</v>
      </c>
      <c r="B1180" t="s">
        <v>6089</v>
      </c>
      <c r="C1180" t="s">
        <v>614</v>
      </c>
      <c r="D1180" t="s">
        <v>249</v>
      </c>
      <c r="E1180" t="s">
        <v>680</v>
      </c>
      <c r="F1180" t="s">
        <v>3086</v>
      </c>
      <c r="G1180" t="s">
        <v>425</v>
      </c>
      <c r="H1180" t="s">
        <v>1511</v>
      </c>
      <c r="I1180" t="s">
        <v>1158</v>
      </c>
      <c r="J1180" t="s">
        <v>437</v>
      </c>
      <c r="K1180" t="s">
        <v>369</v>
      </c>
      <c r="L1180">
        <v>0.86</v>
      </c>
      <c r="M1180" t="s">
        <v>6090</v>
      </c>
      <c r="N1180" t="s">
        <v>6091</v>
      </c>
      <c r="O1180" t="s">
        <v>6092</v>
      </c>
      <c r="P1180" t="s">
        <v>485</v>
      </c>
      <c r="Q1180" t="s">
        <v>4921</v>
      </c>
      <c r="R1180" t="s">
        <v>4922</v>
      </c>
      <c r="S1180" t="s">
        <v>2885</v>
      </c>
      <c r="T1180" t="s">
        <v>2886</v>
      </c>
    </row>
    <row r="1181" spans="1:20">
      <c r="A1181" s="241">
        <v>44001</v>
      </c>
      <c r="B1181" t="s">
        <v>6093</v>
      </c>
      <c r="C1181" t="s">
        <v>207</v>
      </c>
      <c r="D1181" t="s">
        <v>615</v>
      </c>
      <c r="E1181" t="s">
        <v>332</v>
      </c>
      <c r="F1181" t="s">
        <v>1619</v>
      </c>
      <c r="G1181" t="s">
        <v>728</v>
      </c>
      <c r="H1181" t="s">
        <v>323</v>
      </c>
      <c r="I1181" t="s">
        <v>1631</v>
      </c>
      <c r="J1181" t="s">
        <v>730</v>
      </c>
      <c r="K1181" t="s">
        <v>700</v>
      </c>
      <c r="L1181">
        <v>0.86</v>
      </c>
      <c r="M1181" t="s">
        <v>6094</v>
      </c>
      <c r="N1181" t="s">
        <v>6095</v>
      </c>
      <c r="O1181" t="s">
        <v>6096</v>
      </c>
      <c r="P1181" t="s">
        <v>485</v>
      </c>
      <c r="Q1181" t="s">
        <v>4921</v>
      </c>
      <c r="R1181" t="s">
        <v>4922</v>
      </c>
      <c r="S1181" t="s">
        <v>2885</v>
      </c>
      <c r="T1181" t="s">
        <v>2886</v>
      </c>
    </row>
    <row r="1182" spans="1:20">
      <c r="A1182" s="241">
        <v>44001</v>
      </c>
      <c r="B1182" t="s">
        <v>6097</v>
      </c>
      <c r="C1182" t="s">
        <v>442</v>
      </c>
      <c r="D1182" t="s">
        <v>423</v>
      </c>
      <c r="E1182" t="s">
        <v>225</v>
      </c>
      <c r="F1182" t="s">
        <v>1945</v>
      </c>
      <c r="G1182" t="s">
        <v>1324</v>
      </c>
      <c r="H1182" t="s">
        <v>445</v>
      </c>
      <c r="I1182" t="s">
        <v>446</v>
      </c>
      <c r="J1182" t="s">
        <v>730</v>
      </c>
      <c r="K1182" t="s">
        <v>457</v>
      </c>
      <c r="L1182">
        <v>0.86</v>
      </c>
      <c r="M1182" t="s">
        <v>6098</v>
      </c>
      <c r="N1182" t="s">
        <v>6099</v>
      </c>
      <c r="O1182" t="s">
        <v>6100</v>
      </c>
      <c r="P1182" t="s">
        <v>485</v>
      </c>
      <c r="Q1182" t="s">
        <v>4921</v>
      </c>
      <c r="R1182" t="s">
        <v>4922</v>
      </c>
      <c r="S1182" t="s">
        <v>2885</v>
      </c>
      <c r="T1182" t="s">
        <v>2886</v>
      </c>
    </row>
    <row r="1183" spans="1:20">
      <c r="A1183" s="241">
        <v>44001</v>
      </c>
      <c r="B1183" t="s">
        <v>6101</v>
      </c>
      <c r="C1183" t="s">
        <v>6102</v>
      </c>
      <c r="D1183" t="s">
        <v>499</v>
      </c>
      <c r="E1183" t="s">
        <v>223</v>
      </c>
      <c r="F1183" t="s">
        <v>6103</v>
      </c>
      <c r="G1183" t="s">
        <v>2628</v>
      </c>
      <c r="H1183" t="s">
        <v>6104</v>
      </c>
      <c r="I1183" t="s">
        <v>6105</v>
      </c>
      <c r="J1183" t="s">
        <v>6106</v>
      </c>
      <c r="K1183" t="s">
        <v>2242</v>
      </c>
      <c r="L1183">
        <v>0.89</v>
      </c>
      <c r="M1183" t="s">
        <v>6107</v>
      </c>
      <c r="N1183" t="s">
        <v>6108</v>
      </c>
      <c r="O1183" t="s">
        <v>6109</v>
      </c>
      <c r="P1183" t="s">
        <v>485</v>
      </c>
      <c r="Q1183" t="s">
        <v>4921</v>
      </c>
      <c r="R1183" t="s">
        <v>4922</v>
      </c>
      <c r="S1183" t="s">
        <v>2885</v>
      </c>
      <c r="T1183" t="s">
        <v>2886</v>
      </c>
    </row>
    <row r="1184" spans="1:20">
      <c r="A1184" s="241">
        <v>44001</v>
      </c>
      <c r="B1184" t="s">
        <v>6110</v>
      </c>
      <c r="C1184" t="s">
        <v>1195</v>
      </c>
      <c r="D1184" t="s">
        <v>463</v>
      </c>
      <c r="E1184" t="s">
        <v>1196</v>
      </c>
      <c r="F1184" t="s">
        <v>4618</v>
      </c>
      <c r="G1184" t="s">
        <v>4368</v>
      </c>
      <c r="H1184" t="s">
        <v>1969</v>
      </c>
      <c r="I1184" t="s">
        <v>6111</v>
      </c>
      <c r="J1184" t="s">
        <v>6112</v>
      </c>
      <c r="K1184" t="s">
        <v>1972</v>
      </c>
      <c r="L1184">
        <v>0.89</v>
      </c>
      <c r="M1184" t="s">
        <v>6113</v>
      </c>
      <c r="N1184" t="s">
        <v>6114</v>
      </c>
      <c r="O1184" t="s">
        <v>6115</v>
      </c>
      <c r="P1184" t="s">
        <v>485</v>
      </c>
      <c r="Q1184" t="s">
        <v>4921</v>
      </c>
      <c r="R1184" t="s">
        <v>4922</v>
      </c>
      <c r="S1184" t="s">
        <v>2885</v>
      </c>
      <c r="T1184" t="s">
        <v>2886</v>
      </c>
    </row>
    <row r="1185" spans="1:20">
      <c r="A1185" s="241">
        <v>44001</v>
      </c>
      <c r="B1185" t="s">
        <v>6116</v>
      </c>
      <c r="C1185" t="s">
        <v>487</v>
      </c>
      <c r="D1185" t="s">
        <v>474</v>
      </c>
      <c r="E1185" t="s">
        <v>1196</v>
      </c>
      <c r="F1185" t="s">
        <v>3832</v>
      </c>
      <c r="G1185" t="s">
        <v>1977</v>
      </c>
      <c r="H1185" t="s">
        <v>1369</v>
      </c>
      <c r="I1185" t="s">
        <v>3510</v>
      </c>
      <c r="J1185" t="s">
        <v>6117</v>
      </c>
      <c r="K1185" t="s">
        <v>2259</v>
      </c>
      <c r="L1185">
        <v>0.89</v>
      </c>
      <c r="M1185" t="s">
        <v>6118</v>
      </c>
      <c r="N1185" t="s">
        <v>6119</v>
      </c>
      <c r="O1185" t="s">
        <v>6120</v>
      </c>
      <c r="P1185" t="s">
        <v>485</v>
      </c>
      <c r="Q1185" t="s">
        <v>4921</v>
      </c>
      <c r="R1185" t="s">
        <v>4922</v>
      </c>
      <c r="S1185" t="s">
        <v>2885</v>
      </c>
      <c r="T1185" t="s">
        <v>2886</v>
      </c>
    </row>
    <row r="1186" spans="1:20">
      <c r="A1186" s="241">
        <v>44001</v>
      </c>
      <c r="B1186" t="s">
        <v>6121</v>
      </c>
      <c r="C1186" t="s">
        <v>2810</v>
      </c>
      <c r="D1186" t="s">
        <v>475</v>
      </c>
      <c r="E1186" t="s">
        <v>679</v>
      </c>
      <c r="F1186" t="s">
        <v>501</v>
      </c>
      <c r="G1186" t="s">
        <v>1000</v>
      </c>
      <c r="H1186" t="s">
        <v>2266</v>
      </c>
      <c r="I1186" t="s">
        <v>6122</v>
      </c>
      <c r="J1186" t="s">
        <v>6123</v>
      </c>
      <c r="K1186" t="s">
        <v>6124</v>
      </c>
      <c r="L1186">
        <v>0.88</v>
      </c>
      <c r="M1186" t="s">
        <v>6125</v>
      </c>
      <c r="N1186" t="s">
        <v>6126</v>
      </c>
      <c r="O1186" t="s">
        <v>6127</v>
      </c>
      <c r="P1186" t="s">
        <v>485</v>
      </c>
      <c r="Q1186" t="s">
        <v>4921</v>
      </c>
      <c r="R1186" t="s">
        <v>4922</v>
      </c>
      <c r="S1186" t="s">
        <v>2885</v>
      </c>
      <c r="T1186" t="s">
        <v>2886</v>
      </c>
    </row>
    <row r="1187" spans="1:20">
      <c r="A1187" s="241">
        <v>44001</v>
      </c>
      <c r="B1187" t="s">
        <v>6128</v>
      </c>
      <c r="C1187" t="s">
        <v>236</v>
      </c>
      <c r="D1187" t="s">
        <v>207</v>
      </c>
      <c r="E1187" t="s">
        <v>343</v>
      </c>
      <c r="F1187" t="s">
        <v>1726</v>
      </c>
      <c r="G1187" t="s">
        <v>3160</v>
      </c>
      <c r="H1187" t="s">
        <v>6129</v>
      </c>
      <c r="I1187" t="s">
        <v>1391</v>
      </c>
      <c r="J1187" t="s">
        <v>1392</v>
      </c>
      <c r="K1187" t="s">
        <v>1234</v>
      </c>
      <c r="L1187">
        <v>0.87</v>
      </c>
      <c r="M1187" t="s">
        <v>6130</v>
      </c>
      <c r="N1187" t="s">
        <v>6131</v>
      </c>
      <c r="O1187" t="s">
        <v>6132</v>
      </c>
      <c r="P1187" t="s">
        <v>485</v>
      </c>
      <c r="Q1187" t="s">
        <v>4921</v>
      </c>
      <c r="R1187" t="s">
        <v>4922</v>
      </c>
      <c r="S1187" t="s">
        <v>2885</v>
      </c>
      <c r="T1187" t="s">
        <v>2886</v>
      </c>
    </row>
    <row r="1188" spans="1:20">
      <c r="A1188" s="241">
        <v>44001</v>
      </c>
      <c r="B1188" t="s">
        <v>6133</v>
      </c>
      <c r="C1188" t="s">
        <v>1196</v>
      </c>
      <c r="D1188" t="s">
        <v>1367</v>
      </c>
      <c r="E1188" t="s">
        <v>812</v>
      </c>
      <c r="F1188" t="s">
        <v>1692</v>
      </c>
      <c r="G1188" t="s">
        <v>520</v>
      </c>
      <c r="H1188" t="s">
        <v>2456</v>
      </c>
      <c r="I1188" t="s">
        <v>1226</v>
      </c>
      <c r="J1188" t="s">
        <v>533</v>
      </c>
      <c r="K1188" t="s">
        <v>244</v>
      </c>
      <c r="L1188">
        <v>0.87</v>
      </c>
      <c r="M1188" t="s">
        <v>6134</v>
      </c>
      <c r="N1188" t="s">
        <v>6135</v>
      </c>
      <c r="O1188" t="s">
        <v>6136</v>
      </c>
      <c r="P1188" t="s">
        <v>485</v>
      </c>
      <c r="Q1188" t="s">
        <v>4921</v>
      </c>
      <c r="R1188" t="s">
        <v>4922</v>
      </c>
      <c r="S1188" t="s">
        <v>2885</v>
      </c>
      <c r="T1188" t="s">
        <v>2886</v>
      </c>
    </row>
    <row r="1189" spans="1:20">
      <c r="A1189" s="241">
        <v>44001</v>
      </c>
      <c r="B1189" t="s">
        <v>6137</v>
      </c>
      <c r="C1189" t="s">
        <v>262</v>
      </c>
      <c r="D1189" t="s">
        <v>206</v>
      </c>
      <c r="E1189" t="s">
        <v>343</v>
      </c>
      <c r="F1189" t="s">
        <v>862</v>
      </c>
      <c r="G1189" t="s">
        <v>1725</v>
      </c>
      <c r="H1189" t="s">
        <v>1697</v>
      </c>
      <c r="I1189" t="s">
        <v>542</v>
      </c>
      <c r="J1189" t="s">
        <v>1428</v>
      </c>
      <c r="K1189" t="s">
        <v>571</v>
      </c>
      <c r="L1189">
        <v>0.87</v>
      </c>
      <c r="M1189" t="s">
        <v>6138</v>
      </c>
      <c r="N1189" t="s">
        <v>6139</v>
      </c>
      <c r="O1189" t="s">
        <v>6140</v>
      </c>
      <c r="P1189" t="s">
        <v>485</v>
      </c>
      <c r="Q1189" t="s">
        <v>4921</v>
      </c>
      <c r="R1189" t="s">
        <v>4922</v>
      </c>
      <c r="S1189" t="s">
        <v>2885</v>
      </c>
      <c r="T1189" t="s">
        <v>2886</v>
      </c>
    </row>
    <row r="1190" spans="1:20">
      <c r="A1190" s="241">
        <v>44001</v>
      </c>
      <c r="B1190" t="s">
        <v>6141</v>
      </c>
      <c r="C1190" t="s">
        <v>224</v>
      </c>
      <c r="D1190" t="s">
        <v>510</v>
      </c>
      <c r="E1190" t="s">
        <v>2549</v>
      </c>
      <c r="F1190" t="s">
        <v>608</v>
      </c>
      <c r="G1190" t="s">
        <v>1239</v>
      </c>
      <c r="H1190" t="s">
        <v>549</v>
      </c>
      <c r="I1190" t="s">
        <v>212</v>
      </c>
      <c r="J1190" t="s">
        <v>817</v>
      </c>
      <c r="K1190" t="s">
        <v>244</v>
      </c>
      <c r="L1190">
        <v>0.87</v>
      </c>
      <c r="M1190" t="s">
        <v>6142</v>
      </c>
      <c r="N1190" t="s">
        <v>6143</v>
      </c>
      <c r="O1190" t="s">
        <v>6144</v>
      </c>
      <c r="P1190" t="s">
        <v>485</v>
      </c>
      <c r="Q1190" t="s">
        <v>4921</v>
      </c>
      <c r="R1190" t="s">
        <v>4922</v>
      </c>
      <c r="S1190" t="s">
        <v>2885</v>
      </c>
      <c r="T1190" t="s">
        <v>2886</v>
      </c>
    </row>
    <row r="1191" spans="1:20">
      <c r="A1191" s="241">
        <v>44001</v>
      </c>
      <c r="B1191" t="s">
        <v>6145</v>
      </c>
      <c r="C1191" t="s">
        <v>273</v>
      </c>
      <c r="D1191" t="s">
        <v>249</v>
      </c>
      <c r="E1191" t="s">
        <v>402</v>
      </c>
      <c r="F1191" t="s">
        <v>813</v>
      </c>
      <c r="G1191" t="s">
        <v>264</v>
      </c>
      <c r="H1191" t="s">
        <v>1390</v>
      </c>
      <c r="I1191" t="s">
        <v>816</v>
      </c>
      <c r="J1191" t="s">
        <v>561</v>
      </c>
      <c r="K1191" t="s">
        <v>244</v>
      </c>
      <c r="L1191">
        <v>0.87</v>
      </c>
      <c r="M1191" t="s">
        <v>6146</v>
      </c>
      <c r="N1191" t="s">
        <v>6147</v>
      </c>
      <c r="O1191" t="s">
        <v>6148</v>
      </c>
      <c r="P1191" t="s">
        <v>485</v>
      </c>
      <c r="Q1191" t="s">
        <v>4921</v>
      </c>
      <c r="R1191" t="s">
        <v>4922</v>
      </c>
      <c r="S1191" t="s">
        <v>2885</v>
      </c>
      <c r="T1191" t="s">
        <v>2886</v>
      </c>
    </row>
    <row r="1192" spans="1:20">
      <c r="A1192" s="241">
        <v>44001</v>
      </c>
      <c r="B1192" t="s">
        <v>6149</v>
      </c>
      <c r="C1192" t="s">
        <v>206</v>
      </c>
      <c r="D1192" t="s">
        <v>206</v>
      </c>
      <c r="E1192" t="s">
        <v>250</v>
      </c>
      <c r="F1192" t="s">
        <v>813</v>
      </c>
      <c r="G1192" t="s">
        <v>830</v>
      </c>
      <c r="H1192" t="s">
        <v>776</v>
      </c>
      <c r="I1192" t="s">
        <v>1250</v>
      </c>
      <c r="J1192" t="s">
        <v>1770</v>
      </c>
      <c r="K1192" t="s">
        <v>256</v>
      </c>
      <c r="L1192">
        <v>0.87</v>
      </c>
      <c r="M1192" t="s">
        <v>6150</v>
      </c>
      <c r="N1192" t="s">
        <v>6151</v>
      </c>
      <c r="O1192" t="s">
        <v>6152</v>
      </c>
      <c r="P1192" t="s">
        <v>485</v>
      </c>
      <c r="Q1192" t="s">
        <v>4921</v>
      </c>
      <c r="R1192" t="s">
        <v>4922</v>
      </c>
      <c r="S1192" t="s">
        <v>2885</v>
      </c>
      <c r="T1192" t="s">
        <v>2886</v>
      </c>
    </row>
    <row r="1193" spans="1:20">
      <c r="A1193" s="241">
        <v>44001</v>
      </c>
      <c r="B1193" t="s">
        <v>6153</v>
      </c>
      <c r="C1193" t="s">
        <v>423</v>
      </c>
      <c r="D1193" t="s">
        <v>249</v>
      </c>
      <c r="E1193" t="s">
        <v>392</v>
      </c>
      <c r="F1193" t="s">
        <v>263</v>
      </c>
      <c r="G1193" t="s">
        <v>2343</v>
      </c>
      <c r="H1193" t="s">
        <v>559</v>
      </c>
      <c r="I1193" t="s">
        <v>569</v>
      </c>
      <c r="J1193" t="s">
        <v>2330</v>
      </c>
      <c r="K1193" t="s">
        <v>256</v>
      </c>
      <c r="L1193">
        <v>0.86</v>
      </c>
      <c r="M1193" t="s">
        <v>6154</v>
      </c>
      <c r="N1193" t="s">
        <v>6155</v>
      </c>
      <c r="O1193" t="s">
        <v>6156</v>
      </c>
      <c r="P1193" t="s">
        <v>485</v>
      </c>
      <c r="Q1193" t="s">
        <v>4921</v>
      </c>
      <c r="R1193" t="s">
        <v>4922</v>
      </c>
      <c r="S1193" t="s">
        <v>2885</v>
      </c>
      <c r="T1193" t="s">
        <v>2886</v>
      </c>
    </row>
    <row r="1194" spans="1:20">
      <c r="A1194" s="241">
        <v>44001</v>
      </c>
      <c r="B1194" t="s">
        <v>6157</v>
      </c>
      <c r="C1194" t="s">
        <v>510</v>
      </c>
      <c r="D1194" t="s">
        <v>1877</v>
      </c>
      <c r="E1194" t="s">
        <v>556</v>
      </c>
      <c r="F1194" t="s">
        <v>626</v>
      </c>
      <c r="G1194" t="s">
        <v>1081</v>
      </c>
      <c r="H1194" t="s">
        <v>1677</v>
      </c>
      <c r="I1194" t="s">
        <v>849</v>
      </c>
      <c r="J1194" t="s">
        <v>601</v>
      </c>
      <c r="K1194" t="s">
        <v>651</v>
      </c>
      <c r="L1194">
        <v>0.86</v>
      </c>
      <c r="M1194" t="s">
        <v>6158</v>
      </c>
      <c r="N1194" t="s">
        <v>6159</v>
      </c>
      <c r="O1194" t="s">
        <v>6160</v>
      </c>
      <c r="P1194" t="s">
        <v>485</v>
      </c>
      <c r="Q1194" t="s">
        <v>4921</v>
      </c>
      <c r="R1194" t="s">
        <v>4922</v>
      </c>
      <c r="S1194" t="s">
        <v>2885</v>
      </c>
      <c r="T1194" t="s">
        <v>2886</v>
      </c>
    </row>
    <row r="1195" spans="1:20">
      <c r="A1195" s="241">
        <v>44001</v>
      </c>
      <c r="B1195" t="s">
        <v>6161</v>
      </c>
      <c r="C1195" t="s">
        <v>423</v>
      </c>
      <c r="D1195" t="s">
        <v>206</v>
      </c>
      <c r="E1195" t="s">
        <v>343</v>
      </c>
      <c r="F1195" t="s">
        <v>848</v>
      </c>
      <c r="G1195" t="s">
        <v>607</v>
      </c>
      <c r="H1195" t="s">
        <v>1017</v>
      </c>
      <c r="I1195" t="s">
        <v>288</v>
      </c>
      <c r="J1195" t="s">
        <v>850</v>
      </c>
      <c r="K1195" t="s">
        <v>268</v>
      </c>
      <c r="L1195">
        <v>0.86</v>
      </c>
      <c r="M1195" t="s">
        <v>6162</v>
      </c>
      <c r="N1195" t="s">
        <v>6163</v>
      </c>
      <c r="O1195" t="s">
        <v>6164</v>
      </c>
      <c r="P1195" t="s">
        <v>485</v>
      </c>
      <c r="Q1195" t="s">
        <v>4921</v>
      </c>
      <c r="R1195" t="s">
        <v>4922</v>
      </c>
      <c r="S1195" t="s">
        <v>2885</v>
      </c>
      <c r="T1195" t="s">
        <v>2886</v>
      </c>
    </row>
    <row r="1196" spans="1:20">
      <c r="A1196" s="241">
        <v>44001</v>
      </c>
      <c r="B1196" t="s">
        <v>6165</v>
      </c>
      <c r="C1196" t="s">
        <v>625</v>
      </c>
      <c r="D1196" t="s">
        <v>237</v>
      </c>
      <c r="E1196" t="s">
        <v>402</v>
      </c>
      <c r="F1196" t="s">
        <v>682</v>
      </c>
      <c r="G1196" t="s">
        <v>1269</v>
      </c>
      <c r="H1196" t="s">
        <v>529</v>
      </c>
      <c r="I1196" t="s">
        <v>609</v>
      </c>
      <c r="J1196" t="s">
        <v>857</v>
      </c>
      <c r="K1196" t="s">
        <v>256</v>
      </c>
      <c r="L1196">
        <v>0.86</v>
      </c>
      <c r="M1196" t="s">
        <v>6166</v>
      </c>
      <c r="N1196" t="s">
        <v>6167</v>
      </c>
      <c r="O1196" t="s">
        <v>6168</v>
      </c>
      <c r="P1196" t="s">
        <v>485</v>
      </c>
      <c r="Q1196" t="s">
        <v>4921</v>
      </c>
      <c r="R1196" t="s">
        <v>4922</v>
      </c>
      <c r="S1196" t="s">
        <v>2885</v>
      </c>
      <c r="T1196" t="s">
        <v>2886</v>
      </c>
    </row>
    <row r="1197" spans="1:20">
      <c r="A1197" s="241">
        <v>44001</v>
      </c>
      <c r="B1197" t="s">
        <v>6169</v>
      </c>
      <c r="C1197" t="s">
        <v>442</v>
      </c>
      <c r="D1197" t="s">
        <v>261</v>
      </c>
      <c r="E1197" t="s">
        <v>238</v>
      </c>
      <c r="F1197" t="s">
        <v>1511</v>
      </c>
      <c r="G1197" t="s">
        <v>591</v>
      </c>
      <c r="H1197" t="s">
        <v>1057</v>
      </c>
      <c r="I1197" t="s">
        <v>1082</v>
      </c>
      <c r="J1197" t="s">
        <v>1484</v>
      </c>
      <c r="K1197" t="s">
        <v>268</v>
      </c>
      <c r="L1197">
        <v>0.86</v>
      </c>
      <c r="M1197" t="s">
        <v>6170</v>
      </c>
      <c r="N1197" t="s">
        <v>6171</v>
      </c>
      <c r="O1197" t="s">
        <v>6172</v>
      </c>
      <c r="P1197" t="s">
        <v>485</v>
      </c>
      <c r="Q1197" t="s">
        <v>4921</v>
      </c>
      <c r="R1197" t="s">
        <v>4922</v>
      </c>
      <c r="S1197" t="s">
        <v>2885</v>
      </c>
      <c r="T1197" t="s">
        <v>2886</v>
      </c>
    </row>
    <row r="1198" spans="1:20">
      <c r="A1198" s="241">
        <v>44001</v>
      </c>
      <c r="B1198" t="s">
        <v>6173</v>
      </c>
      <c r="C1198" t="s">
        <v>207</v>
      </c>
      <c r="D1198" t="s">
        <v>249</v>
      </c>
      <c r="E1198" t="s">
        <v>424</v>
      </c>
      <c r="F1198" t="s">
        <v>1591</v>
      </c>
      <c r="G1198" t="s">
        <v>1483</v>
      </c>
      <c r="H1198" t="s">
        <v>600</v>
      </c>
      <c r="I1198" t="s">
        <v>317</v>
      </c>
      <c r="J1198" t="s">
        <v>1092</v>
      </c>
      <c r="K1198" t="s">
        <v>338</v>
      </c>
      <c r="L1198">
        <v>0.86</v>
      </c>
      <c r="M1198" t="s">
        <v>6174</v>
      </c>
      <c r="N1198" t="s">
        <v>6175</v>
      </c>
      <c r="O1198" t="s">
        <v>6176</v>
      </c>
      <c r="P1198" t="s">
        <v>485</v>
      </c>
      <c r="Q1198" t="s">
        <v>4921</v>
      </c>
      <c r="R1198" t="s">
        <v>4922</v>
      </c>
      <c r="S1198" t="s">
        <v>2885</v>
      </c>
      <c r="T1198" t="s">
        <v>2886</v>
      </c>
    </row>
    <row r="1199" spans="1:20">
      <c r="A1199" s="241">
        <v>44001</v>
      </c>
      <c r="B1199" t="s">
        <v>6177</v>
      </c>
      <c r="C1199" t="s">
        <v>236</v>
      </c>
      <c r="D1199" t="s">
        <v>442</v>
      </c>
      <c r="E1199" t="s">
        <v>225</v>
      </c>
      <c r="F1199" t="s">
        <v>426</v>
      </c>
      <c r="G1199" t="s">
        <v>617</v>
      </c>
      <c r="H1199" t="s">
        <v>226</v>
      </c>
      <c r="I1199" t="s">
        <v>1494</v>
      </c>
      <c r="J1199" t="s">
        <v>634</v>
      </c>
      <c r="K1199" t="s">
        <v>338</v>
      </c>
      <c r="L1199">
        <v>0.86</v>
      </c>
      <c r="M1199" t="s">
        <v>6178</v>
      </c>
      <c r="N1199" t="s">
        <v>6179</v>
      </c>
      <c r="O1199" t="s">
        <v>6180</v>
      </c>
      <c r="P1199" t="s">
        <v>485</v>
      </c>
      <c r="Q1199" t="s">
        <v>4921</v>
      </c>
      <c r="R1199" t="s">
        <v>4922</v>
      </c>
      <c r="S1199" t="s">
        <v>2885</v>
      </c>
      <c r="T1199" t="s">
        <v>2886</v>
      </c>
    </row>
    <row r="1200" spans="1:20">
      <c r="A1200" s="241">
        <v>44001</v>
      </c>
      <c r="B1200" t="s">
        <v>6181</v>
      </c>
      <c r="C1200" t="s">
        <v>273</v>
      </c>
      <c r="D1200" t="s">
        <v>273</v>
      </c>
      <c r="E1200" t="s">
        <v>2549</v>
      </c>
      <c r="F1200" t="s">
        <v>706</v>
      </c>
      <c r="G1200" t="s">
        <v>1500</v>
      </c>
      <c r="H1200" t="s">
        <v>316</v>
      </c>
      <c r="I1200" t="s">
        <v>1494</v>
      </c>
      <c r="J1200" t="s">
        <v>640</v>
      </c>
      <c r="K1200" t="s">
        <v>700</v>
      </c>
      <c r="L1200">
        <v>0.86</v>
      </c>
      <c r="M1200" t="s">
        <v>6182</v>
      </c>
      <c r="N1200" t="s">
        <v>6183</v>
      </c>
      <c r="O1200" t="s">
        <v>6184</v>
      </c>
      <c r="P1200" t="s">
        <v>485</v>
      </c>
      <c r="Q1200" t="s">
        <v>4921</v>
      </c>
      <c r="R1200" t="s">
        <v>4922</v>
      </c>
      <c r="S1200" t="s">
        <v>2885</v>
      </c>
      <c r="T1200" t="s">
        <v>2886</v>
      </c>
    </row>
    <row r="1201" spans="1:20">
      <c r="A1201" s="241">
        <v>44001</v>
      </c>
      <c r="B1201" t="s">
        <v>6185</v>
      </c>
      <c r="C1201" t="s">
        <v>442</v>
      </c>
      <c r="D1201" t="s">
        <v>237</v>
      </c>
      <c r="E1201" t="s">
        <v>225</v>
      </c>
      <c r="F1201" t="s">
        <v>1103</v>
      </c>
      <c r="G1201" t="s">
        <v>1500</v>
      </c>
      <c r="H1201" t="s">
        <v>1050</v>
      </c>
      <c r="I1201" t="s">
        <v>357</v>
      </c>
      <c r="J1201" t="s">
        <v>2372</v>
      </c>
      <c r="K1201" t="s">
        <v>268</v>
      </c>
      <c r="L1201">
        <v>0.86</v>
      </c>
      <c r="M1201" t="s">
        <v>6186</v>
      </c>
      <c r="N1201" t="s">
        <v>6187</v>
      </c>
      <c r="O1201" t="s">
        <v>6188</v>
      </c>
      <c r="P1201" t="s">
        <v>485</v>
      </c>
      <c r="Q1201" t="s">
        <v>4921</v>
      </c>
      <c r="R1201" t="s">
        <v>4922</v>
      </c>
      <c r="S1201" t="s">
        <v>2885</v>
      </c>
      <c r="T1201" t="s">
        <v>2886</v>
      </c>
    </row>
    <row r="1202" spans="1:20">
      <c r="A1202" s="241">
        <v>44001</v>
      </c>
      <c r="B1202" t="s">
        <v>6189</v>
      </c>
      <c r="C1202" t="s">
        <v>423</v>
      </c>
      <c r="D1202" t="s">
        <v>207</v>
      </c>
      <c r="E1202" t="s">
        <v>225</v>
      </c>
      <c r="F1202" t="s">
        <v>1536</v>
      </c>
      <c r="G1202" t="s">
        <v>2160</v>
      </c>
      <c r="H1202" t="s">
        <v>598</v>
      </c>
      <c r="I1202" t="s">
        <v>656</v>
      </c>
      <c r="J1202" t="s">
        <v>899</v>
      </c>
      <c r="K1202" t="s">
        <v>349</v>
      </c>
      <c r="L1202">
        <v>0.86</v>
      </c>
      <c r="M1202" t="s">
        <v>6190</v>
      </c>
      <c r="N1202" t="s">
        <v>6191</v>
      </c>
      <c r="O1202" t="s">
        <v>6192</v>
      </c>
      <c r="P1202" t="s">
        <v>485</v>
      </c>
      <c r="Q1202" t="s">
        <v>4921</v>
      </c>
      <c r="R1202" t="s">
        <v>4922</v>
      </c>
      <c r="S1202" t="s">
        <v>2885</v>
      </c>
      <c r="T1202" t="s">
        <v>2886</v>
      </c>
    </row>
    <row r="1203" spans="1:20">
      <c r="A1203" s="241">
        <v>44001</v>
      </c>
      <c r="B1203" t="s">
        <v>6193</v>
      </c>
      <c r="C1203" t="s">
        <v>274</v>
      </c>
      <c r="D1203" t="s">
        <v>207</v>
      </c>
      <c r="E1203" t="s">
        <v>556</v>
      </c>
      <c r="F1203" t="s">
        <v>433</v>
      </c>
      <c r="G1203" t="s">
        <v>365</v>
      </c>
      <c r="H1203" t="s">
        <v>366</v>
      </c>
      <c r="I1203" t="s">
        <v>674</v>
      </c>
      <c r="J1203" t="s">
        <v>684</v>
      </c>
      <c r="K1203" t="s">
        <v>418</v>
      </c>
      <c r="L1203">
        <v>0.86</v>
      </c>
      <c r="M1203" t="s">
        <v>6194</v>
      </c>
      <c r="N1203" t="s">
        <v>6195</v>
      </c>
      <c r="O1203" t="s">
        <v>6196</v>
      </c>
      <c r="P1203" t="s">
        <v>485</v>
      </c>
      <c r="Q1203" t="s">
        <v>4921</v>
      </c>
      <c r="R1203" t="s">
        <v>4922</v>
      </c>
      <c r="S1203" t="s">
        <v>2885</v>
      </c>
      <c r="T1203" t="s">
        <v>2886</v>
      </c>
    </row>
    <row r="1204" spans="1:20">
      <c r="A1204" s="241">
        <v>44001</v>
      </c>
      <c r="B1204" t="s">
        <v>6197</v>
      </c>
      <c r="C1204" t="s">
        <v>294</v>
      </c>
      <c r="D1204" t="s">
        <v>274</v>
      </c>
      <c r="E1204" t="s">
        <v>556</v>
      </c>
      <c r="F1204" t="s">
        <v>383</v>
      </c>
      <c r="G1204" t="s">
        <v>404</v>
      </c>
      <c r="H1204" t="s">
        <v>616</v>
      </c>
      <c r="I1204" t="s">
        <v>683</v>
      </c>
      <c r="J1204" t="s">
        <v>684</v>
      </c>
      <c r="K1204" t="s">
        <v>666</v>
      </c>
      <c r="L1204">
        <v>0.86</v>
      </c>
      <c r="M1204" t="s">
        <v>6198</v>
      </c>
      <c r="N1204" t="s">
        <v>6199</v>
      </c>
      <c r="O1204" t="s">
        <v>6200</v>
      </c>
      <c r="P1204" t="s">
        <v>485</v>
      </c>
      <c r="Q1204" t="s">
        <v>4921</v>
      </c>
      <c r="R1204" t="s">
        <v>4922</v>
      </c>
      <c r="S1204" t="s">
        <v>2885</v>
      </c>
      <c r="T1204" t="s">
        <v>2886</v>
      </c>
    </row>
    <row r="1205" spans="1:20">
      <c r="A1205" s="241">
        <v>44001</v>
      </c>
      <c r="B1205" t="s">
        <v>6201</v>
      </c>
      <c r="C1205" t="s">
        <v>224</v>
      </c>
      <c r="D1205" t="s">
        <v>442</v>
      </c>
      <c r="E1205" t="s">
        <v>304</v>
      </c>
      <c r="F1205" t="s">
        <v>904</v>
      </c>
      <c r="G1205" t="s">
        <v>918</v>
      </c>
      <c r="H1205" t="s">
        <v>285</v>
      </c>
      <c r="I1205" t="s">
        <v>911</v>
      </c>
      <c r="J1205" t="s">
        <v>691</v>
      </c>
      <c r="K1205" t="s">
        <v>700</v>
      </c>
      <c r="L1205">
        <v>0.86</v>
      </c>
      <c r="M1205" t="s">
        <v>6202</v>
      </c>
      <c r="N1205" t="s">
        <v>6203</v>
      </c>
      <c r="O1205" t="s">
        <v>6204</v>
      </c>
      <c r="P1205" t="s">
        <v>485</v>
      </c>
      <c r="Q1205" t="s">
        <v>4921</v>
      </c>
      <c r="R1205" t="s">
        <v>4922</v>
      </c>
      <c r="S1205" t="s">
        <v>2885</v>
      </c>
      <c r="T1205" t="s">
        <v>2886</v>
      </c>
    </row>
    <row r="1206" spans="1:20">
      <c r="A1206" s="241">
        <v>44001</v>
      </c>
      <c r="B1206" t="s">
        <v>6205</v>
      </c>
      <c r="C1206" t="s">
        <v>237</v>
      </c>
      <c r="D1206" t="s">
        <v>274</v>
      </c>
      <c r="E1206" t="s">
        <v>556</v>
      </c>
      <c r="F1206" t="s">
        <v>1177</v>
      </c>
      <c r="G1206" t="s">
        <v>1946</v>
      </c>
      <c r="H1206" t="s">
        <v>1109</v>
      </c>
      <c r="I1206" t="s">
        <v>436</v>
      </c>
      <c r="J1206" t="s">
        <v>940</v>
      </c>
      <c r="K1206" t="s">
        <v>418</v>
      </c>
      <c r="L1206">
        <v>0.86</v>
      </c>
      <c r="M1206" t="s">
        <v>6206</v>
      </c>
      <c r="N1206" t="s">
        <v>6207</v>
      </c>
      <c r="O1206" t="s">
        <v>6208</v>
      </c>
      <c r="P1206" t="s">
        <v>485</v>
      </c>
      <c r="Q1206" t="s">
        <v>4921</v>
      </c>
      <c r="R1206" t="s">
        <v>4922</v>
      </c>
      <c r="S1206" t="s">
        <v>2885</v>
      </c>
      <c r="T1206" t="s">
        <v>2886</v>
      </c>
    </row>
    <row r="1207" spans="1:20">
      <c r="A1207" s="241">
        <v>44001</v>
      </c>
      <c r="B1207" t="s">
        <v>6209</v>
      </c>
      <c r="C1207" t="s">
        <v>423</v>
      </c>
      <c r="D1207" t="s">
        <v>274</v>
      </c>
      <c r="E1207" t="s">
        <v>250</v>
      </c>
      <c r="F1207" t="s">
        <v>945</v>
      </c>
      <c r="G1207" t="s">
        <v>1157</v>
      </c>
      <c r="H1207" t="s">
        <v>706</v>
      </c>
      <c r="I1207" t="s">
        <v>446</v>
      </c>
      <c r="J1207" t="s">
        <v>1333</v>
      </c>
      <c r="K1207" t="s">
        <v>418</v>
      </c>
      <c r="L1207">
        <v>0.86</v>
      </c>
      <c r="M1207" t="s">
        <v>6210</v>
      </c>
      <c r="N1207" t="s">
        <v>6211</v>
      </c>
      <c r="O1207" t="s">
        <v>6212</v>
      </c>
      <c r="P1207" t="s">
        <v>485</v>
      </c>
      <c r="Q1207" t="s">
        <v>4921</v>
      </c>
      <c r="R1207" t="s">
        <v>4922</v>
      </c>
      <c r="S1207" t="s">
        <v>2885</v>
      </c>
      <c r="T1207" t="s">
        <v>2886</v>
      </c>
    </row>
    <row r="1208" spans="1:20">
      <c r="A1208" s="241">
        <v>44001</v>
      </c>
      <c r="B1208" t="s">
        <v>6213</v>
      </c>
      <c r="C1208" t="s">
        <v>273</v>
      </c>
      <c r="D1208" t="s">
        <v>206</v>
      </c>
      <c r="E1208" t="s">
        <v>696</v>
      </c>
      <c r="F1208" t="s">
        <v>727</v>
      </c>
      <c r="G1208" t="s">
        <v>719</v>
      </c>
      <c r="H1208" t="s">
        <v>415</v>
      </c>
      <c r="I1208" t="s">
        <v>446</v>
      </c>
      <c r="J1208" t="s">
        <v>447</v>
      </c>
      <c r="K1208" t="s">
        <v>448</v>
      </c>
      <c r="L1208">
        <v>0.86</v>
      </c>
      <c r="M1208" t="s">
        <v>6214</v>
      </c>
      <c r="N1208" t="s">
        <v>6215</v>
      </c>
      <c r="O1208" t="s">
        <v>6216</v>
      </c>
      <c r="P1208" t="s">
        <v>485</v>
      </c>
      <c r="Q1208" t="s">
        <v>4921</v>
      </c>
      <c r="R1208" t="s">
        <v>4922</v>
      </c>
      <c r="S1208" t="s">
        <v>2885</v>
      </c>
      <c r="T1208" t="s">
        <v>2886</v>
      </c>
    </row>
    <row r="1209" spans="1:20">
      <c r="A1209" s="241">
        <v>44001</v>
      </c>
      <c r="B1209" t="s">
        <v>6217</v>
      </c>
      <c r="C1209" t="s">
        <v>2644</v>
      </c>
      <c r="D1209" t="s">
        <v>463</v>
      </c>
      <c r="E1209" t="s">
        <v>631</v>
      </c>
      <c r="F1209" t="s">
        <v>323</v>
      </c>
      <c r="G1209" t="s">
        <v>6218</v>
      </c>
      <c r="H1209" t="s">
        <v>3110</v>
      </c>
      <c r="I1209" t="s">
        <v>6219</v>
      </c>
      <c r="J1209" t="s">
        <v>6220</v>
      </c>
      <c r="K1209" t="s">
        <v>6221</v>
      </c>
      <c r="L1209">
        <v>0.89</v>
      </c>
      <c r="M1209" t="s">
        <v>6222</v>
      </c>
      <c r="N1209" t="s">
        <v>6223</v>
      </c>
      <c r="O1209" t="s">
        <v>6224</v>
      </c>
      <c r="P1209" t="s">
        <v>485</v>
      </c>
      <c r="Q1209" t="s">
        <v>4921</v>
      </c>
      <c r="R1209" t="s">
        <v>4922</v>
      </c>
      <c r="S1209" t="s">
        <v>2885</v>
      </c>
      <c r="T1209" t="s">
        <v>2886</v>
      </c>
    </row>
    <row r="1210" spans="1:20">
      <c r="A1210" s="241">
        <v>44001</v>
      </c>
      <c r="B1210" t="s">
        <v>6225</v>
      </c>
      <c r="C1210" t="s">
        <v>463</v>
      </c>
      <c r="D1210" t="s">
        <v>5284</v>
      </c>
      <c r="E1210" t="s">
        <v>475</v>
      </c>
      <c r="F1210" t="s">
        <v>2812</v>
      </c>
      <c r="G1210" t="s">
        <v>5788</v>
      </c>
      <c r="H1210" t="s">
        <v>466</v>
      </c>
      <c r="I1210" t="s">
        <v>6226</v>
      </c>
      <c r="J1210" t="s">
        <v>6227</v>
      </c>
      <c r="K1210" t="s">
        <v>6228</v>
      </c>
      <c r="L1210">
        <v>0.89</v>
      </c>
      <c r="M1210" t="s">
        <v>6229</v>
      </c>
      <c r="N1210" t="s">
        <v>6230</v>
      </c>
      <c r="O1210" t="s">
        <v>6231</v>
      </c>
      <c r="P1210" t="s">
        <v>485</v>
      </c>
      <c r="Q1210" t="s">
        <v>4921</v>
      </c>
      <c r="R1210" t="s">
        <v>4922</v>
      </c>
      <c r="S1210" t="s">
        <v>2885</v>
      </c>
      <c r="T1210" t="s">
        <v>2886</v>
      </c>
    </row>
    <row r="1211" spans="1:20">
      <c r="A1211" s="241">
        <v>44001</v>
      </c>
      <c r="B1211" t="s">
        <v>6232</v>
      </c>
      <c r="C1211" t="s">
        <v>463</v>
      </c>
      <c r="D1211" t="s">
        <v>463</v>
      </c>
      <c r="E1211" t="s">
        <v>5481</v>
      </c>
      <c r="F1211" t="s">
        <v>739</v>
      </c>
      <c r="G1211" t="s">
        <v>1197</v>
      </c>
      <c r="H1211" t="s">
        <v>758</v>
      </c>
      <c r="I1211" t="s">
        <v>5796</v>
      </c>
      <c r="J1211" t="s">
        <v>6233</v>
      </c>
      <c r="K1211" t="s">
        <v>3972</v>
      </c>
      <c r="L1211">
        <v>0.89</v>
      </c>
      <c r="M1211" t="s">
        <v>6234</v>
      </c>
      <c r="N1211" t="s">
        <v>6235</v>
      </c>
      <c r="O1211" t="s">
        <v>6236</v>
      </c>
      <c r="P1211" t="s">
        <v>485</v>
      </c>
      <c r="Q1211" t="s">
        <v>4921</v>
      </c>
      <c r="R1211" t="s">
        <v>4922</v>
      </c>
      <c r="S1211" t="s">
        <v>2885</v>
      </c>
      <c r="T1211" t="s">
        <v>2886</v>
      </c>
    </row>
    <row r="1212" spans="1:20">
      <c r="A1212" s="241">
        <v>44001</v>
      </c>
      <c r="B1212" t="s">
        <v>6237</v>
      </c>
      <c r="C1212" t="s">
        <v>462</v>
      </c>
      <c r="D1212" t="s">
        <v>1195</v>
      </c>
      <c r="E1212" t="s">
        <v>5481</v>
      </c>
      <c r="F1212" t="s">
        <v>1655</v>
      </c>
      <c r="G1212" t="s">
        <v>1977</v>
      </c>
      <c r="H1212" t="s">
        <v>2637</v>
      </c>
      <c r="I1212" t="s">
        <v>6111</v>
      </c>
      <c r="J1212" t="s">
        <v>1189</v>
      </c>
      <c r="K1212" t="s">
        <v>761</v>
      </c>
      <c r="L1212">
        <v>0.89</v>
      </c>
      <c r="M1212" t="s">
        <v>6238</v>
      </c>
      <c r="N1212" t="s">
        <v>6239</v>
      </c>
      <c r="O1212" t="s">
        <v>6240</v>
      </c>
      <c r="P1212" t="s">
        <v>485</v>
      </c>
      <c r="Q1212" t="s">
        <v>4921</v>
      </c>
      <c r="R1212" t="s">
        <v>4922</v>
      </c>
      <c r="S1212" t="s">
        <v>2885</v>
      </c>
      <c r="T1212" t="s">
        <v>2886</v>
      </c>
    </row>
    <row r="1213" spans="1:20">
      <c r="A1213" s="241">
        <v>44001</v>
      </c>
      <c r="B1213" t="s">
        <v>6241</v>
      </c>
      <c r="C1213" t="s">
        <v>237</v>
      </c>
      <c r="D1213" t="s">
        <v>249</v>
      </c>
      <c r="E1213" t="s">
        <v>1139</v>
      </c>
      <c r="F1213" t="s">
        <v>6242</v>
      </c>
      <c r="G1213" t="s">
        <v>5502</v>
      </c>
      <c r="H1213" t="s">
        <v>2266</v>
      </c>
      <c r="I1213" t="s">
        <v>6243</v>
      </c>
      <c r="J1213" t="s">
        <v>6244</v>
      </c>
      <c r="K1213" t="s">
        <v>3148</v>
      </c>
      <c r="L1213">
        <v>0.87</v>
      </c>
      <c r="M1213" t="s">
        <v>6245</v>
      </c>
      <c r="N1213" t="s">
        <v>6246</v>
      </c>
      <c r="O1213" t="s">
        <v>6247</v>
      </c>
      <c r="P1213" t="s">
        <v>485</v>
      </c>
      <c r="Q1213" t="s">
        <v>4921</v>
      </c>
      <c r="R1213" t="s">
        <v>4922</v>
      </c>
      <c r="S1213" t="s">
        <v>2885</v>
      </c>
      <c r="T1213" t="s">
        <v>2886</v>
      </c>
    </row>
    <row r="1214" spans="1:20">
      <c r="A1214" s="241">
        <v>44001</v>
      </c>
      <c r="B1214" t="s">
        <v>6248</v>
      </c>
      <c r="C1214" t="s">
        <v>236</v>
      </c>
      <c r="D1214" t="s">
        <v>423</v>
      </c>
      <c r="E1214" t="s">
        <v>238</v>
      </c>
      <c r="F1214" t="s">
        <v>529</v>
      </c>
      <c r="G1214" t="s">
        <v>2075</v>
      </c>
      <c r="H1214" t="s">
        <v>521</v>
      </c>
      <c r="I1214" t="s">
        <v>542</v>
      </c>
      <c r="J1214" t="s">
        <v>2044</v>
      </c>
      <c r="K1214" t="s">
        <v>515</v>
      </c>
      <c r="L1214">
        <v>0.86</v>
      </c>
      <c r="M1214" t="s">
        <v>6249</v>
      </c>
      <c r="N1214" t="s">
        <v>6250</v>
      </c>
      <c r="O1214" t="s">
        <v>6251</v>
      </c>
      <c r="P1214" t="s">
        <v>485</v>
      </c>
      <c r="Q1214" t="s">
        <v>4921</v>
      </c>
      <c r="R1214" t="s">
        <v>4922</v>
      </c>
      <c r="S1214" t="s">
        <v>2885</v>
      </c>
      <c r="T1214" t="s">
        <v>2886</v>
      </c>
    </row>
    <row r="1215" spans="1:20">
      <c r="A1215" s="241">
        <v>44001</v>
      </c>
      <c r="B1215" t="s">
        <v>6252</v>
      </c>
      <c r="C1215" t="s">
        <v>262</v>
      </c>
      <c r="D1215" t="s">
        <v>237</v>
      </c>
      <c r="E1215" t="s">
        <v>238</v>
      </c>
      <c r="F1215" t="s">
        <v>1478</v>
      </c>
      <c r="G1215" t="s">
        <v>1433</v>
      </c>
      <c r="H1215" t="s">
        <v>2305</v>
      </c>
      <c r="I1215" t="s">
        <v>1427</v>
      </c>
      <c r="J1215" t="s">
        <v>551</v>
      </c>
      <c r="K1215" t="s">
        <v>1032</v>
      </c>
      <c r="L1215">
        <v>0.86</v>
      </c>
      <c r="M1215" t="s">
        <v>6253</v>
      </c>
      <c r="N1215" t="s">
        <v>6254</v>
      </c>
      <c r="O1215" t="s">
        <v>6255</v>
      </c>
      <c r="P1215" t="s">
        <v>485</v>
      </c>
      <c r="Q1215" t="s">
        <v>4921</v>
      </c>
      <c r="R1215" t="s">
        <v>4922</v>
      </c>
      <c r="S1215" t="s">
        <v>2885</v>
      </c>
      <c r="T1215" t="s">
        <v>2886</v>
      </c>
    </row>
    <row r="1216" spans="1:20">
      <c r="A1216" s="241">
        <v>44001</v>
      </c>
      <c r="B1216" t="s">
        <v>6256</v>
      </c>
      <c r="C1216" t="s">
        <v>261</v>
      </c>
      <c r="D1216" t="s">
        <v>223</v>
      </c>
      <c r="E1216" t="s">
        <v>556</v>
      </c>
      <c r="F1216" t="s">
        <v>868</v>
      </c>
      <c r="G1216" t="s">
        <v>2085</v>
      </c>
      <c r="H1216" t="s">
        <v>1426</v>
      </c>
      <c r="I1216" t="s">
        <v>816</v>
      </c>
      <c r="J1216" t="s">
        <v>1039</v>
      </c>
      <c r="K1216" t="s">
        <v>214</v>
      </c>
      <c r="L1216">
        <v>0.86</v>
      </c>
      <c r="M1216" t="s">
        <v>6257</v>
      </c>
      <c r="N1216" t="s">
        <v>6258</v>
      </c>
      <c r="O1216" t="s">
        <v>6259</v>
      </c>
      <c r="P1216" t="s">
        <v>485</v>
      </c>
      <c r="Q1216" t="s">
        <v>4921</v>
      </c>
      <c r="R1216" t="s">
        <v>4922</v>
      </c>
      <c r="S1216" t="s">
        <v>2885</v>
      </c>
      <c r="T1216" t="s">
        <v>2886</v>
      </c>
    </row>
    <row r="1217" spans="1:20">
      <c r="A1217" s="241">
        <v>44001</v>
      </c>
      <c r="B1217" t="s">
        <v>6260</v>
      </c>
      <c r="C1217" t="s">
        <v>261</v>
      </c>
      <c r="D1217" t="s">
        <v>261</v>
      </c>
      <c r="E1217" t="s">
        <v>382</v>
      </c>
      <c r="F1217" t="s">
        <v>1262</v>
      </c>
      <c r="G1217" t="s">
        <v>1781</v>
      </c>
      <c r="H1217" t="s">
        <v>1038</v>
      </c>
      <c r="I1217" t="s">
        <v>266</v>
      </c>
      <c r="J1217" t="s">
        <v>578</v>
      </c>
      <c r="K1217" t="s">
        <v>244</v>
      </c>
      <c r="L1217">
        <v>0.86</v>
      </c>
      <c r="M1217" t="s">
        <v>6261</v>
      </c>
      <c r="N1217" t="s">
        <v>6262</v>
      </c>
      <c r="O1217" t="s">
        <v>6263</v>
      </c>
      <c r="P1217" t="s">
        <v>485</v>
      </c>
      <c r="Q1217" t="s">
        <v>4921</v>
      </c>
      <c r="R1217" t="s">
        <v>4922</v>
      </c>
      <c r="S1217" t="s">
        <v>2885</v>
      </c>
      <c r="T1217" t="s">
        <v>2886</v>
      </c>
    </row>
    <row r="1218" spans="1:20">
      <c r="A1218" s="241">
        <v>44001</v>
      </c>
      <c r="B1218" t="s">
        <v>6264</v>
      </c>
      <c r="C1218" t="s">
        <v>206</v>
      </c>
      <c r="D1218" t="s">
        <v>207</v>
      </c>
      <c r="E1218" t="s">
        <v>424</v>
      </c>
      <c r="F1218" t="s">
        <v>855</v>
      </c>
      <c r="G1218" t="s">
        <v>836</v>
      </c>
      <c r="H1218" t="s">
        <v>287</v>
      </c>
      <c r="I1218" t="s">
        <v>288</v>
      </c>
      <c r="J1218" t="s">
        <v>298</v>
      </c>
      <c r="K1218" t="s">
        <v>280</v>
      </c>
      <c r="L1218">
        <v>0.86</v>
      </c>
      <c r="M1218" t="s">
        <v>6265</v>
      </c>
      <c r="N1218" t="s">
        <v>6266</v>
      </c>
      <c r="O1218" t="s">
        <v>6267</v>
      </c>
      <c r="P1218" t="s">
        <v>485</v>
      </c>
      <c r="Q1218" t="s">
        <v>4921</v>
      </c>
      <c r="R1218" t="s">
        <v>4922</v>
      </c>
      <c r="S1218" t="s">
        <v>2885</v>
      </c>
      <c r="T1218" t="s">
        <v>2886</v>
      </c>
    </row>
    <row r="1219" spans="1:20">
      <c r="A1219" s="241">
        <v>44001</v>
      </c>
      <c r="B1219" t="s">
        <v>6268</v>
      </c>
      <c r="C1219" t="s">
        <v>206</v>
      </c>
      <c r="D1219" t="s">
        <v>261</v>
      </c>
      <c r="E1219" t="s">
        <v>250</v>
      </c>
      <c r="F1219" t="s">
        <v>305</v>
      </c>
      <c r="G1219" t="s">
        <v>306</v>
      </c>
      <c r="H1219" t="s">
        <v>277</v>
      </c>
      <c r="I1219" t="s">
        <v>308</v>
      </c>
      <c r="J1219" t="s">
        <v>309</v>
      </c>
      <c r="K1219" t="s">
        <v>280</v>
      </c>
      <c r="L1219">
        <v>0.86</v>
      </c>
      <c r="M1219" t="s">
        <v>6269</v>
      </c>
      <c r="N1219" t="s">
        <v>6270</v>
      </c>
      <c r="O1219" t="s">
        <v>6271</v>
      </c>
      <c r="P1219" t="s">
        <v>485</v>
      </c>
      <c r="Q1219" t="s">
        <v>4921</v>
      </c>
      <c r="R1219" t="s">
        <v>4922</v>
      </c>
      <c r="S1219" t="s">
        <v>2885</v>
      </c>
      <c r="T1219" t="s">
        <v>2886</v>
      </c>
    </row>
    <row r="1220" spans="1:20">
      <c r="A1220" s="241">
        <v>44001</v>
      </c>
      <c r="B1220" t="s">
        <v>6272</v>
      </c>
      <c r="C1220" t="s">
        <v>274</v>
      </c>
      <c r="D1220" t="s">
        <v>224</v>
      </c>
      <c r="E1220" t="s">
        <v>424</v>
      </c>
      <c r="F1220" t="s">
        <v>926</v>
      </c>
      <c r="G1220" t="s">
        <v>2142</v>
      </c>
      <c r="H1220" t="s">
        <v>209</v>
      </c>
      <c r="I1220" t="s">
        <v>308</v>
      </c>
      <c r="J1220" t="s">
        <v>309</v>
      </c>
      <c r="K1220" t="s">
        <v>280</v>
      </c>
      <c r="L1220">
        <v>0.86</v>
      </c>
      <c r="M1220" t="s">
        <v>6273</v>
      </c>
      <c r="N1220" t="s">
        <v>6274</v>
      </c>
      <c r="O1220" t="s">
        <v>6275</v>
      </c>
      <c r="P1220" t="s">
        <v>485</v>
      </c>
      <c r="Q1220" t="s">
        <v>4921</v>
      </c>
      <c r="R1220" t="s">
        <v>4922</v>
      </c>
      <c r="S1220" t="s">
        <v>2885</v>
      </c>
      <c r="T1220" t="s">
        <v>2886</v>
      </c>
    </row>
    <row r="1221" spans="1:20">
      <c r="A1221" s="241">
        <v>44001</v>
      </c>
      <c r="B1221" t="s">
        <v>6276</v>
      </c>
      <c r="C1221" t="s">
        <v>261</v>
      </c>
      <c r="D1221" t="s">
        <v>237</v>
      </c>
      <c r="E1221" t="s">
        <v>402</v>
      </c>
      <c r="F1221" t="s">
        <v>323</v>
      </c>
      <c r="G1221" t="s">
        <v>1477</v>
      </c>
      <c r="H1221" t="s">
        <v>539</v>
      </c>
      <c r="I1221" t="s">
        <v>869</v>
      </c>
      <c r="J1221" t="s">
        <v>1827</v>
      </c>
      <c r="K1221" t="s">
        <v>338</v>
      </c>
      <c r="L1221">
        <v>0.86</v>
      </c>
      <c r="M1221" t="s">
        <v>6277</v>
      </c>
      <c r="N1221" t="s">
        <v>6278</v>
      </c>
      <c r="O1221" t="s">
        <v>6279</v>
      </c>
      <c r="P1221" t="s">
        <v>485</v>
      </c>
      <c r="Q1221" t="s">
        <v>4921</v>
      </c>
      <c r="R1221" t="s">
        <v>4922</v>
      </c>
      <c r="S1221" t="s">
        <v>2885</v>
      </c>
      <c r="T1221" t="s">
        <v>2886</v>
      </c>
    </row>
    <row r="1222" spans="1:20">
      <c r="A1222" s="241">
        <v>44001</v>
      </c>
      <c r="B1222" t="s">
        <v>6280</v>
      </c>
      <c r="C1222" t="s">
        <v>223</v>
      </c>
      <c r="D1222" t="s">
        <v>207</v>
      </c>
      <c r="E1222" t="s">
        <v>225</v>
      </c>
      <c r="F1222" t="s">
        <v>897</v>
      </c>
      <c r="G1222" t="s">
        <v>1292</v>
      </c>
      <c r="H1222" t="s">
        <v>251</v>
      </c>
      <c r="I1222" t="s">
        <v>357</v>
      </c>
      <c r="J1222" t="s">
        <v>1868</v>
      </c>
      <c r="K1222" t="s">
        <v>327</v>
      </c>
      <c r="L1222">
        <v>0.86</v>
      </c>
      <c r="M1222" t="s">
        <v>6281</v>
      </c>
      <c r="N1222" t="s">
        <v>6282</v>
      </c>
      <c r="O1222" t="s">
        <v>6283</v>
      </c>
      <c r="P1222" t="s">
        <v>485</v>
      </c>
      <c r="Q1222" t="s">
        <v>4921</v>
      </c>
      <c r="R1222" t="s">
        <v>4922</v>
      </c>
      <c r="S1222" t="s">
        <v>2885</v>
      </c>
      <c r="T1222" t="s">
        <v>2886</v>
      </c>
    </row>
    <row r="1223" spans="1:20">
      <c r="A1223" s="241">
        <v>44001</v>
      </c>
      <c r="B1223" t="s">
        <v>6284</v>
      </c>
      <c r="C1223" t="s">
        <v>510</v>
      </c>
      <c r="D1223" t="s">
        <v>510</v>
      </c>
      <c r="E1223" t="s">
        <v>696</v>
      </c>
      <c r="F1223" t="s">
        <v>454</v>
      </c>
      <c r="G1223" t="s">
        <v>324</v>
      </c>
      <c r="H1223" t="s">
        <v>251</v>
      </c>
      <c r="I1223" t="s">
        <v>336</v>
      </c>
      <c r="J1223" t="s">
        <v>2372</v>
      </c>
      <c r="K1223" t="s">
        <v>359</v>
      </c>
      <c r="L1223">
        <v>0.86</v>
      </c>
      <c r="M1223" t="s">
        <v>6285</v>
      </c>
      <c r="N1223" t="s">
        <v>6286</v>
      </c>
      <c r="O1223" t="s">
        <v>6287</v>
      </c>
      <c r="P1223" t="s">
        <v>485</v>
      </c>
      <c r="Q1223" t="s">
        <v>4921</v>
      </c>
      <c r="R1223" t="s">
        <v>4922</v>
      </c>
      <c r="S1223" t="s">
        <v>2885</v>
      </c>
      <c r="T1223" t="s">
        <v>2886</v>
      </c>
    </row>
    <row r="1224" spans="1:20">
      <c r="A1224" s="241">
        <v>44001</v>
      </c>
      <c r="B1224" t="s">
        <v>6288</v>
      </c>
      <c r="C1224" t="s">
        <v>224</v>
      </c>
      <c r="D1224" t="s">
        <v>236</v>
      </c>
      <c r="E1224" t="s">
        <v>556</v>
      </c>
      <c r="F1224" t="s">
        <v>662</v>
      </c>
      <c r="G1224" t="s">
        <v>1115</v>
      </c>
      <c r="H1224" t="s">
        <v>566</v>
      </c>
      <c r="I1224" t="s">
        <v>664</v>
      </c>
      <c r="J1224" t="s">
        <v>368</v>
      </c>
      <c r="K1224" t="s">
        <v>349</v>
      </c>
      <c r="L1224">
        <v>0.86</v>
      </c>
      <c r="M1224" t="s">
        <v>6289</v>
      </c>
      <c r="N1224" t="s">
        <v>6290</v>
      </c>
      <c r="O1224" t="s">
        <v>6291</v>
      </c>
      <c r="P1224" t="s">
        <v>485</v>
      </c>
      <c r="Q1224" t="s">
        <v>4921</v>
      </c>
      <c r="R1224" t="s">
        <v>4922</v>
      </c>
      <c r="S1224" t="s">
        <v>2885</v>
      </c>
      <c r="T1224" t="s">
        <v>2886</v>
      </c>
    </row>
    <row r="1225" spans="1:20">
      <c r="A1225" s="241">
        <v>44001</v>
      </c>
      <c r="B1225" t="s">
        <v>6292</v>
      </c>
      <c r="C1225" t="s">
        <v>510</v>
      </c>
      <c r="D1225" t="s">
        <v>223</v>
      </c>
      <c r="E1225" t="s">
        <v>424</v>
      </c>
      <c r="F1225" t="s">
        <v>909</v>
      </c>
      <c r="G1225" t="s">
        <v>681</v>
      </c>
      <c r="H1225" t="s">
        <v>385</v>
      </c>
      <c r="I1225" t="s">
        <v>1134</v>
      </c>
      <c r="J1225" t="s">
        <v>691</v>
      </c>
      <c r="K1225" t="s">
        <v>408</v>
      </c>
      <c r="L1225">
        <v>0.86</v>
      </c>
      <c r="M1225" t="s">
        <v>6293</v>
      </c>
      <c r="N1225" t="s">
        <v>6294</v>
      </c>
      <c r="O1225" t="s">
        <v>6295</v>
      </c>
      <c r="P1225" t="s">
        <v>485</v>
      </c>
      <c r="Q1225" t="s">
        <v>4921</v>
      </c>
      <c r="R1225" t="s">
        <v>4922</v>
      </c>
      <c r="S1225" t="s">
        <v>2885</v>
      </c>
      <c r="T1225" t="s">
        <v>2886</v>
      </c>
    </row>
    <row r="1226" spans="1:20">
      <c r="A1226" s="241">
        <v>44001</v>
      </c>
      <c r="B1226" t="s">
        <v>6296</v>
      </c>
      <c r="C1226" t="s">
        <v>423</v>
      </c>
      <c r="D1226" t="s">
        <v>262</v>
      </c>
      <c r="E1226" t="s">
        <v>424</v>
      </c>
      <c r="F1226" t="s">
        <v>1584</v>
      </c>
      <c r="G1226" t="s">
        <v>673</v>
      </c>
      <c r="H1226" t="s">
        <v>590</v>
      </c>
      <c r="I1226" t="s">
        <v>396</v>
      </c>
      <c r="J1226" t="s">
        <v>1141</v>
      </c>
      <c r="K1226" t="s">
        <v>418</v>
      </c>
      <c r="L1226">
        <v>0.86</v>
      </c>
      <c r="M1226" t="s">
        <v>6297</v>
      </c>
      <c r="N1226" t="s">
        <v>6298</v>
      </c>
      <c r="O1226" t="s">
        <v>6299</v>
      </c>
      <c r="P1226" t="s">
        <v>485</v>
      </c>
      <c r="Q1226" t="s">
        <v>4921</v>
      </c>
      <c r="R1226" t="s">
        <v>4922</v>
      </c>
      <c r="S1226" t="s">
        <v>2885</v>
      </c>
      <c r="T1226" t="s">
        <v>2886</v>
      </c>
    </row>
    <row r="1227" spans="1:20">
      <c r="A1227" s="241">
        <v>44001</v>
      </c>
      <c r="B1227" t="s">
        <v>6300</v>
      </c>
      <c r="C1227" t="s">
        <v>249</v>
      </c>
      <c r="D1227" t="s">
        <v>249</v>
      </c>
      <c r="E1227" t="s">
        <v>238</v>
      </c>
      <c r="F1227" t="s">
        <v>403</v>
      </c>
      <c r="G1227" t="s">
        <v>697</v>
      </c>
      <c r="H1227" t="s">
        <v>1546</v>
      </c>
      <c r="I1227" t="s">
        <v>1579</v>
      </c>
      <c r="J1227" t="s">
        <v>699</v>
      </c>
      <c r="K1227" t="s">
        <v>418</v>
      </c>
      <c r="L1227">
        <v>0.86</v>
      </c>
      <c r="M1227" t="s">
        <v>6301</v>
      </c>
      <c r="N1227" t="s">
        <v>6302</v>
      </c>
      <c r="O1227" t="s">
        <v>6303</v>
      </c>
      <c r="P1227" t="s">
        <v>485</v>
      </c>
      <c r="Q1227" t="s">
        <v>4921</v>
      </c>
      <c r="R1227" t="s">
        <v>4922</v>
      </c>
      <c r="S1227" t="s">
        <v>2885</v>
      </c>
      <c r="T1227" t="s">
        <v>2886</v>
      </c>
    </row>
    <row r="1228" spans="1:20">
      <c r="A1228" s="241">
        <v>44001</v>
      </c>
      <c r="B1228" t="s">
        <v>6304</v>
      </c>
      <c r="C1228" t="s">
        <v>261</v>
      </c>
      <c r="D1228" t="s">
        <v>442</v>
      </c>
      <c r="E1228" t="s">
        <v>556</v>
      </c>
      <c r="F1228" t="s">
        <v>3408</v>
      </c>
      <c r="G1228" t="s">
        <v>1936</v>
      </c>
      <c r="H1228" t="s">
        <v>1574</v>
      </c>
      <c r="I1228" t="s">
        <v>427</v>
      </c>
      <c r="J1228" t="s">
        <v>940</v>
      </c>
      <c r="K1228" t="s">
        <v>722</v>
      </c>
      <c r="L1228">
        <v>0.86</v>
      </c>
      <c r="M1228" t="s">
        <v>6305</v>
      </c>
      <c r="N1228" t="s">
        <v>6306</v>
      </c>
      <c r="O1228" t="s">
        <v>6307</v>
      </c>
      <c r="P1228" t="s">
        <v>485</v>
      </c>
      <c r="Q1228" t="s">
        <v>4921</v>
      </c>
      <c r="R1228" t="s">
        <v>4922</v>
      </c>
      <c r="S1228" t="s">
        <v>2885</v>
      </c>
      <c r="T1228" t="s">
        <v>2886</v>
      </c>
    </row>
    <row r="1229" spans="1:20">
      <c r="A1229" s="241">
        <v>44001</v>
      </c>
      <c r="B1229" t="s">
        <v>6308</v>
      </c>
      <c r="C1229" t="s">
        <v>510</v>
      </c>
      <c r="D1229" t="s">
        <v>615</v>
      </c>
      <c r="E1229" t="s">
        <v>250</v>
      </c>
      <c r="F1229" t="s">
        <v>718</v>
      </c>
      <c r="G1229" t="s">
        <v>719</v>
      </c>
      <c r="H1229" t="s">
        <v>713</v>
      </c>
      <c r="I1229" t="s">
        <v>1631</v>
      </c>
      <c r="J1229" t="s">
        <v>447</v>
      </c>
      <c r="K1229" t="s">
        <v>418</v>
      </c>
      <c r="L1229">
        <v>0.86</v>
      </c>
      <c r="M1229" t="s">
        <v>6309</v>
      </c>
      <c r="N1229" t="s">
        <v>6310</v>
      </c>
      <c r="O1229" t="s">
        <v>6311</v>
      </c>
      <c r="P1229" t="s">
        <v>485</v>
      </c>
      <c r="Q1229" t="s">
        <v>4921</v>
      </c>
      <c r="R1229" t="s">
        <v>4922</v>
      </c>
      <c r="S1229" t="s">
        <v>2885</v>
      </c>
      <c r="T1229" t="s">
        <v>2886</v>
      </c>
    </row>
    <row r="1230" spans="1:20">
      <c r="A1230" s="241">
        <v>44001</v>
      </c>
      <c r="B1230" t="s">
        <v>6312</v>
      </c>
      <c r="C1230" t="s">
        <v>499</v>
      </c>
      <c r="D1230" t="s">
        <v>474</v>
      </c>
      <c r="E1230" t="s">
        <v>224</v>
      </c>
      <c r="F1230" t="s">
        <v>6313</v>
      </c>
      <c r="G1230" t="s">
        <v>502</v>
      </c>
      <c r="H1230" t="s">
        <v>739</v>
      </c>
      <c r="I1230" t="s">
        <v>6314</v>
      </c>
      <c r="J1230" t="s">
        <v>6315</v>
      </c>
      <c r="K1230" t="s">
        <v>6316</v>
      </c>
      <c r="L1230">
        <v>0.89</v>
      </c>
      <c r="M1230" t="s">
        <v>6317</v>
      </c>
      <c r="N1230" t="s">
        <v>6318</v>
      </c>
      <c r="O1230" t="s">
        <v>6319</v>
      </c>
      <c r="P1230" t="s">
        <v>485</v>
      </c>
      <c r="Q1230" t="s">
        <v>4921</v>
      </c>
      <c r="R1230" t="s">
        <v>4922</v>
      </c>
      <c r="S1230" t="s">
        <v>2885</v>
      </c>
      <c r="T1230" t="s">
        <v>2886</v>
      </c>
    </row>
    <row r="1231" spans="1:20">
      <c r="A1231" s="241">
        <v>44001</v>
      </c>
      <c r="B1231" t="s">
        <v>6320</v>
      </c>
      <c r="C1231" t="s">
        <v>474</v>
      </c>
      <c r="D1231" t="s">
        <v>499</v>
      </c>
      <c r="E1231" t="s">
        <v>1877</v>
      </c>
      <c r="F1231" t="s">
        <v>3820</v>
      </c>
      <c r="G1231" t="s">
        <v>2432</v>
      </c>
      <c r="H1231" t="s">
        <v>1368</v>
      </c>
      <c r="I1231" t="s">
        <v>6321</v>
      </c>
      <c r="J1231" t="s">
        <v>6322</v>
      </c>
      <c r="K1231" t="s">
        <v>469</v>
      </c>
      <c r="L1231">
        <v>0.89</v>
      </c>
      <c r="M1231" t="s">
        <v>6323</v>
      </c>
      <c r="N1231" t="s">
        <v>6324</v>
      </c>
      <c r="O1231" t="s">
        <v>6325</v>
      </c>
      <c r="P1231" t="s">
        <v>485</v>
      </c>
      <c r="Q1231" t="s">
        <v>4921</v>
      </c>
      <c r="R1231" t="s">
        <v>4922</v>
      </c>
      <c r="S1231" t="s">
        <v>2885</v>
      </c>
      <c r="T1231" t="s">
        <v>2886</v>
      </c>
    </row>
    <row r="1232" spans="1:20">
      <c r="A1232" s="241">
        <v>44001</v>
      </c>
      <c r="B1232" t="s">
        <v>6326</v>
      </c>
      <c r="C1232" t="s">
        <v>487</v>
      </c>
      <c r="D1232" t="s">
        <v>474</v>
      </c>
      <c r="E1232" t="s">
        <v>2810</v>
      </c>
      <c r="F1232" t="s">
        <v>739</v>
      </c>
      <c r="G1232" t="s">
        <v>981</v>
      </c>
      <c r="H1232" t="s">
        <v>4626</v>
      </c>
      <c r="I1232" t="s">
        <v>6327</v>
      </c>
      <c r="J1232" t="s">
        <v>1199</v>
      </c>
      <c r="K1232" t="s">
        <v>761</v>
      </c>
      <c r="L1232">
        <v>0.89</v>
      </c>
      <c r="M1232" t="s">
        <v>6328</v>
      </c>
      <c r="N1232" t="s">
        <v>6329</v>
      </c>
      <c r="O1232" t="s">
        <v>6330</v>
      </c>
      <c r="P1232" t="s">
        <v>485</v>
      </c>
      <c r="Q1232" t="s">
        <v>4921</v>
      </c>
      <c r="R1232" t="s">
        <v>4922</v>
      </c>
      <c r="S1232" t="s">
        <v>2885</v>
      </c>
      <c r="T1232" t="s">
        <v>2886</v>
      </c>
    </row>
    <row r="1233" spans="1:20">
      <c r="A1233" s="241">
        <v>44001</v>
      </c>
      <c r="B1233" t="s">
        <v>6331</v>
      </c>
      <c r="C1233" t="s">
        <v>735</v>
      </c>
      <c r="D1233" t="s">
        <v>6102</v>
      </c>
      <c r="E1233" t="s">
        <v>1176</v>
      </c>
      <c r="F1233" t="s">
        <v>5098</v>
      </c>
      <c r="G1233" t="s">
        <v>767</v>
      </c>
      <c r="H1233" t="s">
        <v>6332</v>
      </c>
      <c r="I1233" t="s">
        <v>4627</v>
      </c>
      <c r="J1233" t="s">
        <v>4628</v>
      </c>
      <c r="K1233" t="s">
        <v>3131</v>
      </c>
      <c r="L1233">
        <v>0.89</v>
      </c>
      <c r="M1233" t="s">
        <v>6333</v>
      </c>
      <c r="N1233" t="s">
        <v>6334</v>
      </c>
      <c r="O1233" t="s">
        <v>6335</v>
      </c>
      <c r="P1233" t="s">
        <v>485</v>
      </c>
      <c r="Q1233" t="s">
        <v>4921</v>
      </c>
      <c r="R1233" t="s">
        <v>4922</v>
      </c>
      <c r="S1233" t="s">
        <v>2885</v>
      </c>
      <c r="T1233" t="s">
        <v>2886</v>
      </c>
    </row>
    <row r="1234" spans="1:20">
      <c r="A1234" s="241">
        <v>44001</v>
      </c>
      <c r="B1234" t="s">
        <v>6336</v>
      </c>
      <c r="C1234" t="s">
        <v>236</v>
      </c>
      <c r="D1234" t="s">
        <v>249</v>
      </c>
      <c r="E1234" t="s">
        <v>250</v>
      </c>
      <c r="F1234" t="s">
        <v>776</v>
      </c>
      <c r="G1234" t="s">
        <v>2282</v>
      </c>
      <c r="H1234" t="s">
        <v>4376</v>
      </c>
      <c r="I1234" t="s">
        <v>6337</v>
      </c>
      <c r="J1234" t="s">
        <v>780</v>
      </c>
      <c r="K1234" t="s">
        <v>1012</v>
      </c>
      <c r="L1234">
        <v>0.87</v>
      </c>
      <c r="M1234" t="s">
        <v>6338</v>
      </c>
      <c r="N1234" t="s">
        <v>6339</v>
      </c>
      <c r="O1234" t="s">
        <v>6340</v>
      </c>
      <c r="P1234" t="s">
        <v>485</v>
      </c>
      <c r="Q1234" t="s">
        <v>4921</v>
      </c>
      <c r="R1234" t="s">
        <v>4922</v>
      </c>
      <c r="S1234" t="s">
        <v>2885</v>
      </c>
      <c r="T1234" t="s">
        <v>2886</v>
      </c>
    </row>
    <row r="1235" spans="1:20">
      <c r="A1235" s="241">
        <v>44001</v>
      </c>
      <c r="B1235" t="s">
        <v>6341</v>
      </c>
      <c r="C1235" t="s">
        <v>224</v>
      </c>
      <c r="D1235" t="s">
        <v>274</v>
      </c>
      <c r="E1235" t="s">
        <v>443</v>
      </c>
      <c r="F1235" t="s">
        <v>2010</v>
      </c>
      <c r="G1235" t="s">
        <v>786</v>
      </c>
      <c r="H1235" t="s">
        <v>4383</v>
      </c>
      <c r="I1235" t="s">
        <v>2024</v>
      </c>
      <c r="J1235" t="s">
        <v>2473</v>
      </c>
      <c r="K1235" t="s">
        <v>524</v>
      </c>
      <c r="L1235">
        <v>0.87</v>
      </c>
      <c r="M1235" t="s">
        <v>6342</v>
      </c>
      <c r="N1235" t="s">
        <v>6343</v>
      </c>
      <c r="O1235" t="s">
        <v>6344</v>
      </c>
      <c r="P1235" t="s">
        <v>485</v>
      </c>
      <c r="Q1235" t="s">
        <v>4921</v>
      </c>
      <c r="R1235" t="s">
        <v>4922</v>
      </c>
      <c r="S1235" t="s">
        <v>2885</v>
      </c>
      <c r="T1235" t="s">
        <v>2886</v>
      </c>
    </row>
    <row r="1236" spans="1:20">
      <c r="A1236" s="241">
        <v>44001</v>
      </c>
      <c r="B1236" t="s">
        <v>6345</v>
      </c>
      <c r="C1236" t="s">
        <v>510</v>
      </c>
      <c r="D1236" t="s">
        <v>249</v>
      </c>
      <c r="E1236" t="s">
        <v>238</v>
      </c>
      <c r="F1236" t="s">
        <v>346</v>
      </c>
      <c r="G1236" t="s">
        <v>792</v>
      </c>
      <c r="H1236" t="s">
        <v>549</v>
      </c>
      <c r="I1236" t="s">
        <v>1427</v>
      </c>
      <c r="J1236" t="s">
        <v>1240</v>
      </c>
      <c r="K1236" t="s">
        <v>214</v>
      </c>
      <c r="L1236">
        <v>0.87</v>
      </c>
      <c r="M1236" t="s">
        <v>6346</v>
      </c>
      <c r="N1236" t="s">
        <v>6347</v>
      </c>
      <c r="O1236" t="s">
        <v>6348</v>
      </c>
      <c r="P1236" t="s">
        <v>485</v>
      </c>
      <c r="Q1236" t="s">
        <v>4921</v>
      </c>
      <c r="R1236" t="s">
        <v>4922</v>
      </c>
      <c r="S1236" t="s">
        <v>2885</v>
      </c>
      <c r="T1236" t="s">
        <v>2886</v>
      </c>
    </row>
    <row r="1237" spans="1:20">
      <c r="A1237" s="241">
        <v>44001</v>
      </c>
      <c r="B1237" t="s">
        <v>6349</v>
      </c>
      <c r="C1237" t="s">
        <v>423</v>
      </c>
      <c r="D1237" t="s">
        <v>274</v>
      </c>
      <c r="E1237" t="s">
        <v>2549</v>
      </c>
      <c r="F1237" t="s">
        <v>822</v>
      </c>
      <c r="G1237" t="s">
        <v>1239</v>
      </c>
      <c r="H1237" t="s">
        <v>1225</v>
      </c>
      <c r="I1237" t="s">
        <v>1031</v>
      </c>
      <c r="J1237" t="s">
        <v>817</v>
      </c>
      <c r="K1237" t="s">
        <v>571</v>
      </c>
      <c r="L1237">
        <v>0.86</v>
      </c>
      <c r="M1237" t="s">
        <v>6350</v>
      </c>
      <c r="N1237" t="s">
        <v>6351</v>
      </c>
      <c r="O1237" t="s">
        <v>6352</v>
      </c>
      <c r="P1237" t="s">
        <v>485</v>
      </c>
      <c r="Q1237" t="s">
        <v>4921</v>
      </c>
      <c r="R1237" t="s">
        <v>4922</v>
      </c>
      <c r="S1237" t="s">
        <v>2885</v>
      </c>
      <c r="T1237" t="s">
        <v>2886</v>
      </c>
    </row>
    <row r="1238" spans="1:20">
      <c r="A1238" s="241">
        <v>44001</v>
      </c>
      <c r="B1238" t="s">
        <v>6353</v>
      </c>
      <c r="C1238" t="s">
        <v>261</v>
      </c>
      <c r="D1238" t="s">
        <v>510</v>
      </c>
      <c r="E1238" t="s">
        <v>343</v>
      </c>
      <c r="F1238" t="s">
        <v>356</v>
      </c>
      <c r="G1238" t="s">
        <v>2085</v>
      </c>
      <c r="H1238" t="s">
        <v>531</v>
      </c>
      <c r="I1238" t="s">
        <v>816</v>
      </c>
      <c r="J1238" t="s">
        <v>561</v>
      </c>
      <c r="K1238" t="s">
        <v>579</v>
      </c>
      <c r="L1238">
        <v>0.87</v>
      </c>
      <c r="M1238" t="s">
        <v>6354</v>
      </c>
      <c r="N1238" t="s">
        <v>6355</v>
      </c>
      <c r="O1238" t="s">
        <v>6356</v>
      </c>
      <c r="P1238" t="s">
        <v>485</v>
      </c>
      <c r="Q1238" t="s">
        <v>4921</v>
      </c>
      <c r="R1238" t="s">
        <v>4922</v>
      </c>
      <c r="S1238" t="s">
        <v>2885</v>
      </c>
      <c r="T1238" t="s">
        <v>2886</v>
      </c>
    </row>
    <row r="1239" spans="1:20">
      <c r="A1239" s="241">
        <v>44001</v>
      </c>
      <c r="B1239" t="s">
        <v>6357</v>
      </c>
      <c r="C1239" t="s">
        <v>207</v>
      </c>
      <c r="D1239" t="s">
        <v>261</v>
      </c>
      <c r="E1239" t="s">
        <v>382</v>
      </c>
      <c r="F1239" t="s">
        <v>1050</v>
      </c>
      <c r="G1239" t="s">
        <v>240</v>
      </c>
      <c r="H1239" t="s">
        <v>2315</v>
      </c>
      <c r="I1239" t="s">
        <v>824</v>
      </c>
      <c r="J1239" t="s">
        <v>1770</v>
      </c>
      <c r="K1239" t="s">
        <v>244</v>
      </c>
      <c r="L1239">
        <v>0.86</v>
      </c>
      <c r="M1239" t="s">
        <v>6358</v>
      </c>
      <c r="N1239" t="s">
        <v>6359</v>
      </c>
      <c r="O1239" t="s">
        <v>6360</v>
      </c>
      <c r="P1239" t="s">
        <v>485</v>
      </c>
      <c r="Q1239" t="s">
        <v>4921</v>
      </c>
      <c r="R1239" t="s">
        <v>4922</v>
      </c>
      <c r="S1239" t="s">
        <v>2885</v>
      </c>
      <c r="T1239" t="s">
        <v>2886</v>
      </c>
    </row>
    <row r="1240" spans="1:20">
      <c r="A1240" s="241">
        <v>44001</v>
      </c>
      <c r="B1240" t="s">
        <v>6361</v>
      </c>
      <c r="C1240" t="s">
        <v>206</v>
      </c>
      <c r="D1240" t="s">
        <v>249</v>
      </c>
      <c r="E1240" t="s">
        <v>225</v>
      </c>
      <c r="F1240" t="s">
        <v>576</v>
      </c>
      <c r="G1240" t="s">
        <v>264</v>
      </c>
      <c r="H1240" t="s">
        <v>228</v>
      </c>
      <c r="I1240" t="s">
        <v>577</v>
      </c>
      <c r="J1240" t="s">
        <v>578</v>
      </c>
      <c r="K1240" t="s">
        <v>299</v>
      </c>
      <c r="L1240">
        <v>0.86</v>
      </c>
      <c r="M1240" t="s">
        <v>6362</v>
      </c>
      <c r="N1240" t="s">
        <v>6363</v>
      </c>
      <c r="O1240" t="s">
        <v>6364</v>
      </c>
      <c r="P1240" t="s">
        <v>485</v>
      </c>
      <c r="Q1240" t="s">
        <v>4921</v>
      </c>
      <c r="R1240" t="s">
        <v>4922</v>
      </c>
      <c r="S1240" t="s">
        <v>2885</v>
      </c>
      <c r="T1240" t="s">
        <v>2886</v>
      </c>
    </row>
    <row r="1241" spans="1:20">
      <c r="A1241" s="241">
        <v>44001</v>
      </c>
      <c r="B1241" t="s">
        <v>6365</v>
      </c>
      <c r="C1241" t="s">
        <v>262</v>
      </c>
      <c r="D1241" t="s">
        <v>423</v>
      </c>
      <c r="E1241" t="s">
        <v>304</v>
      </c>
      <c r="F1241" t="s">
        <v>835</v>
      </c>
      <c r="G1241" t="s">
        <v>1256</v>
      </c>
      <c r="H1241" t="s">
        <v>2910</v>
      </c>
      <c r="I1241" t="s">
        <v>278</v>
      </c>
      <c r="J1241" t="s">
        <v>279</v>
      </c>
      <c r="K1241" t="s">
        <v>280</v>
      </c>
      <c r="L1241">
        <v>0.86</v>
      </c>
      <c r="M1241" t="s">
        <v>6366</v>
      </c>
      <c r="N1241" t="s">
        <v>6367</v>
      </c>
      <c r="O1241" t="s">
        <v>6368</v>
      </c>
      <c r="P1241" t="s">
        <v>485</v>
      </c>
      <c r="Q1241" t="s">
        <v>4921</v>
      </c>
      <c r="R1241" t="s">
        <v>4922</v>
      </c>
      <c r="S1241" t="s">
        <v>2885</v>
      </c>
      <c r="T1241" t="s">
        <v>2886</v>
      </c>
    </row>
    <row r="1242" spans="1:20">
      <c r="A1242" s="241">
        <v>44001</v>
      </c>
      <c r="B1242" t="s">
        <v>6369</v>
      </c>
      <c r="C1242" t="s">
        <v>262</v>
      </c>
      <c r="D1242" t="s">
        <v>261</v>
      </c>
      <c r="E1242" t="s">
        <v>424</v>
      </c>
      <c r="F1242" t="s">
        <v>285</v>
      </c>
      <c r="G1242" t="s">
        <v>1781</v>
      </c>
      <c r="H1242" t="s">
        <v>1453</v>
      </c>
      <c r="I1242" t="s">
        <v>1062</v>
      </c>
      <c r="J1242" t="s">
        <v>289</v>
      </c>
      <c r="K1242" t="s">
        <v>280</v>
      </c>
      <c r="L1242">
        <v>0.86</v>
      </c>
      <c r="M1242" t="s">
        <v>6370</v>
      </c>
      <c r="N1242" t="s">
        <v>6371</v>
      </c>
      <c r="O1242" t="s">
        <v>6372</v>
      </c>
      <c r="P1242" t="s">
        <v>485</v>
      </c>
      <c r="Q1242" t="s">
        <v>4921</v>
      </c>
      <c r="R1242" t="s">
        <v>4922</v>
      </c>
      <c r="S1242" t="s">
        <v>2885</v>
      </c>
      <c r="T1242" t="s">
        <v>2886</v>
      </c>
    </row>
    <row r="1243" spans="1:20">
      <c r="A1243" s="241">
        <v>44001</v>
      </c>
      <c r="B1243" t="s">
        <v>6373</v>
      </c>
      <c r="C1243" t="s">
        <v>207</v>
      </c>
      <c r="D1243" t="s">
        <v>206</v>
      </c>
      <c r="E1243" t="s">
        <v>424</v>
      </c>
      <c r="F1243" t="s">
        <v>835</v>
      </c>
      <c r="G1243" t="s">
        <v>1269</v>
      </c>
      <c r="H1243" t="s">
        <v>529</v>
      </c>
      <c r="I1243" t="s">
        <v>288</v>
      </c>
      <c r="J1243" t="s">
        <v>850</v>
      </c>
      <c r="K1243" t="s">
        <v>256</v>
      </c>
      <c r="L1243">
        <v>0.86</v>
      </c>
      <c r="M1243" t="s">
        <v>6374</v>
      </c>
      <c r="N1243" t="s">
        <v>6375</v>
      </c>
      <c r="O1243" t="s">
        <v>6376</v>
      </c>
      <c r="P1243" t="s">
        <v>485</v>
      </c>
      <c r="Q1243" t="s">
        <v>4921</v>
      </c>
      <c r="R1243" t="s">
        <v>4922</v>
      </c>
      <c r="S1243" t="s">
        <v>2885</v>
      </c>
      <c r="T1243" t="s">
        <v>2886</v>
      </c>
    </row>
    <row r="1244" spans="1:20">
      <c r="A1244" s="241">
        <v>44001</v>
      </c>
      <c r="B1244" t="s">
        <v>6377</v>
      </c>
      <c r="C1244" t="s">
        <v>249</v>
      </c>
      <c r="D1244" t="s">
        <v>237</v>
      </c>
      <c r="E1244" t="s">
        <v>208</v>
      </c>
      <c r="F1244" t="s">
        <v>2151</v>
      </c>
      <c r="G1244" t="s">
        <v>1462</v>
      </c>
      <c r="H1244" t="s">
        <v>1478</v>
      </c>
      <c r="I1244" t="s">
        <v>1087</v>
      </c>
      <c r="J1244" t="s">
        <v>1092</v>
      </c>
      <c r="K1244" t="s">
        <v>651</v>
      </c>
      <c r="L1244">
        <v>0.86</v>
      </c>
      <c r="M1244" t="s">
        <v>6378</v>
      </c>
      <c r="N1244" t="s">
        <v>6379</v>
      </c>
      <c r="O1244" t="s">
        <v>6380</v>
      </c>
      <c r="P1244" t="s">
        <v>485</v>
      </c>
      <c r="Q1244" t="s">
        <v>4921</v>
      </c>
      <c r="R1244" t="s">
        <v>4922</v>
      </c>
      <c r="S1244" t="s">
        <v>2885</v>
      </c>
      <c r="T1244" t="s">
        <v>2886</v>
      </c>
    </row>
    <row r="1245" spans="1:20">
      <c r="A1245" s="241">
        <v>44001</v>
      </c>
      <c r="B1245" t="s">
        <v>6381</v>
      </c>
      <c r="C1245" t="s">
        <v>207</v>
      </c>
      <c r="D1245" t="s">
        <v>510</v>
      </c>
      <c r="E1245" t="s">
        <v>250</v>
      </c>
      <c r="F1245" t="s">
        <v>1511</v>
      </c>
      <c r="G1245" t="s">
        <v>1081</v>
      </c>
      <c r="H1245" t="s">
        <v>539</v>
      </c>
      <c r="I1245" t="s">
        <v>1087</v>
      </c>
      <c r="J1245" t="s">
        <v>1092</v>
      </c>
      <c r="K1245" t="s">
        <v>651</v>
      </c>
      <c r="L1245">
        <v>0.86</v>
      </c>
      <c r="M1245" t="s">
        <v>6382</v>
      </c>
      <c r="N1245" t="s">
        <v>6383</v>
      </c>
      <c r="O1245" t="s">
        <v>6384</v>
      </c>
      <c r="P1245" t="s">
        <v>485</v>
      </c>
      <c r="Q1245" t="s">
        <v>4921</v>
      </c>
      <c r="R1245" t="s">
        <v>4922</v>
      </c>
      <c r="S1245" t="s">
        <v>2885</v>
      </c>
      <c r="T1245" t="s">
        <v>2886</v>
      </c>
    </row>
    <row r="1246" spans="1:20">
      <c r="A1246" s="241">
        <v>44001</v>
      </c>
      <c r="B1246" t="s">
        <v>6385</v>
      </c>
      <c r="C1246" t="s">
        <v>236</v>
      </c>
      <c r="D1246" t="s">
        <v>614</v>
      </c>
      <c r="E1246" t="s">
        <v>332</v>
      </c>
      <c r="F1246" t="s">
        <v>435</v>
      </c>
      <c r="G1246" t="s">
        <v>324</v>
      </c>
      <c r="H1246" t="s">
        <v>1818</v>
      </c>
      <c r="I1246" t="s">
        <v>1842</v>
      </c>
      <c r="J1246" t="s">
        <v>1506</v>
      </c>
      <c r="K1246" t="s">
        <v>666</v>
      </c>
      <c r="L1246">
        <v>0.86</v>
      </c>
      <c r="M1246" t="s">
        <v>6386</v>
      </c>
      <c r="N1246" t="s">
        <v>6387</v>
      </c>
      <c r="O1246" t="s">
        <v>6388</v>
      </c>
      <c r="P1246" t="s">
        <v>485</v>
      </c>
      <c r="Q1246" t="s">
        <v>4921</v>
      </c>
      <c r="R1246" t="s">
        <v>4922</v>
      </c>
      <c r="S1246" t="s">
        <v>2885</v>
      </c>
      <c r="T1246" t="s">
        <v>2886</v>
      </c>
    </row>
    <row r="1247" spans="1:20">
      <c r="A1247" s="241">
        <v>44001</v>
      </c>
      <c r="B1247" t="s">
        <v>6389</v>
      </c>
      <c r="C1247" t="s">
        <v>423</v>
      </c>
      <c r="D1247" t="s">
        <v>274</v>
      </c>
      <c r="E1247" t="s">
        <v>382</v>
      </c>
      <c r="F1247" t="s">
        <v>333</v>
      </c>
      <c r="G1247" t="s">
        <v>355</v>
      </c>
      <c r="H1247" t="s">
        <v>862</v>
      </c>
      <c r="I1247" t="s">
        <v>325</v>
      </c>
      <c r="J1247" t="s">
        <v>326</v>
      </c>
      <c r="K1247" t="s">
        <v>327</v>
      </c>
      <c r="L1247">
        <v>0.86</v>
      </c>
      <c r="M1247" t="s">
        <v>6390</v>
      </c>
      <c r="N1247" t="s">
        <v>6391</v>
      </c>
      <c r="O1247" t="s">
        <v>6392</v>
      </c>
      <c r="P1247" t="s">
        <v>485</v>
      </c>
      <c r="Q1247" t="s">
        <v>4921</v>
      </c>
      <c r="R1247" t="s">
        <v>4922</v>
      </c>
      <c r="S1247" t="s">
        <v>2885</v>
      </c>
      <c r="T1247" t="s">
        <v>2886</v>
      </c>
    </row>
    <row r="1248" spans="1:20">
      <c r="A1248" s="241">
        <v>44001</v>
      </c>
      <c r="B1248" t="s">
        <v>6393</v>
      </c>
      <c r="C1248" t="s">
        <v>206</v>
      </c>
      <c r="D1248" t="s">
        <v>237</v>
      </c>
      <c r="E1248" t="s">
        <v>225</v>
      </c>
      <c r="F1248" t="s">
        <v>1620</v>
      </c>
      <c r="G1248" t="s">
        <v>1110</v>
      </c>
      <c r="H1248" t="s">
        <v>813</v>
      </c>
      <c r="I1248" t="s">
        <v>882</v>
      </c>
      <c r="J1248" t="s">
        <v>2372</v>
      </c>
      <c r="K1248" t="s">
        <v>666</v>
      </c>
      <c r="L1248">
        <v>0.86</v>
      </c>
      <c r="M1248" t="s">
        <v>6394</v>
      </c>
      <c r="N1248" t="s">
        <v>6395</v>
      </c>
      <c r="O1248" t="s">
        <v>6396</v>
      </c>
      <c r="P1248" t="s">
        <v>485</v>
      </c>
      <c r="Q1248" t="s">
        <v>4921</v>
      </c>
      <c r="R1248" t="s">
        <v>4922</v>
      </c>
      <c r="S1248" t="s">
        <v>2885</v>
      </c>
      <c r="T1248" t="s">
        <v>2886</v>
      </c>
    </row>
    <row r="1249" spans="1:20">
      <c r="A1249" s="241">
        <v>44001</v>
      </c>
      <c r="B1249" t="s">
        <v>6397</v>
      </c>
      <c r="C1249" t="s">
        <v>236</v>
      </c>
      <c r="D1249" t="s">
        <v>207</v>
      </c>
      <c r="E1249" t="s">
        <v>225</v>
      </c>
      <c r="F1249" t="s">
        <v>639</v>
      </c>
      <c r="G1249" t="s">
        <v>1110</v>
      </c>
      <c r="H1249" t="s">
        <v>239</v>
      </c>
      <c r="I1249" t="s">
        <v>882</v>
      </c>
      <c r="J1249" t="s">
        <v>2372</v>
      </c>
      <c r="K1249" t="s">
        <v>327</v>
      </c>
      <c r="L1249">
        <v>0.86</v>
      </c>
      <c r="M1249" t="s">
        <v>6398</v>
      </c>
      <c r="N1249" t="s">
        <v>6399</v>
      </c>
      <c r="O1249" t="s">
        <v>6400</v>
      </c>
      <c r="P1249" t="s">
        <v>485</v>
      </c>
      <c r="Q1249" t="s">
        <v>4921</v>
      </c>
      <c r="R1249" t="s">
        <v>4922</v>
      </c>
      <c r="S1249" t="s">
        <v>2885</v>
      </c>
      <c r="T1249" t="s">
        <v>2886</v>
      </c>
    </row>
    <row r="1250" spans="1:20">
      <c r="A1250" s="241">
        <v>44001</v>
      </c>
      <c r="B1250" t="s">
        <v>6401</v>
      </c>
      <c r="C1250" t="s">
        <v>510</v>
      </c>
      <c r="D1250" t="s">
        <v>249</v>
      </c>
      <c r="E1250" t="s">
        <v>597</v>
      </c>
      <c r="F1250" t="s">
        <v>344</v>
      </c>
      <c r="G1250" t="s">
        <v>1590</v>
      </c>
      <c r="H1250" t="s">
        <v>263</v>
      </c>
      <c r="I1250" t="s">
        <v>664</v>
      </c>
      <c r="J1250" t="s">
        <v>665</v>
      </c>
      <c r="K1250" t="s">
        <v>666</v>
      </c>
      <c r="L1250">
        <v>0.86</v>
      </c>
      <c r="M1250" t="s">
        <v>6402</v>
      </c>
      <c r="N1250" t="s">
        <v>6403</v>
      </c>
      <c r="O1250" t="s">
        <v>6404</v>
      </c>
      <c r="P1250" t="s">
        <v>485</v>
      </c>
      <c r="Q1250" t="s">
        <v>4921</v>
      </c>
      <c r="R1250" t="s">
        <v>4922</v>
      </c>
      <c r="S1250" t="s">
        <v>2885</v>
      </c>
      <c r="T1250" t="s">
        <v>2886</v>
      </c>
    </row>
    <row r="1251" spans="1:20">
      <c r="A1251" s="241">
        <v>44001</v>
      </c>
      <c r="B1251" t="s">
        <v>6405</v>
      </c>
      <c r="C1251" t="s">
        <v>510</v>
      </c>
      <c r="D1251" t="s">
        <v>237</v>
      </c>
      <c r="E1251" t="s">
        <v>812</v>
      </c>
      <c r="F1251" t="s">
        <v>887</v>
      </c>
      <c r="G1251" t="s">
        <v>1115</v>
      </c>
      <c r="H1251" t="s">
        <v>1769</v>
      </c>
      <c r="I1251" t="s">
        <v>664</v>
      </c>
      <c r="J1251" t="s">
        <v>665</v>
      </c>
      <c r="K1251" t="s">
        <v>666</v>
      </c>
      <c r="L1251">
        <v>0.86</v>
      </c>
      <c r="M1251" t="s">
        <v>6406</v>
      </c>
      <c r="N1251" t="s">
        <v>6407</v>
      </c>
      <c r="O1251" t="s">
        <v>6408</v>
      </c>
      <c r="P1251" t="s">
        <v>485</v>
      </c>
      <c r="Q1251" t="s">
        <v>4921</v>
      </c>
      <c r="R1251" t="s">
        <v>4922</v>
      </c>
      <c r="S1251" t="s">
        <v>2885</v>
      </c>
      <c r="T1251" t="s">
        <v>2886</v>
      </c>
    </row>
    <row r="1252" spans="1:20">
      <c r="A1252" s="241">
        <v>44001</v>
      </c>
      <c r="B1252" t="s">
        <v>6409</v>
      </c>
      <c r="C1252" t="s">
        <v>423</v>
      </c>
      <c r="D1252" t="s">
        <v>423</v>
      </c>
      <c r="E1252" t="s">
        <v>304</v>
      </c>
      <c r="F1252" t="s">
        <v>2579</v>
      </c>
      <c r="G1252" t="s">
        <v>394</v>
      </c>
      <c r="H1252" t="s">
        <v>366</v>
      </c>
      <c r="I1252" t="s">
        <v>683</v>
      </c>
      <c r="J1252" t="s">
        <v>1298</v>
      </c>
      <c r="K1252" t="s">
        <v>359</v>
      </c>
      <c r="L1252">
        <v>0.86</v>
      </c>
      <c r="M1252" t="s">
        <v>6410</v>
      </c>
      <c r="N1252" t="s">
        <v>6411</v>
      </c>
      <c r="O1252" t="s">
        <v>6412</v>
      </c>
      <c r="P1252" t="s">
        <v>485</v>
      </c>
      <c r="Q1252" t="s">
        <v>4921</v>
      </c>
      <c r="R1252" t="s">
        <v>4922</v>
      </c>
      <c r="S1252" t="s">
        <v>2885</v>
      </c>
      <c r="T1252" t="s">
        <v>2886</v>
      </c>
    </row>
    <row r="1253" spans="1:20">
      <c r="A1253" s="241">
        <v>44001</v>
      </c>
      <c r="B1253" t="s">
        <v>6413</v>
      </c>
      <c r="C1253" t="s">
        <v>274</v>
      </c>
      <c r="D1253" t="s">
        <v>510</v>
      </c>
      <c r="E1253" t="s">
        <v>606</v>
      </c>
      <c r="F1253" t="s">
        <v>433</v>
      </c>
      <c r="G1253" t="s">
        <v>1133</v>
      </c>
      <c r="H1253" t="s">
        <v>616</v>
      </c>
      <c r="I1253" t="s">
        <v>396</v>
      </c>
      <c r="J1253" t="s">
        <v>1141</v>
      </c>
      <c r="K1253" t="s">
        <v>418</v>
      </c>
      <c r="L1253">
        <v>0.86</v>
      </c>
      <c r="M1253" t="s">
        <v>6414</v>
      </c>
      <c r="N1253" t="s">
        <v>6415</v>
      </c>
      <c r="O1253" t="s">
        <v>6416</v>
      </c>
      <c r="P1253" t="s">
        <v>485</v>
      </c>
      <c r="Q1253" t="s">
        <v>4921</v>
      </c>
      <c r="R1253" t="s">
        <v>4922</v>
      </c>
      <c r="S1253" t="s">
        <v>2885</v>
      </c>
      <c r="T1253" t="s">
        <v>2886</v>
      </c>
    </row>
    <row r="1254" spans="1:20">
      <c r="A1254" s="241">
        <v>44001</v>
      </c>
      <c r="B1254" t="s">
        <v>6417</v>
      </c>
      <c r="C1254" t="s">
        <v>206</v>
      </c>
      <c r="D1254" t="s">
        <v>625</v>
      </c>
      <c r="E1254" t="s">
        <v>304</v>
      </c>
      <c r="F1254" t="s">
        <v>1584</v>
      </c>
      <c r="G1254" t="s">
        <v>1610</v>
      </c>
      <c r="H1254" t="s">
        <v>285</v>
      </c>
      <c r="I1254" t="s">
        <v>1579</v>
      </c>
      <c r="J1254" t="s">
        <v>1141</v>
      </c>
      <c r="K1254" t="s">
        <v>700</v>
      </c>
      <c r="L1254">
        <v>0.86</v>
      </c>
      <c r="M1254" t="s">
        <v>6418</v>
      </c>
      <c r="N1254" t="s">
        <v>6419</v>
      </c>
      <c r="O1254" t="s">
        <v>6420</v>
      </c>
      <c r="P1254" t="s">
        <v>485</v>
      </c>
      <c r="Q1254" t="s">
        <v>4921</v>
      </c>
      <c r="R1254" t="s">
        <v>4922</v>
      </c>
      <c r="S1254" t="s">
        <v>2885</v>
      </c>
      <c r="T1254" t="s">
        <v>2886</v>
      </c>
    </row>
    <row r="1255" spans="1:20">
      <c r="A1255" s="241">
        <v>44001</v>
      </c>
      <c r="B1255" t="s">
        <v>6421</v>
      </c>
      <c r="C1255" t="s">
        <v>206</v>
      </c>
      <c r="D1255" t="s">
        <v>274</v>
      </c>
      <c r="E1255" t="s">
        <v>238</v>
      </c>
      <c r="F1255" t="s">
        <v>1604</v>
      </c>
      <c r="G1255" t="s">
        <v>404</v>
      </c>
      <c r="H1255" t="s">
        <v>1147</v>
      </c>
      <c r="I1255" t="s">
        <v>427</v>
      </c>
      <c r="J1255" t="s">
        <v>1304</v>
      </c>
      <c r="K1255" t="s">
        <v>700</v>
      </c>
      <c r="L1255">
        <v>0.86</v>
      </c>
      <c r="M1255" t="s">
        <v>6422</v>
      </c>
      <c r="N1255" t="s">
        <v>6423</v>
      </c>
      <c r="O1255" t="s">
        <v>6424</v>
      </c>
      <c r="P1255" t="s">
        <v>485</v>
      </c>
      <c r="Q1255" t="s">
        <v>4921</v>
      </c>
      <c r="R1255" t="s">
        <v>4922</v>
      </c>
      <c r="S1255" t="s">
        <v>2885</v>
      </c>
      <c r="T1255" t="s">
        <v>2886</v>
      </c>
    </row>
    <row r="1256" spans="1:20">
      <c r="A1256" s="241">
        <v>44001</v>
      </c>
      <c r="B1256" t="s">
        <v>6425</v>
      </c>
      <c r="C1256" t="s">
        <v>261</v>
      </c>
      <c r="D1256" t="s">
        <v>261</v>
      </c>
      <c r="E1256" t="s">
        <v>382</v>
      </c>
      <c r="F1256" t="s">
        <v>917</v>
      </c>
      <c r="G1256" t="s">
        <v>1297</v>
      </c>
      <c r="H1256" t="s">
        <v>1147</v>
      </c>
      <c r="I1256" t="s">
        <v>1140</v>
      </c>
      <c r="J1256" t="s">
        <v>407</v>
      </c>
      <c r="K1256" t="s">
        <v>457</v>
      </c>
      <c r="L1256">
        <v>0.86</v>
      </c>
      <c r="M1256" t="s">
        <v>6426</v>
      </c>
      <c r="N1256" t="s">
        <v>6427</v>
      </c>
      <c r="O1256" t="s">
        <v>6428</v>
      </c>
      <c r="P1256" t="s">
        <v>485</v>
      </c>
      <c r="Q1256" t="s">
        <v>4921</v>
      </c>
      <c r="R1256" t="s">
        <v>4922</v>
      </c>
      <c r="S1256" t="s">
        <v>2885</v>
      </c>
      <c r="T1256" t="s">
        <v>2886</v>
      </c>
    </row>
    <row r="1257" spans="1:20">
      <c r="A1257" s="241">
        <v>44001</v>
      </c>
      <c r="B1257" t="s">
        <v>6429</v>
      </c>
      <c r="C1257" t="s">
        <v>294</v>
      </c>
      <c r="D1257" t="s">
        <v>249</v>
      </c>
      <c r="E1257" t="s">
        <v>2549</v>
      </c>
      <c r="F1257" t="s">
        <v>444</v>
      </c>
      <c r="G1257" t="s">
        <v>931</v>
      </c>
      <c r="H1257" t="s">
        <v>426</v>
      </c>
      <c r="I1257" t="s">
        <v>1158</v>
      </c>
      <c r="J1257" t="s">
        <v>1159</v>
      </c>
      <c r="K1257" t="s">
        <v>428</v>
      </c>
      <c r="L1257">
        <v>0.86</v>
      </c>
      <c r="M1257" t="s">
        <v>6430</v>
      </c>
      <c r="N1257" t="s">
        <v>6431</v>
      </c>
      <c r="O1257" t="s">
        <v>6432</v>
      </c>
      <c r="P1257" t="s">
        <v>485</v>
      </c>
      <c r="Q1257" t="s">
        <v>4921</v>
      </c>
      <c r="R1257" t="s">
        <v>4922</v>
      </c>
      <c r="S1257" t="s">
        <v>2885</v>
      </c>
      <c r="T1257" t="s">
        <v>2886</v>
      </c>
    </row>
    <row r="1258" spans="1:20">
      <c r="A1258" s="241">
        <v>44001</v>
      </c>
      <c r="B1258" t="s">
        <v>6433</v>
      </c>
      <c r="C1258" t="s">
        <v>423</v>
      </c>
      <c r="D1258" t="s">
        <v>274</v>
      </c>
      <c r="E1258" t="s">
        <v>2549</v>
      </c>
      <c r="F1258" t="s">
        <v>1164</v>
      </c>
      <c r="G1258" t="s">
        <v>1946</v>
      </c>
      <c r="H1258" t="s">
        <v>1109</v>
      </c>
      <c r="I1258" t="s">
        <v>1158</v>
      </c>
      <c r="J1258" t="s">
        <v>1333</v>
      </c>
      <c r="K1258" t="s">
        <v>722</v>
      </c>
      <c r="L1258">
        <v>0.86</v>
      </c>
      <c r="M1258" t="s">
        <v>6434</v>
      </c>
      <c r="N1258" t="s">
        <v>6435</v>
      </c>
      <c r="O1258" t="s">
        <v>6436</v>
      </c>
      <c r="P1258" t="s">
        <v>485</v>
      </c>
      <c r="Q1258" t="s">
        <v>4921</v>
      </c>
      <c r="R1258" t="s">
        <v>4922</v>
      </c>
      <c r="S1258" t="s">
        <v>2885</v>
      </c>
      <c r="T1258" t="s">
        <v>2886</v>
      </c>
    </row>
    <row r="1259" spans="1:20">
      <c r="A1259" s="241">
        <v>44001</v>
      </c>
      <c r="B1259" t="s">
        <v>6437</v>
      </c>
      <c r="C1259" t="s">
        <v>261</v>
      </c>
      <c r="D1259" t="s">
        <v>423</v>
      </c>
      <c r="E1259" t="s">
        <v>556</v>
      </c>
      <c r="F1259" t="s">
        <v>1951</v>
      </c>
      <c r="G1259" t="s">
        <v>953</v>
      </c>
      <c r="H1259" t="s">
        <v>1511</v>
      </c>
      <c r="I1259" t="s">
        <v>3807</v>
      </c>
      <c r="J1259" t="s">
        <v>1171</v>
      </c>
      <c r="K1259" t="s">
        <v>418</v>
      </c>
      <c r="L1259">
        <v>0.86</v>
      </c>
      <c r="M1259" t="s">
        <v>6438</v>
      </c>
      <c r="N1259" t="s">
        <v>6439</v>
      </c>
      <c r="O1259" t="s">
        <v>6440</v>
      </c>
      <c r="P1259" t="s">
        <v>485</v>
      </c>
      <c r="Q1259" t="s">
        <v>4921</v>
      </c>
      <c r="R1259" t="s">
        <v>4922</v>
      </c>
      <c r="S1259" t="s">
        <v>2885</v>
      </c>
      <c r="T1259" t="s">
        <v>2886</v>
      </c>
    </row>
    <row r="1260" spans="1:20">
      <c r="A1260" s="241">
        <v>44001</v>
      </c>
      <c r="B1260" t="s">
        <v>6441</v>
      </c>
      <c r="C1260" t="s">
        <v>5795</v>
      </c>
      <c r="D1260" t="s">
        <v>487</v>
      </c>
      <c r="E1260" t="s">
        <v>273</v>
      </c>
      <c r="F1260" t="s">
        <v>1349</v>
      </c>
      <c r="G1260" t="s">
        <v>6442</v>
      </c>
      <c r="H1260" t="s">
        <v>3120</v>
      </c>
      <c r="I1260" t="s">
        <v>5789</v>
      </c>
      <c r="J1260" t="s">
        <v>1352</v>
      </c>
      <c r="K1260" t="s">
        <v>6443</v>
      </c>
      <c r="L1260">
        <v>0.89</v>
      </c>
      <c r="M1260" t="s">
        <v>6444</v>
      </c>
      <c r="N1260" t="s">
        <v>6445</v>
      </c>
      <c r="O1260" t="s">
        <v>6446</v>
      </c>
      <c r="P1260" t="s">
        <v>485</v>
      </c>
      <c r="Q1260" t="s">
        <v>4921</v>
      </c>
      <c r="R1260" t="s">
        <v>4922</v>
      </c>
      <c r="S1260" t="s">
        <v>2885</v>
      </c>
      <c r="T1260" t="s">
        <v>2886</v>
      </c>
    </row>
    <row r="1261" spans="1:20">
      <c r="A1261" s="241">
        <v>44001</v>
      </c>
      <c r="B1261" t="s">
        <v>6447</v>
      </c>
      <c r="C1261" t="s">
        <v>474</v>
      </c>
      <c r="D1261" t="s">
        <v>474</v>
      </c>
      <c r="E1261" t="s">
        <v>1367</v>
      </c>
      <c r="F1261" t="s">
        <v>4363</v>
      </c>
      <c r="G1261" t="s">
        <v>6448</v>
      </c>
      <c r="H1261" t="s">
        <v>2822</v>
      </c>
      <c r="I1261" t="s">
        <v>3682</v>
      </c>
      <c r="J1261" t="s">
        <v>3683</v>
      </c>
      <c r="K1261" t="s">
        <v>1362</v>
      </c>
      <c r="L1261">
        <v>0.89</v>
      </c>
      <c r="M1261" t="s">
        <v>6449</v>
      </c>
      <c r="N1261" t="s">
        <v>6450</v>
      </c>
      <c r="O1261" t="s">
        <v>6451</v>
      </c>
      <c r="P1261" t="s">
        <v>485</v>
      </c>
      <c r="Q1261" t="s">
        <v>4921</v>
      </c>
      <c r="R1261" t="s">
        <v>4922</v>
      </c>
      <c r="S1261" t="s">
        <v>2885</v>
      </c>
      <c r="T1261" t="s">
        <v>2886</v>
      </c>
    </row>
    <row r="1262" spans="1:20">
      <c r="A1262" s="241">
        <v>44001</v>
      </c>
      <c r="B1262" t="s">
        <v>6452</v>
      </c>
      <c r="C1262" t="s">
        <v>1195</v>
      </c>
      <c r="D1262" t="s">
        <v>5284</v>
      </c>
      <c r="E1262" t="s">
        <v>488</v>
      </c>
      <c r="F1262" t="s">
        <v>3832</v>
      </c>
      <c r="G1262" t="s">
        <v>1977</v>
      </c>
      <c r="H1262" t="s">
        <v>991</v>
      </c>
      <c r="I1262" t="s">
        <v>3978</v>
      </c>
      <c r="J1262" t="s">
        <v>5801</v>
      </c>
      <c r="K1262" t="s">
        <v>761</v>
      </c>
      <c r="L1262">
        <v>0.89</v>
      </c>
      <c r="M1262" t="s">
        <v>6453</v>
      </c>
      <c r="N1262" t="s">
        <v>6454</v>
      </c>
      <c r="O1262" t="s">
        <v>6455</v>
      </c>
      <c r="P1262" t="s">
        <v>485</v>
      </c>
      <c r="Q1262" t="s">
        <v>4921</v>
      </c>
      <c r="R1262" t="s">
        <v>4922</v>
      </c>
      <c r="S1262" t="s">
        <v>2885</v>
      </c>
      <c r="T1262" t="s">
        <v>2886</v>
      </c>
    </row>
    <row r="1263" spans="1:20">
      <c r="A1263" s="241">
        <v>44001</v>
      </c>
      <c r="B1263" t="s">
        <v>6456</v>
      </c>
      <c r="C1263" t="s">
        <v>1376</v>
      </c>
      <c r="D1263" t="s">
        <v>475</v>
      </c>
      <c r="E1263" t="s">
        <v>615</v>
      </c>
      <c r="F1263" t="s">
        <v>6457</v>
      </c>
      <c r="G1263" t="s">
        <v>6458</v>
      </c>
      <c r="H1263" t="s">
        <v>4634</v>
      </c>
      <c r="I1263" t="s">
        <v>6459</v>
      </c>
      <c r="J1263" t="s">
        <v>6460</v>
      </c>
      <c r="K1263" t="s">
        <v>6461</v>
      </c>
      <c r="L1263">
        <v>0.88</v>
      </c>
      <c r="M1263" t="s">
        <v>6462</v>
      </c>
      <c r="N1263" t="s">
        <v>6463</v>
      </c>
      <c r="O1263" t="s">
        <v>6464</v>
      </c>
      <c r="P1263" t="s">
        <v>485</v>
      </c>
      <c r="Q1263" t="s">
        <v>4921</v>
      </c>
      <c r="R1263" t="s">
        <v>4922</v>
      </c>
      <c r="S1263" t="s">
        <v>2885</v>
      </c>
      <c r="T1263" t="s">
        <v>2886</v>
      </c>
    </row>
    <row r="1264" spans="1:20">
      <c r="A1264" s="241">
        <v>44001</v>
      </c>
      <c r="B1264" t="s">
        <v>6465</v>
      </c>
      <c r="C1264" t="s">
        <v>224</v>
      </c>
      <c r="D1264" t="s">
        <v>236</v>
      </c>
      <c r="E1264" t="s">
        <v>250</v>
      </c>
      <c r="F1264" t="s">
        <v>776</v>
      </c>
      <c r="G1264" t="s">
        <v>2034</v>
      </c>
      <c r="H1264" t="s">
        <v>4376</v>
      </c>
      <c r="I1264" t="s">
        <v>4171</v>
      </c>
      <c r="J1264" t="s">
        <v>1681</v>
      </c>
      <c r="K1264" t="s">
        <v>1234</v>
      </c>
      <c r="L1264">
        <v>0.87</v>
      </c>
      <c r="M1264" t="s">
        <v>6466</v>
      </c>
      <c r="N1264" t="s">
        <v>6467</v>
      </c>
      <c r="O1264" t="s">
        <v>6468</v>
      </c>
      <c r="P1264" t="s">
        <v>485</v>
      </c>
      <c r="Q1264" t="s">
        <v>4921</v>
      </c>
      <c r="R1264" t="s">
        <v>4922</v>
      </c>
      <c r="S1264" t="s">
        <v>2885</v>
      </c>
      <c r="T1264" t="s">
        <v>2886</v>
      </c>
    </row>
    <row r="1265" spans="1:20">
      <c r="A1265" s="241">
        <v>44001</v>
      </c>
      <c r="B1265" t="s">
        <v>6469</v>
      </c>
      <c r="C1265" t="s">
        <v>237</v>
      </c>
      <c r="D1265" t="s">
        <v>273</v>
      </c>
      <c r="E1265" t="s">
        <v>343</v>
      </c>
      <c r="F1265" t="s">
        <v>1397</v>
      </c>
      <c r="G1265" t="s">
        <v>1008</v>
      </c>
      <c r="H1265" t="s">
        <v>2017</v>
      </c>
      <c r="I1265" t="s">
        <v>522</v>
      </c>
      <c r="J1265" t="s">
        <v>1405</v>
      </c>
      <c r="K1265" t="s">
        <v>1234</v>
      </c>
      <c r="L1265">
        <v>0.86</v>
      </c>
      <c r="M1265" t="s">
        <v>6470</v>
      </c>
      <c r="N1265" t="s">
        <v>6471</v>
      </c>
      <c r="O1265" t="s">
        <v>6472</v>
      </c>
      <c r="P1265" t="s">
        <v>485</v>
      </c>
      <c r="Q1265" t="s">
        <v>4921</v>
      </c>
      <c r="R1265" t="s">
        <v>4922</v>
      </c>
      <c r="S1265" t="s">
        <v>2885</v>
      </c>
      <c r="T1265" t="s">
        <v>2886</v>
      </c>
    </row>
    <row r="1266" spans="1:20">
      <c r="A1266" s="241">
        <v>44001</v>
      </c>
      <c r="B1266" t="s">
        <v>6473</v>
      </c>
      <c r="C1266" t="s">
        <v>207</v>
      </c>
      <c r="D1266" t="s">
        <v>237</v>
      </c>
      <c r="E1266" t="s">
        <v>2549</v>
      </c>
      <c r="F1266" t="s">
        <v>1231</v>
      </c>
      <c r="G1266" t="s">
        <v>792</v>
      </c>
      <c r="H1266" t="s">
        <v>4660</v>
      </c>
      <c r="I1266" t="s">
        <v>1232</v>
      </c>
      <c r="J1266" t="s">
        <v>2044</v>
      </c>
      <c r="K1266" t="s">
        <v>214</v>
      </c>
      <c r="L1266">
        <v>0.87</v>
      </c>
      <c r="M1266" t="s">
        <v>6474</v>
      </c>
      <c r="N1266" t="s">
        <v>6475</v>
      </c>
      <c r="O1266" t="s">
        <v>6476</v>
      </c>
      <c r="P1266" t="s">
        <v>485</v>
      </c>
      <c r="Q1266" t="s">
        <v>4921</v>
      </c>
      <c r="R1266" t="s">
        <v>4922</v>
      </c>
      <c r="S1266" t="s">
        <v>2885</v>
      </c>
      <c r="T1266" t="s">
        <v>2886</v>
      </c>
    </row>
    <row r="1267" spans="1:20">
      <c r="A1267" s="241">
        <v>44001</v>
      </c>
      <c r="B1267" t="s">
        <v>6477</v>
      </c>
      <c r="C1267" t="s">
        <v>423</v>
      </c>
      <c r="D1267" t="s">
        <v>237</v>
      </c>
      <c r="E1267" t="s">
        <v>443</v>
      </c>
      <c r="F1267" t="s">
        <v>1069</v>
      </c>
      <c r="G1267" t="s">
        <v>2080</v>
      </c>
      <c r="H1267" t="s">
        <v>3999</v>
      </c>
      <c r="I1267" t="s">
        <v>532</v>
      </c>
      <c r="J1267" t="s">
        <v>543</v>
      </c>
      <c r="K1267" t="s">
        <v>571</v>
      </c>
      <c r="L1267">
        <v>0.87</v>
      </c>
      <c r="M1267" t="s">
        <v>6478</v>
      </c>
      <c r="N1267" t="s">
        <v>6479</v>
      </c>
      <c r="O1267" t="s">
        <v>6480</v>
      </c>
      <c r="P1267" t="s">
        <v>485</v>
      </c>
      <c r="Q1267" t="s">
        <v>4921</v>
      </c>
      <c r="R1267" t="s">
        <v>4922</v>
      </c>
      <c r="S1267" t="s">
        <v>2885</v>
      </c>
      <c r="T1267" t="s">
        <v>2886</v>
      </c>
    </row>
    <row r="1268" spans="1:20">
      <c r="A1268" s="241">
        <v>44001</v>
      </c>
      <c r="B1268" t="s">
        <v>6481</v>
      </c>
      <c r="C1268" t="s">
        <v>236</v>
      </c>
      <c r="D1268" t="s">
        <v>423</v>
      </c>
      <c r="E1268" t="s">
        <v>402</v>
      </c>
      <c r="F1268" t="s">
        <v>585</v>
      </c>
      <c r="G1268" t="s">
        <v>2085</v>
      </c>
      <c r="H1268" t="s">
        <v>4660</v>
      </c>
      <c r="I1268" t="s">
        <v>542</v>
      </c>
      <c r="J1268" t="s">
        <v>543</v>
      </c>
      <c r="K1268" t="s">
        <v>1032</v>
      </c>
      <c r="L1268">
        <v>0.87</v>
      </c>
      <c r="M1268" t="s">
        <v>6482</v>
      </c>
      <c r="N1268" t="s">
        <v>6483</v>
      </c>
      <c r="O1268" t="s">
        <v>6484</v>
      </c>
      <c r="P1268" t="s">
        <v>485</v>
      </c>
      <c r="Q1268" t="s">
        <v>4921</v>
      </c>
      <c r="R1268" t="s">
        <v>4922</v>
      </c>
      <c r="S1268" t="s">
        <v>2885</v>
      </c>
      <c r="T1268" t="s">
        <v>2886</v>
      </c>
    </row>
    <row r="1269" spans="1:20">
      <c r="A1269" s="241">
        <v>44001</v>
      </c>
      <c r="B1269" t="s">
        <v>6485</v>
      </c>
      <c r="C1269" t="s">
        <v>237</v>
      </c>
      <c r="D1269" t="s">
        <v>510</v>
      </c>
      <c r="E1269" t="s">
        <v>402</v>
      </c>
      <c r="F1269" t="s">
        <v>566</v>
      </c>
      <c r="G1269" t="s">
        <v>1239</v>
      </c>
      <c r="H1269" t="s">
        <v>2861</v>
      </c>
      <c r="I1269" t="s">
        <v>816</v>
      </c>
      <c r="J1269" t="s">
        <v>561</v>
      </c>
      <c r="K1269" t="s">
        <v>579</v>
      </c>
      <c r="L1269">
        <v>0.87</v>
      </c>
      <c r="M1269" t="s">
        <v>6486</v>
      </c>
      <c r="N1269" t="s">
        <v>6487</v>
      </c>
      <c r="O1269" t="s">
        <v>6488</v>
      </c>
      <c r="P1269" t="s">
        <v>485</v>
      </c>
      <c r="Q1269" t="s">
        <v>4921</v>
      </c>
      <c r="R1269" t="s">
        <v>4922</v>
      </c>
      <c r="S1269" t="s">
        <v>2885</v>
      </c>
      <c r="T1269" t="s">
        <v>2886</v>
      </c>
    </row>
    <row r="1270" spans="1:20">
      <c r="A1270" s="241">
        <v>44001</v>
      </c>
      <c r="B1270" t="s">
        <v>6489</v>
      </c>
      <c r="C1270" t="s">
        <v>510</v>
      </c>
      <c r="D1270" t="s">
        <v>224</v>
      </c>
      <c r="E1270" t="s">
        <v>343</v>
      </c>
      <c r="F1270" t="s">
        <v>881</v>
      </c>
      <c r="G1270" t="s">
        <v>210</v>
      </c>
      <c r="H1270" t="s">
        <v>1677</v>
      </c>
      <c r="I1270" t="s">
        <v>824</v>
      </c>
      <c r="J1270" t="s">
        <v>1770</v>
      </c>
      <c r="K1270" t="s">
        <v>244</v>
      </c>
      <c r="L1270">
        <v>0.86</v>
      </c>
      <c r="M1270" t="s">
        <v>6490</v>
      </c>
      <c r="N1270" t="s">
        <v>6491</v>
      </c>
      <c r="O1270" t="s">
        <v>6492</v>
      </c>
      <c r="P1270" t="s">
        <v>485</v>
      </c>
      <c r="Q1270" t="s">
        <v>4921</v>
      </c>
      <c r="R1270" t="s">
        <v>4922</v>
      </c>
      <c r="S1270" t="s">
        <v>2885</v>
      </c>
      <c r="T1270" t="s">
        <v>2886</v>
      </c>
    </row>
    <row r="1271" spans="1:20">
      <c r="A1271" s="241">
        <v>44001</v>
      </c>
      <c r="B1271" t="s">
        <v>6493</v>
      </c>
      <c r="C1271" t="s">
        <v>249</v>
      </c>
      <c r="D1271" t="s">
        <v>223</v>
      </c>
      <c r="E1271" t="s">
        <v>304</v>
      </c>
      <c r="F1271" t="s">
        <v>1756</v>
      </c>
      <c r="G1271" t="s">
        <v>227</v>
      </c>
      <c r="H1271" t="s">
        <v>1038</v>
      </c>
      <c r="I1271" t="s">
        <v>254</v>
      </c>
      <c r="J1271" t="s">
        <v>255</v>
      </c>
      <c r="K1271" t="s">
        <v>256</v>
      </c>
      <c r="L1271">
        <v>0.86</v>
      </c>
      <c r="M1271" t="s">
        <v>6494</v>
      </c>
      <c r="N1271" t="s">
        <v>6495</v>
      </c>
      <c r="O1271" t="s">
        <v>6496</v>
      </c>
      <c r="P1271" t="s">
        <v>485</v>
      </c>
      <c r="Q1271" t="s">
        <v>4921</v>
      </c>
      <c r="R1271" t="s">
        <v>4922</v>
      </c>
      <c r="S1271" t="s">
        <v>2885</v>
      </c>
      <c r="T1271" t="s">
        <v>2886</v>
      </c>
    </row>
    <row r="1272" spans="1:20">
      <c r="A1272" s="241">
        <v>44001</v>
      </c>
      <c r="B1272" t="s">
        <v>6497</v>
      </c>
      <c r="C1272" t="s">
        <v>224</v>
      </c>
      <c r="D1272" t="s">
        <v>249</v>
      </c>
      <c r="E1272" t="s">
        <v>250</v>
      </c>
      <c r="F1272" t="s">
        <v>598</v>
      </c>
      <c r="G1272" t="s">
        <v>252</v>
      </c>
      <c r="H1272" t="s">
        <v>2315</v>
      </c>
      <c r="I1272" t="s">
        <v>577</v>
      </c>
      <c r="J1272" t="s">
        <v>578</v>
      </c>
      <c r="K1272" t="s">
        <v>579</v>
      </c>
      <c r="L1272">
        <v>0.86</v>
      </c>
      <c r="M1272" t="s">
        <v>6498</v>
      </c>
      <c r="N1272" t="s">
        <v>6499</v>
      </c>
      <c r="O1272" t="s">
        <v>6500</v>
      </c>
      <c r="P1272" t="s">
        <v>485</v>
      </c>
      <c r="Q1272" t="s">
        <v>4921</v>
      </c>
      <c r="R1272" t="s">
        <v>4922</v>
      </c>
      <c r="S1272" t="s">
        <v>2885</v>
      </c>
      <c r="T1272" t="s">
        <v>2886</v>
      </c>
    </row>
    <row r="1273" spans="1:20">
      <c r="A1273" s="241">
        <v>44001</v>
      </c>
      <c r="B1273" t="s">
        <v>6501</v>
      </c>
      <c r="C1273" t="s">
        <v>236</v>
      </c>
      <c r="D1273" t="s">
        <v>207</v>
      </c>
      <c r="E1273" t="s">
        <v>343</v>
      </c>
      <c r="F1273" t="s">
        <v>395</v>
      </c>
      <c r="G1273" t="s">
        <v>1068</v>
      </c>
      <c r="H1273" t="s">
        <v>1017</v>
      </c>
      <c r="I1273" t="s">
        <v>288</v>
      </c>
      <c r="J1273" t="s">
        <v>601</v>
      </c>
      <c r="K1273" t="s">
        <v>666</v>
      </c>
      <c r="L1273">
        <v>0.86</v>
      </c>
      <c r="M1273" t="s">
        <v>6502</v>
      </c>
      <c r="N1273" t="s">
        <v>6503</v>
      </c>
      <c r="O1273" t="s">
        <v>6504</v>
      </c>
      <c r="P1273" t="s">
        <v>485</v>
      </c>
      <c r="Q1273" t="s">
        <v>4921</v>
      </c>
      <c r="R1273" t="s">
        <v>4922</v>
      </c>
      <c r="S1273" t="s">
        <v>2885</v>
      </c>
      <c r="T1273" t="s">
        <v>2886</v>
      </c>
    </row>
    <row r="1274" spans="1:20">
      <c r="A1274" s="241">
        <v>44001</v>
      </c>
      <c r="B1274" t="s">
        <v>6505</v>
      </c>
      <c r="C1274" t="s">
        <v>224</v>
      </c>
      <c r="D1274" t="s">
        <v>224</v>
      </c>
      <c r="E1274" t="s">
        <v>443</v>
      </c>
      <c r="F1274" t="s">
        <v>1080</v>
      </c>
      <c r="G1274" t="s">
        <v>836</v>
      </c>
      <c r="H1274" t="s">
        <v>3554</v>
      </c>
      <c r="I1274" t="s">
        <v>297</v>
      </c>
      <c r="J1274" t="s">
        <v>298</v>
      </c>
      <c r="K1274" t="s">
        <v>299</v>
      </c>
      <c r="L1274">
        <v>0.86</v>
      </c>
      <c r="M1274" t="s">
        <v>6506</v>
      </c>
      <c r="N1274" t="s">
        <v>6507</v>
      </c>
      <c r="O1274" t="s">
        <v>6508</v>
      </c>
      <c r="P1274" t="s">
        <v>485</v>
      </c>
      <c r="Q1274" t="s">
        <v>4921</v>
      </c>
      <c r="R1274" t="s">
        <v>4922</v>
      </c>
      <c r="S1274" t="s">
        <v>2885</v>
      </c>
      <c r="T1274" t="s">
        <v>2886</v>
      </c>
    </row>
    <row r="1275" spans="1:20">
      <c r="A1275" s="241">
        <v>44001</v>
      </c>
      <c r="B1275" t="s">
        <v>6509</v>
      </c>
      <c r="C1275" t="s">
        <v>224</v>
      </c>
      <c r="D1275" t="s">
        <v>224</v>
      </c>
      <c r="E1275" t="s">
        <v>402</v>
      </c>
      <c r="F1275" t="s">
        <v>1291</v>
      </c>
      <c r="G1275" t="s">
        <v>599</v>
      </c>
      <c r="H1275" t="s">
        <v>1069</v>
      </c>
      <c r="I1275" t="s">
        <v>308</v>
      </c>
      <c r="J1275" t="s">
        <v>309</v>
      </c>
      <c r="K1275" t="s">
        <v>280</v>
      </c>
      <c r="L1275">
        <v>0.86</v>
      </c>
      <c r="M1275" t="s">
        <v>6510</v>
      </c>
      <c r="N1275" t="s">
        <v>6511</v>
      </c>
      <c r="O1275" t="s">
        <v>6512</v>
      </c>
      <c r="P1275" t="s">
        <v>485</v>
      </c>
      <c r="Q1275" t="s">
        <v>4921</v>
      </c>
      <c r="R1275" t="s">
        <v>4922</v>
      </c>
      <c r="S1275" t="s">
        <v>2885</v>
      </c>
      <c r="T1275" t="s">
        <v>2886</v>
      </c>
    </row>
    <row r="1276" spans="1:20">
      <c r="A1276" s="241">
        <v>44001</v>
      </c>
      <c r="B1276" t="s">
        <v>6513</v>
      </c>
      <c r="C1276" t="s">
        <v>249</v>
      </c>
      <c r="D1276" t="s">
        <v>510</v>
      </c>
      <c r="E1276" t="s">
        <v>225</v>
      </c>
      <c r="F1276" t="s">
        <v>626</v>
      </c>
      <c r="G1276" t="s">
        <v>334</v>
      </c>
      <c r="H1276" t="s">
        <v>1069</v>
      </c>
      <c r="I1276" t="s">
        <v>1811</v>
      </c>
      <c r="J1276" t="s">
        <v>620</v>
      </c>
      <c r="K1276" t="s">
        <v>338</v>
      </c>
      <c r="L1276">
        <v>0.86</v>
      </c>
      <c r="M1276" t="s">
        <v>6514</v>
      </c>
      <c r="N1276" t="s">
        <v>6515</v>
      </c>
      <c r="O1276" t="s">
        <v>6516</v>
      </c>
      <c r="P1276" t="s">
        <v>485</v>
      </c>
      <c r="Q1276" t="s">
        <v>4921</v>
      </c>
      <c r="R1276" t="s">
        <v>4922</v>
      </c>
      <c r="S1276" t="s">
        <v>2885</v>
      </c>
      <c r="T1276" t="s">
        <v>2886</v>
      </c>
    </row>
    <row r="1277" spans="1:20">
      <c r="A1277" s="241">
        <v>44001</v>
      </c>
      <c r="B1277" t="s">
        <v>6517</v>
      </c>
      <c r="C1277" t="s">
        <v>294</v>
      </c>
      <c r="D1277" t="s">
        <v>223</v>
      </c>
      <c r="E1277" t="s">
        <v>343</v>
      </c>
      <c r="F1277" t="s">
        <v>323</v>
      </c>
      <c r="G1277" t="s">
        <v>1832</v>
      </c>
      <c r="H1277" t="s">
        <v>1231</v>
      </c>
      <c r="I1277" t="s">
        <v>1842</v>
      </c>
      <c r="J1277" t="s">
        <v>1506</v>
      </c>
      <c r="K1277" t="s">
        <v>327</v>
      </c>
      <c r="L1277">
        <v>0.86</v>
      </c>
      <c r="M1277" t="s">
        <v>6518</v>
      </c>
      <c r="N1277" t="s">
        <v>6519</v>
      </c>
      <c r="O1277" t="s">
        <v>6520</v>
      </c>
      <c r="P1277" t="s">
        <v>485</v>
      </c>
      <c r="Q1277" t="s">
        <v>4921</v>
      </c>
      <c r="R1277" t="s">
        <v>4922</v>
      </c>
      <c r="S1277" t="s">
        <v>2885</v>
      </c>
      <c r="T1277" t="s">
        <v>2886</v>
      </c>
    </row>
    <row r="1278" spans="1:20">
      <c r="A1278" s="241">
        <v>44001</v>
      </c>
      <c r="B1278" t="s">
        <v>6521</v>
      </c>
      <c r="C1278" t="s">
        <v>249</v>
      </c>
      <c r="D1278" t="s">
        <v>224</v>
      </c>
      <c r="E1278" t="s">
        <v>424</v>
      </c>
      <c r="F1278" t="s">
        <v>713</v>
      </c>
      <c r="G1278" t="s">
        <v>324</v>
      </c>
      <c r="H1278" t="s">
        <v>316</v>
      </c>
      <c r="I1278" t="s">
        <v>1494</v>
      </c>
      <c r="J1278" t="s">
        <v>1506</v>
      </c>
      <c r="K1278" t="s">
        <v>327</v>
      </c>
      <c r="L1278">
        <v>0.86</v>
      </c>
      <c r="M1278" t="s">
        <v>6522</v>
      </c>
      <c r="N1278" t="s">
        <v>6523</v>
      </c>
      <c r="O1278" t="s">
        <v>6524</v>
      </c>
      <c r="P1278" t="s">
        <v>485</v>
      </c>
      <c r="Q1278" t="s">
        <v>4921</v>
      </c>
      <c r="R1278" t="s">
        <v>4922</v>
      </c>
      <c r="S1278" t="s">
        <v>2885</v>
      </c>
      <c r="T1278" t="s">
        <v>2886</v>
      </c>
    </row>
    <row r="1279" spans="1:20">
      <c r="A1279" s="241">
        <v>44001</v>
      </c>
      <c r="B1279" t="s">
        <v>6525</v>
      </c>
      <c r="C1279" t="s">
        <v>261</v>
      </c>
      <c r="D1279" t="s">
        <v>206</v>
      </c>
      <c r="E1279" t="s">
        <v>424</v>
      </c>
      <c r="F1279" t="s">
        <v>445</v>
      </c>
      <c r="G1279" t="s">
        <v>617</v>
      </c>
      <c r="H1279" t="s">
        <v>239</v>
      </c>
      <c r="I1279" t="s">
        <v>336</v>
      </c>
      <c r="J1279" t="s">
        <v>348</v>
      </c>
      <c r="K1279" t="s">
        <v>666</v>
      </c>
      <c r="L1279">
        <v>0.86</v>
      </c>
      <c r="M1279" t="s">
        <v>6526</v>
      </c>
      <c r="N1279" t="s">
        <v>6527</v>
      </c>
      <c r="O1279" t="s">
        <v>6528</v>
      </c>
      <c r="P1279" t="s">
        <v>485</v>
      </c>
      <c r="Q1279" t="s">
        <v>4921</v>
      </c>
      <c r="R1279" t="s">
        <v>4922</v>
      </c>
      <c r="S1279" t="s">
        <v>2885</v>
      </c>
      <c r="T1279" t="s">
        <v>2886</v>
      </c>
    </row>
    <row r="1280" spans="1:20">
      <c r="A1280" s="241">
        <v>44001</v>
      </c>
      <c r="B1280" t="s">
        <v>6529</v>
      </c>
      <c r="C1280" t="s">
        <v>237</v>
      </c>
      <c r="D1280" t="s">
        <v>423</v>
      </c>
      <c r="E1280" t="s">
        <v>343</v>
      </c>
      <c r="F1280" t="s">
        <v>1103</v>
      </c>
      <c r="G1280" t="s">
        <v>334</v>
      </c>
      <c r="H1280" t="s">
        <v>263</v>
      </c>
      <c r="I1280" t="s">
        <v>336</v>
      </c>
      <c r="J1280" t="s">
        <v>2372</v>
      </c>
      <c r="K1280" t="s">
        <v>359</v>
      </c>
      <c r="L1280">
        <v>0.86</v>
      </c>
      <c r="M1280" t="s">
        <v>6530</v>
      </c>
      <c r="N1280" t="s">
        <v>6531</v>
      </c>
      <c r="O1280" t="s">
        <v>6532</v>
      </c>
      <c r="P1280" t="s">
        <v>485</v>
      </c>
      <c r="Q1280" t="s">
        <v>4921</v>
      </c>
      <c r="R1280" t="s">
        <v>4922</v>
      </c>
      <c r="S1280" t="s">
        <v>2885</v>
      </c>
      <c r="T1280" t="s">
        <v>2886</v>
      </c>
    </row>
    <row r="1281" spans="1:20">
      <c r="A1281" s="241">
        <v>44001</v>
      </c>
      <c r="B1281" t="s">
        <v>6533</v>
      </c>
      <c r="C1281" t="s">
        <v>224</v>
      </c>
      <c r="D1281" t="s">
        <v>224</v>
      </c>
      <c r="E1281" t="s">
        <v>696</v>
      </c>
      <c r="F1281" t="s">
        <v>662</v>
      </c>
      <c r="G1281" t="s">
        <v>2764</v>
      </c>
      <c r="H1281" t="s">
        <v>1262</v>
      </c>
      <c r="I1281" t="s">
        <v>656</v>
      </c>
      <c r="J1281" t="s">
        <v>665</v>
      </c>
      <c r="K1281" t="s">
        <v>700</v>
      </c>
      <c r="L1281">
        <v>0.86</v>
      </c>
      <c r="M1281" t="s">
        <v>6534</v>
      </c>
      <c r="N1281" t="s">
        <v>6535</v>
      </c>
      <c r="O1281" t="s">
        <v>6536</v>
      </c>
      <c r="P1281" t="s">
        <v>485</v>
      </c>
      <c r="Q1281" t="s">
        <v>4921</v>
      </c>
      <c r="R1281" t="s">
        <v>4922</v>
      </c>
      <c r="S1281" t="s">
        <v>2885</v>
      </c>
      <c r="T1281" t="s">
        <v>2886</v>
      </c>
    </row>
    <row r="1282" spans="1:20">
      <c r="A1282" s="241">
        <v>44001</v>
      </c>
      <c r="B1282" t="s">
        <v>6537</v>
      </c>
      <c r="C1282" t="s">
        <v>207</v>
      </c>
      <c r="D1282" t="s">
        <v>274</v>
      </c>
      <c r="E1282" t="s">
        <v>208</v>
      </c>
      <c r="F1282" t="s">
        <v>1536</v>
      </c>
      <c r="G1282" t="s">
        <v>648</v>
      </c>
      <c r="H1282" t="s">
        <v>576</v>
      </c>
      <c r="I1282" t="s">
        <v>367</v>
      </c>
      <c r="J1282" t="s">
        <v>899</v>
      </c>
      <c r="K1282" t="s">
        <v>327</v>
      </c>
      <c r="L1282">
        <v>0.86</v>
      </c>
      <c r="M1282" t="s">
        <v>6538</v>
      </c>
      <c r="N1282" t="s">
        <v>6539</v>
      </c>
      <c r="O1282" t="s">
        <v>6540</v>
      </c>
      <c r="P1282" t="s">
        <v>485</v>
      </c>
      <c r="Q1282" t="s">
        <v>4921</v>
      </c>
      <c r="R1282" t="s">
        <v>4922</v>
      </c>
      <c r="S1282" t="s">
        <v>2885</v>
      </c>
      <c r="T1282" t="s">
        <v>2886</v>
      </c>
    </row>
    <row r="1283" spans="1:20">
      <c r="A1283" s="241">
        <v>44001</v>
      </c>
      <c r="B1283" t="s">
        <v>6541</v>
      </c>
      <c r="C1283" t="s">
        <v>262</v>
      </c>
      <c r="D1283" t="s">
        <v>207</v>
      </c>
      <c r="E1283" t="s">
        <v>424</v>
      </c>
      <c r="F1283" t="s">
        <v>909</v>
      </c>
      <c r="G1283" t="s">
        <v>375</v>
      </c>
      <c r="H1283" t="s">
        <v>1080</v>
      </c>
      <c r="I1283" t="s">
        <v>1563</v>
      </c>
      <c r="J1283" t="s">
        <v>912</v>
      </c>
      <c r="K1283" t="s">
        <v>408</v>
      </c>
      <c r="L1283">
        <v>0.86</v>
      </c>
      <c r="M1283" t="s">
        <v>6542</v>
      </c>
      <c r="N1283" t="s">
        <v>6543</v>
      </c>
      <c r="O1283" t="s">
        <v>6544</v>
      </c>
      <c r="P1283" t="s">
        <v>485</v>
      </c>
      <c r="Q1283" t="s">
        <v>4921</v>
      </c>
      <c r="R1283" t="s">
        <v>4922</v>
      </c>
      <c r="S1283" t="s">
        <v>2885</v>
      </c>
      <c r="T1283" t="s">
        <v>2886</v>
      </c>
    </row>
    <row r="1284" spans="1:20">
      <c r="A1284" s="241">
        <v>44001</v>
      </c>
      <c r="B1284" t="s">
        <v>6545</v>
      </c>
      <c r="C1284" t="s">
        <v>224</v>
      </c>
      <c r="D1284" t="s">
        <v>207</v>
      </c>
      <c r="E1284" t="s">
        <v>304</v>
      </c>
      <c r="F1284" t="s">
        <v>1127</v>
      </c>
      <c r="G1284" t="s">
        <v>1122</v>
      </c>
      <c r="H1284" t="s">
        <v>1467</v>
      </c>
      <c r="I1284" t="s">
        <v>674</v>
      </c>
      <c r="J1284" t="s">
        <v>387</v>
      </c>
      <c r="K1284" t="s">
        <v>700</v>
      </c>
      <c r="L1284">
        <v>0.86</v>
      </c>
      <c r="M1284" t="s">
        <v>6546</v>
      </c>
      <c r="N1284" t="s">
        <v>6547</v>
      </c>
      <c r="O1284" t="s">
        <v>6548</v>
      </c>
      <c r="P1284" t="s">
        <v>485</v>
      </c>
      <c r="Q1284" t="s">
        <v>4921</v>
      </c>
      <c r="R1284" t="s">
        <v>4922</v>
      </c>
      <c r="S1284" t="s">
        <v>2885</v>
      </c>
      <c r="T1284" t="s">
        <v>2886</v>
      </c>
    </row>
    <row r="1285" spans="1:20">
      <c r="A1285" s="241">
        <v>44001</v>
      </c>
      <c r="B1285" t="s">
        <v>6549</v>
      </c>
      <c r="C1285" t="s">
        <v>237</v>
      </c>
      <c r="D1285" t="s">
        <v>274</v>
      </c>
      <c r="E1285" t="s">
        <v>250</v>
      </c>
      <c r="F1285" t="s">
        <v>952</v>
      </c>
      <c r="G1285" t="s">
        <v>681</v>
      </c>
      <c r="H1285" t="s">
        <v>1574</v>
      </c>
      <c r="I1285" t="s">
        <v>698</v>
      </c>
      <c r="J1285" t="s">
        <v>707</v>
      </c>
      <c r="K1285" t="s">
        <v>428</v>
      </c>
      <c r="L1285">
        <v>0.86</v>
      </c>
      <c r="M1285" t="s">
        <v>6550</v>
      </c>
      <c r="N1285" t="s">
        <v>6551</v>
      </c>
      <c r="O1285" t="s">
        <v>6552</v>
      </c>
      <c r="P1285" t="s">
        <v>485</v>
      </c>
      <c r="Q1285" t="s">
        <v>4921</v>
      </c>
      <c r="R1285" t="s">
        <v>4922</v>
      </c>
      <c r="S1285" t="s">
        <v>2885</v>
      </c>
      <c r="T1285" t="s">
        <v>2886</v>
      </c>
    </row>
    <row r="1286" spans="1:20">
      <c r="A1286" s="241">
        <v>44001</v>
      </c>
      <c r="B1286" t="s">
        <v>6553</v>
      </c>
      <c r="C1286" t="s">
        <v>274</v>
      </c>
      <c r="D1286" t="s">
        <v>206</v>
      </c>
      <c r="E1286" t="s">
        <v>597</v>
      </c>
      <c r="F1286" t="s">
        <v>718</v>
      </c>
      <c r="G1286" t="s">
        <v>1610</v>
      </c>
      <c r="H1286" t="s">
        <v>395</v>
      </c>
      <c r="I1286" t="s">
        <v>1923</v>
      </c>
      <c r="J1286" t="s">
        <v>417</v>
      </c>
      <c r="K1286" t="s">
        <v>428</v>
      </c>
      <c r="L1286">
        <v>0.86</v>
      </c>
      <c r="M1286" t="s">
        <v>6554</v>
      </c>
      <c r="N1286" t="s">
        <v>6555</v>
      </c>
      <c r="O1286" t="s">
        <v>6556</v>
      </c>
      <c r="P1286" t="s">
        <v>485</v>
      </c>
      <c r="Q1286" t="s">
        <v>4921</v>
      </c>
      <c r="R1286" t="s">
        <v>4922</v>
      </c>
      <c r="S1286" t="s">
        <v>2885</v>
      </c>
      <c r="T1286" t="s">
        <v>2886</v>
      </c>
    </row>
    <row r="1287" spans="1:20">
      <c r="A1287" s="241">
        <v>44001</v>
      </c>
      <c r="B1287" t="s">
        <v>6557</v>
      </c>
      <c r="C1287" t="s">
        <v>249</v>
      </c>
      <c r="D1287" t="s">
        <v>237</v>
      </c>
      <c r="E1287" t="s">
        <v>238</v>
      </c>
      <c r="F1287" t="s">
        <v>403</v>
      </c>
      <c r="G1287" t="s">
        <v>425</v>
      </c>
      <c r="H1287" t="s">
        <v>435</v>
      </c>
      <c r="I1287" t="s">
        <v>427</v>
      </c>
      <c r="J1287" t="s">
        <v>1309</v>
      </c>
      <c r="K1287" t="s">
        <v>369</v>
      </c>
      <c r="L1287">
        <v>0.86</v>
      </c>
      <c r="M1287" t="s">
        <v>6558</v>
      </c>
      <c r="N1287" t="s">
        <v>6559</v>
      </c>
      <c r="O1287" t="s">
        <v>6560</v>
      </c>
      <c r="P1287" t="s">
        <v>485</v>
      </c>
      <c r="Q1287" t="s">
        <v>4921</v>
      </c>
      <c r="R1287" t="s">
        <v>4922</v>
      </c>
      <c r="S1287" t="s">
        <v>2885</v>
      </c>
      <c r="T1287" t="s">
        <v>2886</v>
      </c>
    </row>
    <row r="1288" spans="1:20">
      <c r="A1288" s="241">
        <v>44001</v>
      </c>
      <c r="B1288" t="s">
        <v>6561</v>
      </c>
      <c r="C1288" t="s">
        <v>274</v>
      </c>
      <c r="D1288" t="s">
        <v>274</v>
      </c>
      <c r="E1288" t="s">
        <v>238</v>
      </c>
      <c r="F1288" t="s">
        <v>403</v>
      </c>
      <c r="G1288" t="s">
        <v>1297</v>
      </c>
      <c r="H1288" t="s">
        <v>1109</v>
      </c>
      <c r="I1288" t="s">
        <v>427</v>
      </c>
      <c r="J1288" t="s">
        <v>1309</v>
      </c>
      <c r="K1288" t="s">
        <v>369</v>
      </c>
      <c r="L1288">
        <v>0.86</v>
      </c>
      <c r="M1288" t="s">
        <v>6562</v>
      </c>
      <c r="N1288" t="s">
        <v>6563</v>
      </c>
      <c r="O1288" t="s">
        <v>6564</v>
      </c>
      <c r="P1288" t="s">
        <v>485</v>
      </c>
      <c r="Q1288" t="s">
        <v>4921</v>
      </c>
      <c r="R1288" t="s">
        <v>4922</v>
      </c>
      <c r="S1288" t="s">
        <v>2885</v>
      </c>
      <c r="T1288" t="s">
        <v>2886</v>
      </c>
    </row>
    <row r="1289" spans="1:20">
      <c r="A1289" s="241">
        <v>44001</v>
      </c>
      <c r="B1289" t="s">
        <v>6565</v>
      </c>
      <c r="C1289" t="s">
        <v>274</v>
      </c>
      <c r="D1289" t="s">
        <v>615</v>
      </c>
      <c r="E1289" t="s">
        <v>250</v>
      </c>
      <c r="F1289" t="s">
        <v>3408</v>
      </c>
      <c r="G1289" t="s">
        <v>1324</v>
      </c>
      <c r="H1289" t="s">
        <v>435</v>
      </c>
      <c r="I1289" t="s">
        <v>446</v>
      </c>
      <c r="J1289" t="s">
        <v>954</v>
      </c>
      <c r="K1289" t="s">
        <v>359</v>
      </c>
      <c r="L1289">
        <v>0.86</v>
      </c>
      <c r="M1289" t="s">
        <v>6566</v>
      </c>
      <c r="N1289" t="s">
        <v>6567</v>
      </c>
      <c r="O1289" t="s">
        <v>6568</v>
      </c>
      <c r="P1289" t="s">
        <v>485</v>
      </c>
      <c r="Q1289" t="s">
        <v>4921</v>
      </c>
      <c r="R1289" t="s">
        <v>4922</v>
      </c>
      <c r="S1289" t="s">
        <v>2885</v>
      </c>
      <c r="T1289" t="s">
        <v>2886</v>
      </c>
    </row>
    <row r="1290" spans="1:20">
      <c r="A1290" s="241">
        <v>44001</v>
      </c>
      <c r="B1290" t="s">
        <v>6569</v>
      </c>
      <c r="C1290" t="s">
        <v>223</v>
      </c>
      <c r="D1290" t="s">
        <v>631</v>
      </c>
      <c r="E1290" t="s">
        <v>424</v>
      </c>
      <c r="F1290" t="s">
        <v>1625</v>
      </c>
      <c r="G1290" t="s">
        <v>931</v>
      </c>
      <c r="H1290" t="s">
        <v>639</v>
      </c>
      <c r="I1290" t="s">
        <v>446</v>
      </c>
      <c r="J1290" t="s">
        <v>1159</v>
      </c>
      <c r="K1290" t="s">
        <v>369</v>
      </c>
      <c r="L1290">
        <v>0.86</v>
      </c>
      <c r="M1290" t="s">
        <v>6570</v>
      </c>
      <c r="N1290" t="s">
        <v>6571</v>
      </c>
      <c r="O1290" t="s">
        <v>6572</v>
      </c>
      <c r="P1290" t="s">
        <v>485</v>
      </c>
      <c r="Q1290" t="s">
        <v>4921</v>
      </c>
      <c r="R1290" t="s">
        <v>4922</v>
      </c>
      <c r="S1290" t="s">
        <v>2885</v>
      </c>
      <c r="T1290" t="s">
        <v>2886</v>
      </c>
    </row>
    <row r="1291" spans="1:20">
      <c r="A1291" s="241">
        <v>44001</v>
      </c>
      <c r="B1291" t="s">
        <v>6573</v>
      </c>
      <c r="C1291" t="s">
        <v>1877</v>
      </c>
      <c r="D1291" t="s">
        <v>2448</v>
      </c>
      <c r="E1291" t="s">
        <v>712</v>
      </c>
      <c r="F1291" t="s">
        <v>1164</v>
      </c>
      <c r="G1291" t="s">
        <v>6574</v>
      </c>
      <c r="H1291" t="s">
        <v>1647</v>
      </c>
      <c r="I1291" t="s">
        <v>6575</v>
      </c>
      <c r="J1291" t="s">
        <v>6576</v>
      </c>
      <c r="K1291" t="s">
        <v>6461</v>
      </c>
      <c r="L1291">
        <v>0.88</v>
      </c>
      <c r="M1291" t="s">
        <v>6577</v>
      </c>
      <c r="N1291" t="s">
        <v>6578</v>
      </c>
      <c r="O1291" t="s">
        <v>6579</v>
      </c>
      <c r="P1291" t="s">
        <v>485</v>
      </c>
      <c r="Q1291" t="s">
        <v>4921</v>
      </c>
      <c r="R1291" t="s">
        <v>4922</v>
      </c>
      <c r="S1291" t="s">
        <v>2885</v>
      </c>
      <c r="T1291" t="s">
        <v>2886</v>
      </c>
    </row>
    <row r="1292" spans="1:20">
      <c r="A1292" s="241">
        <v>44001</v>
      </c>
      <c r="B1292" t="s">
        <v>6580</v>
      </c>
      <c r="C1292" t="s">
        <v>969</v>
      </c>
      <c r="D1292" t="s">
        <v>1376</v>
      </c>
      <c r="E1292" t="s">
        <v>1196</v>
      </c>
      <c r="F1292" t="s">
        <v>1179</v>
      </c>
      <c r="G1292" t="s">
        <v>6581</v>
      </c>
      <c r="H1292" t="s">
        <v>1649</v>
      </c>
      <c r="I1292" t="s">
        <v>4621</v>
      </c>
      <c r="J1292" t="s">
        <v>2639</v>
      </c>
      <c r="K1292" t="s">
        <v>1190</v>
      </c>
      <c r="L1292">
        <v>0.89</v>
      </c>
      <c r="M1292" t="s">
        <v>6582</v>
      </c>
      <c r="N1292" t="s">
        <v>6583</v>
      </c>
      <c r="O1292" t="s">
        <v>6584</v>
      </c>
      <c r="P1292" t="s">
        <v>485</v>
      </c>
      <c r="Q1292" t="s">
        <v>4921</v>
      </c>
      <c r="R1292" t="s">
        <v>4922</v>
      </c>
      <c r="S1292" t="s">
        <v>2885</v>
      </c>
      <c r="T1292" t="s">
        <v>2886</v>
      </c>
    </row>
    <row r="1293" spans="1:20">
      <c r="A1293" s="241">
        <v>44001</v>
      </c>
      <c r="B1293" t="s">
        <v>6585</v>
      </c>
      <c r="C1293" t="s">
        <v>5795</v>
      </c>
      <c r="D1293" t="s">
        <v>499</v>
      </c>
      <c r="E1293" t="s">
        <v>273</v>
      </c>
      <c r="F1293" t="s">
        <v>3962</v>
      </c>
      <c r="G1293" t="s">
        <v>3137</v>
      </c>
      <c r="H1293" t="s">
        <v>758</v>
      </c>
      <c r="I1293" t="s">
        <v>6586</v>
      </c>
      <c r="J1293" t="s">
        <v>6587</v>
      </c>
      <c r="K1293" t="s">
        <v>1200</v>
      </c>
      <c r="L1293">
        <v>0.89</v>
      </c>
      <c r="M1293" t="s">
        <v>6588</v>
      </c>
      <c r="N1293" t="s">
        <v>6589</v>
      </c>
      <c r="O1293" t="s">
        <v>6590</v>
      </c>
      <c r="P1293" t="s">
        <v>485</v>
      </c>
      <c r="Q1293" t="s">
        <v>4921</v>
      </c>
      <c r="R1293" t="s">
        <v>4922</v>
      </c>
      <c r="S1293" t="s">
        <v>2885</v>
      </c>
      <c r="T1293" t="s">
        <v>2886</v>
      </c>
    </row>
    <row r="1294" spans="1:20">
      <c r="A1294" s="241">
        <v>44001</v>
      </c>
      <c r="B1294" t="s">
        <v>6591</v>
      </c>
      <c r="C1294" t="s">
        <v>5284</v>
      </c>
      <c r="D1294" t="s">
        <v>462</v>
      </c>
      <c r="E1294" t="s">
        <v>1196</v>
      </c>
      <c r="F1294" t="s">
        <v>1368</v>
      </c>
      <c r="G1294" t="s">
        <v>490</v>
      </c>
      <c r="H1294" t="s">
        <v>478</v>
      </c>
      <c r="I1294" t="s">
        <v>3978</v>
      </c>
      <c r="J1294" t="s">
        <v>3979</v>
      </c>
      <c r="K1294" t="s">
        <v>1660</v>
      </c>
      <c r="L1294">
        <v>0.89</v>
      </c>
      <c r="M1294" t="s">
        <v>6592</v>
      </c>
      <c r="N1294" t="s">
        <v>6593</v>
      </c>
      <c r="O1294" t="s">
        <v>6594</v>
      </c>
      <c r="P1294" t="s">
        <v>485</v>
      </c>
      <c r="Q1294" t="s">
        <v>4921</v>
      </c>
      <c r="R1294" t="s">
        <v>4922</v>
      </c>
      <c r="S1294" t="s">
        <v>2885</v>
      </c>
      <c r="T1294" t="s">
        <v>2886</v>
      </c>
    </row>
    <row r="1295" spans="1:20">
      <c r="A1295" s="241">
        <v>44001</v>
      </c>
      <c r="B1295" t="s">
        <v>6595</v>
      </c>
      <c r="C1295" t="s">
        <v>5481</v>
      </c>
      <c r="D1295" t="s">
        <v>274</v>
      </c>
      <c r="E1295" t="s">
        <v>2478</v>
      </c>
      <c r="F1295" t="s">
        <v>6596</v>
      </c>
      <c r="G1295" t="s">
        <v>2653</v>
      </c>
      <c r="H1295" t="s">
        <v>2266</v>
      </c>
      <c r="I1295" t="s">
        <v>6597</v>
      </c>
      <c r="J1295" t="s">
        <v>6598</v>
      </c>
      <c r="K1295" t="s">
        <v>6599</v>
      </c>
      <c r="L1295">
        <v>0.87</v>
      </c>
      <c r="M1295" t="s">
        <v>6600</v>
      </c>
      <c r="N1295" t="s">
        <v>6601</v>
      </c>
      <c r="O1295" t="s">
        <v>6602</v>
      </c>
      <c r="P1295" t="s">
        <v>485</v>
      </c>
      <c r="Q1295" t="s">
        <v>4921</v>
      </c>
      <c r="R1295" t="s">
        <v>4922</v>
      </c>
      <c r="S1295" t="s">
        <v>2885</v>
      </c>
      <c r="T1295" t="s">
        <v>2886</v>
      </c>
    </row>
    <row r="1296" spans="1:20">
      <c r="A1296" s="241">
        <v>44001</v>
      </c>
      <c r="B1296" t="s">
        <v>6603</v>
      </c>
      <c r="C1296" t="s">
        <v>423</v>
      </c>
      <c r="D1296" t="s">
        <v>249</v>
      </c>
      <c r="E1296" t="s">
        <v>556</v>
      </c>
      <c r="F1296" t="s">
        <v>1692</v>
      </c>
      <c r="G1296" t="s">
        <v>530</v>
      </c>
      <c r="H1296" t="s">
        <v>4383</v>
      </c>
      <c r="I1296" t="s">
        <v>2024</v>
      </c>
      <c r="J1296" t="s">
        <v>1710</v>
      </c>
      <c r="K1296" t="s">
        <v>1032</v>
      </c>
      <c r="L1296">
        <v>0.87</v>
      </c>
      <c r="M1296" t="s">
        <v>6604</v>
      </c>
      <c r="N1296" t="s">
        <v>6605</v>
      </c>
      <c r="O1296" t="s">
        <v>6606</v>
      </c>
      <c r="P1296" t="s">
        <v>485</v>
      </c>
      <c r="Q1296" t="s">
        <v>4921</v>
      </c>
      <c r="R1296" t="s">
        <v>4922</v>
      </c>
      <c r="S1296" t="s">
        <v>2885</v>
      </c>
      <c r="T1296" t="s">
        <v>2886</v>
      </c>
    </row>
    <row r="1297" spans="1:20">
      <c r="A1297" s="241">
        <v>44001</v>
      </c>
      <c r="B1297" t="s">
        <v>6607</v>
      </c>
      <c r="C1297" t="s">
        <v>224</v>
      </c>
      <c r="D1297" t="s">
        <v>274</v>
      </c>
      <c r="E1297" t="s">
        <v>556</v>
      </c>
      <c r="F1297" t="s">
        <v>1231</v>
      </c>
      <c r="G1297" t="s">
        <v>1025</v>
      </c>
      <c r="H1297" t="s">
        <v>1018</v>
      </c>
      <c r="I1297" t="s">
        <v>793</v>
      </c>
      <c r="J1297" t="s">
        <v>533</v>
      </c>
      <c r="K1297" t="s">
        <v>214</v>
      </c>
      <c r="L1297">
        <v>0.87</v>
      </c>
      <c r="M1297" t="s">
        <v>6608</v>
      </c>
      <c r="N1297" t="s">
        <v>6609</v>
      </c>
      <c r="O1297" t="s">
        <v>6610</v>
      </c>
      <c r="P1297" t="s">
        <v>485</v>
      </c>
      <c r="Q1297" t="s">
        <v>4921</v>
      </c>
      <c r="R1297" t="s">
        <v>4922</v>
      </c>
      <c r="S1297" t="s">
        <v>2885</v>
      </c>
      <c r="T1297" t="s">
        <v>2886</v>
      </c>
    </row>
    <row r="1298" spans="1:20">
      <c r="A1298" s="241">
        <v>44001</v>
      </c>
      <c r="B1298" t="s">
        <v>6611</v>
      </c>
      <c r="C1298" t="s">
        <v>510</v>
      </c>
      <c r="D1298" t="s">
        <v>510</v>
      </c>
      <c r="E1298" t="s">
        <v>250</v>
      </c>
      <c r="F1298" t="s">
        <v>1069</v>
      </c>
      <c r="G1298" t="s">
        <v>786</v>
      </c>
      <c r="H1298" t="s">
        <v>2300</v>
      </c>
      <c r="I1298" t="s">
        <v>532</v>
      </c>
      <c r="J1298" t="s">
        <v>533</v>
      </c>
      <c r="K1298" t="s">
        <v>534</v>
      </c>
      <c r="L1298">
        <v>0.87</v>
      </c>
      <c r="M1298" t="s">
        <v>6612</v>
      </c>
      <c r="N1298" t="s">
        <v>6613</v>
      </c>
      <c r="O1298" t="s">
        <v>6614</v>
      </c>
      <c r="P1298" t="s">
        <v>485</v>
      </c>
      <c r="Q1298" t="s">
        <v>4921</v>
      </c>
      <c r="R1298" t="s">
        <v>4922</v>
      </c>
      <c r="S1298" t="s">
        <v>2885</v>
      </c>
      <c r="T1298" t="s">
        <v>2886</v>
      </c>
    </row>
    <row r="1299" spans="1:20">
      <c r="A1299" s="241">
        <v>44001</v>
      </c>
      <c r="B1299" t="s">
        <v>6615</v>
      </c>
      <c r="C1299" t="s">
        <v>237</v>
      </c>
      <c r="D1299" t="s">
        <v>249</v>
      </c>
      <c r="E1299" t="s">
        <v>443</v>
      </c>
      <c r="F1299" t="s">
        <v>600</v>
      </c>
      <c r="G1299" t="s">
        <v>2053</v>
      </c>
      <c r="H1299" t="s">
        <v>211</v>
      </c>
      <c r="I1299" t="s">
        <v>1421</v>
      </c>
      <c r="J1299" t="s">
        <v>1240</v>
      </c>
      <c r="K1299" t="s">
        <v>1032</v>
      </c>
      <c r="L1299">
        <v>0.86</v>
      </c>
      <c r="M1299" t="s">
        <v>6616</v>
      </c>
      <c r="N1299" t="s">
        <v>6617</v>
      </c>
      <c r="O1299" t="s">
        <v>6618</v>
      </c>
      <c r="P1299" t="s">
        <v>485</v>
      </c>
      <c r="Q1299" t="s">
        <v>4921</v>
      </c>
      <c r="R1299" t="s">
        <v>4922</v>
      </c>
      <c r="S1299" t="s">
        <v>2885</v>
      </c>
      <c r="T1299" t="s">
        <v>2886</v>
      </c>
    </row>
    <row r="1300" spans="1:20">
      <c r="A1300" s="241">
        <v>44001</v>
      </c>
      <c r="B1300" t="s">
        <v>6619</v>
      </c>
      <c r="C1300" t="s">
        <v>224</v>
      </c>
      <c r="D1300" t="s">
        <v>274</v>
      </c>
      <c r="E1300" t="s">
        <v>332</v>
      </c>
      <c r="F1300" t="s">
        <v>618</v>
      </c>
      <c r="G1300" t="s">
        <v>804</v>
      </c>
      <c r="H1300" t="s">
        <v>1746</v>
      </c>
      <c r="I1300" t="s">
        <v>816</v>
      </c>
      <c r="J1300" t="s">
        <v>807</v>
      </c>
      <c r="K1300" t="s">
        <v>571</v>
      </c>
      <c r="L1300">
        <v>0.86</v>
      </c>
      <c r="M1300" t="s">
        <v>6620</v>
      </c>
      <c r="N1300" t="s">
        <v>6621</v>
      </c>
      <c r="O1300" t="s">
        <v>6622</v>
      </c>
      <c r="P1300" t="s">
        <v>485</v>
      </c>
      <c r="Q1300" t="s">
        <v>4921</v>
      </c>
      <c r="R1300" t="s">
        <v>4922</v>
      </c>
      <c r="S1300" t="s">
        <v>2885</v>
      </c>
      <c r="T1300" t="s">
        <v>2886</v>
      </c>
    </row>
    <row r="1301" spans="1:20">
      <c r="A1301" s="241">
        <v>44001</v>
      </c>
      <c r="B1301" t="s">
        <v>6623</v>
      </c>
      <c r="C1301" t="s">
        <v>423</v>
      </c>
      <c r="D1301" t="s">
        <v>249</v>
      </c>
      <c r="E1301" t="s">
        <v>332</v>
      </c>
      <c r="F1301" t="s">
        <v>356</v>
      </c>
      <c r="G1301" t="s">
        <v>1442</v>
      </c>
      <c r="H1301" t="s">
        <v>1726</v>
      </c>
      <c r="I1301" t="s">
        <v>569</v>
      </c>
      <c r="J1301" t="s">
        <v>255</v>
      </c>
      <c r="K1301" t="s">
        <v>244</v>
      </c>
      <c r="L1301">
        <v>0.86</v>
      </c>
      <c r="M1301" t="s">
        <v>6624</v>
      </c>
      <c r="N1301" t="s">
        <v>6625</v>
      </c>
      <c r="O1301" t="s">
        <v>6626</v>
      </c>
      <c r="P1301" t="s">
        <v>485</v>
      </c>
      <c r="Q1301" t="s">
        <v>4921</v>
      </c>
      <c r="R1301" t="s">
        <v>4922</v>
      </c>
      <c r="S1301" t="s">
        <v>2885</v>
      </c>
      <c r="T1301" t="s">
        <v>2886</v>
      </c>
    </row>
    <row r="1302" spans="1:20">
      <c r="A1302" s="241">
        <v>44001</v>
      </c>
      <c r="B1302" t="s">
        <v>6627</v>
      </c>
      <c r="C1302" t="s">
        <v>207</v>
      </c>
      <c r="D1302" t="s">
        <v>249</v>
      </c>
      <c r="E1302" t="s">
        <v>250</v>
      </c>
      <c r="F1302" t="s">
        <v>275</v>
      </c>
      <c r="G1302" t="s">
        <v>830</v>
      </c>
      <c r="H1302" t="s">
        <v>1057</v>
      </c>
      <c r="I1302" t="s">
        <v>278</v>
      </c>
      <c r="J1302" t="s">
        <v>267</v>
      </c>
      <c r="K1302" t="s">
        <v>579</v>
      </c>
      <c r="L1302">
        <v>0.86</v>
      </c>
      <c r="M1302" t="s">
        <v>6628</v>
      </c>
      <c r="N1302" t="s">
        <v>6629</v>
      </c>
      <c r="O1302" t="s">
        <v>6630</v>
      </c>
      <c r="P1302" t="s">
        <v>485</v>
      </c>
      <c r="Q1302" t="s">
        <v>4921</v>
      </c>
      <c r="R1302" t="s">
        <v>4922</v>
      </c>
      <c r="S1302" t="s">
        <v>2885</v>
      </c>
      <c r="T1302" t="s">
        <v>2886</v>
      </c>
    </row>
    <row r="1303" spans="1:20">
      <c r="A1303" s="241">
        <v>44001</v>
      </c>
      <c r="B1303" t="s">
        <v>6631</v>
      </c>
      <c r="C1303" t="s">
        <v>262</v>
      </c>
      <c r="D1303" t="s">
        <v>207</v>
      </c>
      <c r="E1303" t="s">
        <v>304</v>
      </c>
      <c r="F1303" t="s">
        <v>590</v>
      </c>
      <c r="G1303" t="s">
        <v>286</v>
      </c>
      <c r="H1303" t="s">
        <v>837</v>
      </c>
      <c r="I1303" t="s">
        <v>1062</v>
      </c>
      <c r="J1303" t="s">
        <v>1070</v>
      </c>
      <c r="K1303" t="s">
        <v>256</v>
      </c>
      <c r="L1303">
        <v>0.86</v>
      </c>
      <c r="M1303" t="s">
        <v>6632</v>
      </c>
      <c r="N1303" t="s">
        <v>6633</v>
      </c>
      <c r="O1303" t="s">
        <v>6634</v>
      </c>
      <c r="P1303" t="s">
        <v>485</v>
      </c>
      <c r="Q1303" t="s">
        <v>4921</v>
      </c>
      <c r="R1303" t="s">
        <v>4922</v>
      </c>
      <c r="S1303" t="s">
        <v>2885</v>
      </c>
      <c r="T1303" t="s">
        <v>2886</v>
      </c>
    </row>
    <row r="1304" spans="1:20">
      <c r="A1304" s="241">
        <v>44001</v>
      </c>
      <c r="B1304" t="s">
        <v>6635</v>
      </c>
      <c r="C1304" t="s">
        <v>249</v>
      </c>
      <c r="D1304" t="s">
        <v>237</v>
      </c>
      <c r="E1304" t="s">
        <v>332</v>
      </c>
      <c r="F1304" t="s">
        <v>926</v>
      </c>
      <c r="G1304" t="s">
        <v>1269</v>
      </c>
      <c r="H1304" t="s">
        <v>307</v>
      </c>
      <c r="I1304" t="s">
        <v>308</v>
      </c>
      <c r="J1304" t="s">
        <v>601</v>
      </c>
      <c r="K1304" t="s">
        <v>256</v>
      </c>
      <c r="L1304">
        <v>0.86</v>
      </c>
      <c r="M1304" t="s">
        <v>6636</v>
      </c>
      <c r="N1304" t="s">
        <v>6637</v>
      </c>
      <c r="O1304" t="s">
        <v>6638</v>
      </c>
      <c r="P1304" t="s">
        <v>485</v>
      </c>
      <c r="Q1304" t="s">
        <v>4921</v>
      </c>
      <c r="R1304" t="s">
        <v>4922</v>
      </c>
      <c r="S1304" t="s">
        <v>2885</v>
      </c>
      <c r="T1304" t="s">
        <v>2886</v>
      </c>
    </row>
    <row r="1305" spans="1:20">
      <c r="A1305" s="241">
        <v>44001</v>
      </c>
      <c r="B1305" t="s">
        <v>6639</v>
      </c>
      <c r="C1305" t="s">
        <v>206</v>
      </c>
      <c r="D1305" t="s">
        <v>274</v>
      </c>
      <c r="E1305" t="s">
        <v>238</v>
      </c>
      <c r="F1305" t="s">
        <v>706</v>
      </c>
      <c r="G1305" t="s">
        <v>345</v>
      </c>
      <c r="H1305" t="s">
        <v>1274</v>
      </c>
      <c r="I1305" t="s">
        <v>317</v>
      </c>
      <c r="J1305" t="s">
        <v>318</v>
      </c>
      <c r="K1305" t="s">
        <v>280</v>
      </c>
      <c r="L1305">
        <v>0.86</v>
      </c>
      <c r="M1305" t="s">
        <v>6640</v>
      </c>
      <c r="N1305" t="s">
        <v>6641</v>
      </c>
      <c r="O1305" t="s">
        <v>6642</v>
      </c>
      <c r="P1305" t="s">
        <v>485</v>
      </c>
      <c r="Q1305" t="s">
        <v>4921</v>
      </c>
      <c r="R1305" t="s">
        <v>4922</v>
      </c>
      <c r="S1305" t="s">
        <v>2885</v>
      </c>
      <c r="T1305" t="s">
        <v>2886</v>
      </c>
    </row>
    <row r="1306" spans="1:20">
      <c r="A1306" s="241">
        <v>44001</v>
      </c>
      <c r="B1306" t="s">
        <v>6643</v>
      </c>
      <c r="C1306" t="s">
        <v>475</v>
      </c>
      <c r="D1306" t="s">
        <v>442</v>
      </c>
      <c r="E1306" t="s">
        <v>424</v>
      </c>
      <c r="F1306" t="s">
        <v>1103</v>
      </c>
      <c r="G1306" t="s">
        <v>324</v>
      </c>
      <c r="H1306" t="s">
        <v>600</v>
      </c>
      <c r="I1306" t="s">
        <v>325</v>
      </c>
      <c r="J1306" t="s">
        <v>326</v>
      </c>
      <c r="K1306" t="s">
        <v>327</v>
      </c>
      <c r="L1306">
        <v>0.86</v>
      </c>
      <c r="M1306" t="s">
        <v>6644</v>
      </c>
      <c r="N1306" t="s">
        <v>6645</v>
      </c>
      <c r="O1306" t="s">
        <v>6646</v>
      </c>
      <c r="P1306" t="s">
        <v>485</v>
      </c>
      <c r="Q1306" t="s">
        <v>4921</v>
      </c>
      <c r="R1306" t="s">
        <v>4922</v>
      </c>
      <c r="S1306" t="s">
        <v>2885</v>
      </c>
      <c r="T1306" t="s">
        <v>2886</v>
      </c>
    </row>
    <row r="1307" spans="1:20">
      <c r="A1307" s="241">
        <v>44001</v>
      </c>
      <c r="B1307" t="s">
        <v>6647</v>
      </c>
      <c r="C1307" t="s">
        <v>224</v>
      </c>
      <c r="D1307" t="s">
        <v>274</v>
      </c>
      <c r="E1307" t="s">
        <v>443</v>
      </c>
      <c r="F1307" t="s">
        <v>435</v>
      </c>
      <c r="G1307" t="s">
        <v>1110</v>
      </c>
      <c r="H1307" t="s">
        <v>335</v>
      </c>
      <c r="I1307" t="s">
        <v>336</v>
      </c>
      <c r="J1307" t="s">
        <v>2372</v>
      </c>
      <c r="K1307" t="s">
        <v>359</v>
      </c>
      <c r="L1307">
        <v>0.86</v>
      </c>
      <c r="M1307" t="s">
        <v>6648</v>
      </c>
      <c r="N1307" t="s">
        <v>6649</v>
      </c>
      <c r="O1307" t="s">
        <v>6650</v>
      </c>
      <c r="P1307" t="s">
        <v>485</v>
      </c>
      <c r="Q1307" t="s">
        <v>4921</v>
      </c>
      <c r="R1307" t="s">
        <v>4922</v>
      </c>
      <c r="S1307" t="s">
        <v>2885</v>
      </c>
      <c r="T1307" t="s">
        <v>2886</v>
      </c>
    </row>
    <row r="1308" spans="1:20">
      <c r="A1308" s="241">
        <v>44001</v>
      </c>
      <c r="B1308" t="s">
        <v>6651</v>
      </c>
      <c r="C1308" t="s">
        <v>206</v>
      </c>
      <c r="D1308" t="s">
        <v>274</v>
      </c>
      <c r="E1308" t="s">
        <v>238</v>
      </c>
      <c r="F1308" t="s">
        <v>383</v>
      </c>
      <c r="G1308" t="s">
        <v>648</v>
      </c>
      <c r="H1308" t="s">
        <v>1255</v>
      </c>
      <c r="I1308" t="s">
        <v>1859</v>
      </c>
      <c r="J1308" t="s">
        <v>1116</v>
      </c>
      <c r="K1308" t="s">
        <v>666</v>
      </c>
      <c r="L1308">
        <v>0.86</v>
      </c>
      <c r="M1308" t="s">
        <v>6652</v>
      </c>
      <c r="N1308" t="s">
        <v>6653</v>
      </c>
      <c r="O1308" t="s">
        <v>6654</v>
      </c>
      <c r="P1308" t="s">
        <v>485</v>
      </c>
      <c r="Q1308" t="s">
        <v>4921</v>
      </c>
      <c r="R1308" t="s">
        <v>4922</v>
      </c>
      <c r="S1308" t="s">
        <v>2885</v>
      </c>
      <c r="T1308" t="s">
        <v>2886</v>
      </c>
    </row>
    <row r="1309" spans="1:20">
      <c r="A1309" s="241">
        <v>44001</v>
      </c>
      <c r="B1309" t="s">
        <v>6655</v>
      </c>
      <c r="C1309" t="s">
        <v>237</v>
      </c>
      <c r="D1309" t="s">
        <v>274</v>
      </c>
      <c r="E1309" t="s">
        <v>250</v>
      </c>
      <c r="F1309" t="s">
        <v>393</v>
      </c>
      <c r="G1309" t="s">
        <v>2177</v>
      </c>
      <c r="H1309" t="s">
        <v>576</v>
      </c>
      <c r="I1309" t="s">
        <v>1547</v>
      </c>
      <c r="J1309" t="s">
        <v>377</v>
      </c>
      <c r="K1309" t="s">
        <v>666</v>
      </c>
      <c r="L1309">
        <v>0.86</v>
      </c>
      <c r="M1309" t="s">
        <v>6656</v>
      </c>
      <c r="N1309" t="s">
        <v>6657</v>
      </c>
      <c r="O1309" t="s">
        <v>6658</v>
      </c>
      <c r="P1309" t="s">
        <v>485</v>
      </c>
      <c r="Q1309" t="s">
        <v>4921</v>
      </c>
      <c r="R1309" t="s">
        <v>4922</v>
      </c>
      <c r="S1309" t="s">
        <v>2885</v>
      </c>
      <c r="T1309" t="s">
        <v>2886</v>
      </c>
    </row>
    <row r="1310" spans="1:20">
      <c r="A1310" s="241">
        <v>44001</v>
      </c>
      <c r="B1310" t="s">
        <v>6659</v>
      </c>
      <c r="C1310" t="s">
        <v>206</v>
      </c>
      <c r="D1310" t="s">
        <v>625</v>
      </c>
      <c r="E1310" t="s">
        <v>304</v>
      </c>
      <c r="F1310" t="s">
        <v>1127</v>
      </c>
      <c r="G1310" t="s">
        <v>1562</v>
      </c>
      <c r="H1310" t="s">
        <v>1467</v>
      </c>
      <c r="I1310" t="s">
        <v>674</v>
      </c>
      <c r="J1310" t="s">
        <v>1128</v>
      </c>
      <c r="K1310" t="s">
        <v>666</v>
      </c>
      <c r="L1310">
        <v>0.86</v>
      </c>
      <c r="M1310" t="s">
        <v>6660</v>
      </c>
      <c r="N1310" t="s">
        <v>6661</v>
      </c>
      <c r="O1310" t="s">
        <v>6662</v>
      </c>
      <c r="P1310" t="s">
        <v>485</v>
      </c>
      <c r="Q1310" t="s">
        <v>4921</v>
      </c>
      <c r="R1310" t="s">
        <v>4922</v>
      </c>
      <c r="S1310" t="s">
        <v>2885</v>
      </c>
      <c r="T1310" t="s">
        <v>2886</v>
      </c>
    </row>
    <row r="1311" spans="1:20">
      <c r="A1311" s="241">
        <v>44001</v>
      </c>
      <c r="B1311" t="s">
        <v>6663</v>
      </c>
      <c r="C1311" t="s">
        <v>261</v>
      </c>
      <c r="D1311" t="s">
        <v>442</v>
      </c>
      <c r="E1311" t="s">
        <v>556</v>
      </c>
      <c r="F1311" t="s">
        <v>433</v>
      </c>
      <c r="G1311" t="s">
        <v>1562</v>
      </c>
      <c r="H1311" t="s">
        <v>598</v>
      </c>
      <c r="I1311" t="s">
        <v>386</v>
      </c>
      <c r="J1311" t="s">
        <v>1298</v>
      </c>
      <c r="K1311" t="s">
        <v>418</v>
      </c>
      <c r="L1311">
        <v>0.86</v>
      </c>
      <c r="M1311" t="s">
        <v>6664</v>
      </c>
      <c r="N1311" t="s">
        <v>6665</v>
      </c>
      <c r="O1311" t="s">
        <v>6666</v>
      </c>
      <c r="P1311" t="s">
        <v>485</v>
      </c>
      <c r="Q1311" t="s">
        <v>4921</v>
      </c>
      <c r="R1311" t="s">
        <v>4922</v>
      </c>
      <c r="S1311" t="s">
        <v>2885</v>
      </c>
      <c r="T1311" t="s">
        <v>2886</v>
      </c>
    </row>
    <row r="1312" spans="1:20">
      <c r="A1312" s="241">
        <v>44001</v>
      </c>
      <c r="B1312" t="s">
        <v>6667</v>
      </c>
      <c r="C1312" t="s">
        <v>249</v>
      </c>
      <c r="D1312" t="s">
        <v>261</v>
      </c>
      <c r="E1312" t="s">
        <v>680</v>
      </c>
      <c r="F1312" t="s">
        <v>2574</v>
      </c>
      <c r="G1312" t="s">
        <v>918</v>
      </c>
      <c r="H1312" t="s">
        <v>1291</v>
      </c>
      <c r="I1312" t="s">
        <v>396</v>
      </c>
      <c r="J1312" t="s">
        <v>691</v>
      </c>
      <c r="K1312" t="s">
        <v>349</v>
      </c>
      <c r="L1312">
        <v>0.86</v>
      </c>
      <c r="M1312" t="s">
        <v>6668</v>
      </c>
      <c r="N1312" t="s">
        <v>6669</v>
      </c>
      <c r="O1312" t="s">
        <v>6670</v>
      </c>
      <c r="P1312" t="s">
        <v>485</v>
      </c>
      <c r="Q1312" t="s">
        <v>4921</v>
      </c>
      <c r="R1312" t="s">
        <v>4922</v>
      </c>
      <c r="S1312" t="s">
        <v>2885</v>
      </c>
      <c r="T1312" t="s">
        <v>2886</v>
      </c>
    </row>
    <row r="1313" spans="1:20">
      <c r="A1313" s="241">
        <v>44001</v>
      </c>
      <c r="B1313" t="s">
        <v>6671</v>
      </c>
      <c r="C1313" t="s">
        <v>614</v>
      </c>
      <c r="D1313" t="s">
        <v>261</v>
      </c>
      <c r="E1313" t="s">
        <v>382</v>
      </c>
      <c r="F1313" t="s">
        <v>393</v>
      </c>
      <c r="G1313" t="s">
        <v>1133</v>
      </c>
      <c r="H1313" t="s">
        <v>855</v>
      </c>
      <c r="I1313" t="s">
        <v>690</v>
      </c>
      <c r="J1313" t="s">
        <v>1141</v>
      </c>
      <c r="K1313" t="s">
        <v>418</v>
      </c>
      <c r="L1313">
        <v>0.86</v>
      </c>
      <c r="M1313" t="s">
        <v>6672</v>
      </c>
      <c r="N1313" t="s">
        <v>6673</v>
      </c>
      <c r="O1313" t="s">
        <v>6674</v>
      </c>
      <c r="P1313" t="s">
        <v>485</v>
      </c>
      <c r="Q1313" t="s">
        <v>4921</v>
      </c>
      <c r="R1313" t="s">
        <v>4922</v>
      </c>
      <c r="S1313" t="s">
        <v>2885</v>
      </c>
      <c r="T1313" t="s">
        <v>2886</v>
      </c>
    </row>
    <row r="1314" spans="1:20">
      <c r="A1314" s="241">
        <v>44001</v>
      </c>
      <c r="B1314" t="s">
        <v>6675</v>
      </c>
      <c r="C1314" t="s">
        <v>261</v>
      </c>
      <c r="D1314" t="s">
        <v>423</v>
      </c>
      <c r="E1314" t="s">
        <v>225</v>
      </c>
      <c r="F1314" t="s">
        <v>689</v>
      </c>
      <c r="G1314" t="s">
        <v>1936</v>
      </c>
      <c r="H1314" t="s">
        <v>1591</v>
      </c>
      <c r="I1314" t="s">
        <v>1923</v>
      </c>
      <c r="J1314" t="s">
        <v>1309</v>
      </c>
      <c r="K1314" t="s">
        <v>418</v>
      </c>
      <c r="L1314">
        <v>0.86</v>
      </c>
      <c r="M1314" t="s">
        <v>6676</v>
      </c>
      <c r="N1314" t="s">
        <v>6677</v>
      </c>
      <c r="O1314" t="s">
        <v>6678</v>
      </c>
      <c r="P1314" t="s">
        <v>485</v>
      </c>
      <c r="Q1314" t="s">
        <v>4921</v>
      </c>
      <c r="R1314" t="s">
        <v>4922</v>
      </c>
      <c r="S1314" t="s">
        <v>2885</v>
      </c>
      <c r="T1314" t="s">
        <v>2886</v>
      </c>
    </row>
    <row r="1315" spans="1:20">
      <c r="A1315" s="241">
        <v>44001</v>
      </c>
      <c r="B1315" t="s">
        <v>6679</v>
      </c>
      <c r="C1315" t="s">
        <v>249</v>
      </c>
      <c r="D1315" t="s">
        <v>261</v>
      </c>
      <c r="E1315" t="s">
        <v>238</v>
      </c>
      <c r="F1315" t="s">
        <v>1156</v>
      </c>
      <c r="G1315" t="s">
        <v>1146</v>
      </c>
      <c r="H1315" t="s">
        <v>426</v>
      </c>
      <c r="I1315" t="s">
        <v>1158</v>
      </c>
      <c r="J1315" t="s">
        <v>954</v>
      </c>
      <c r="K1315" t="s">
        <v>408</v>
      </c>
      <c r="L1315">
        <v>0.86</v>
      </c>
      <c r="M1315" t="s">
        <v>6680</v>
      </c>
      <c r="N1315" t="s">
        <v>6681</v>
      </c>
      <c r="O1315" t="s">
        <v>6682</v>
      </c>
      <c r="P1315" t="s">
        <v>485</v>
      </c>
      <c r="Q1315" t="s">
        <v>4921</v>
      </c>
      <c r="R1315" t="s">
        <v>4922</v>
      </c>
      <c r="S1315" t="s">
        <v>2885</v>
      </c>
      <c r="T1315" t="s">
        <v>2886</v>
      </c>
    </row>
    <row r="1316" spans="1:20">
      <c r="A1316" s="241">
        <v>44001</v>
      </c>
      <c r="B1316" t="s">
        <v>6683</v>
      </c>
      <c r="C1316" t="s">
        <v>249</v>
      </c>
      <c r="D1316" t="s">
        <v>249</v>
      </c>
      <c r="E1316" t="s">
        <v>812</v>
      </c>
      <c r="F1316" t="s">
        <v>727</v>
      </c>
      <c r="G1316" t="s">
        <v>1297</v>
      </c>
      <c r="H1316" t="s">
        <v>426</v>
      </c>
      <c r="I1316" t="s">
        <v>939</v>
      </c>
      <c r="J1316" t="s">
        <v>437</v>
      </c>
      <c r="K1316" t="s">
        <v>418</v>
      </c>
      <c r="L1316">
        <v>0.86</v>
      </c>
      <c r="M1316" t="s">
        <v>6684</v>
      </c>
      <c r="N1316" t="s">
        <v>6685</v>
      </c>
      <c r="O1316" t="s">
        <v>6686</v>
      </c>
      <c r="P1316" t="s">
        <v>485</v>
      </c>
      <c r="Q1316" t="s">
        <v>4921</v>
      </c>
      <c r="R1316" t="s">
        <v>4922</v>
      </c>
      <c r="S1316" t="s">
        <v>2885</v>
      </c>
      <c r="T1316" t="s">
        <v>2886</v>
      </c>
    </row>
    <row r="1317" spans="1:20">
      <c r="A1317" s="241">
        <v>44001</v>
      </c>
      <c r="B1317" t="s">
        <v>6687</v>
      </c>
      <c r="C1317" t="s">
        <v>274</v>
      </c>
      <c r="D1317" t="s">
        <v>294</v>
      </c>
      <c r="E1317" t="s">
        <v>225</v>
      </c>
      <c r="F1317" t="s">
        <v>3438</v>
      </c>
      <c r="G1317" t="s">
        <v>1146</v>
      </c>
      <c r="H1317" t="s">
        <v>333</v>
      </c>
      <c r="I1317" t="s">
        <v>455</v>
      </c>
      <c r="J1317" t="s">
        <v>456</v>
      </c>
      <c r="K1317" t="s">
        <v>457</v>
      </c>
      <c r="L1317">
        <v>0.86</v>
      </c>
      <c r="M1317" t="s">
        <v>6688</v>
      </c>
      <c r="N1317" t="s">
        <v>6689</v>
      </c>
      <c r="O1317" t="s">
        <v>6690</v>
      </c>
      <c r="P1317" t="s">
        <v>485</v>
      </c>
      <c r="Q1317" t="s">
        <v>4921</v>
      </c>
      <c r="R1317" t="s">
        <v>4922</v>
      </c>
      <c r="S1317" t="s">
        <v>2885</v>
      </c>
      <c r="T1317" t="s">
        <v>2886</v>
      </c>
    </row>
    <row r="1318" spans="1:20">
      <c r="A1318" s="241">
        <v>44001</v>
      </c>
      <c r="B1318" t="s">
        <v>6691</v>
      </c>
      <c r="C1318" t="s">
        <v>294</v>
      </c>
      <c r="D1318" t="s">
        <v>615</v>
      </c>
      <c r="E1318" t="s">
        <v>332</v>
      </c>
      <c r="F1318" t="s">
        <v>3482</v>
      </c>
      <c r="G1318" t="s">
        <v>719</v>
      </c>
      <c r="H1318" t="s">
        <v>539</v>
      </c>
      <c r="I1318" t="s">
        <v>1579</v>
      </c>
      <c r="J1318" t="s">
        <v>397</v>
      </c>
      <c r="K1318" t="s">
        <v>349</v>
      </c>
      <c r="L1318">
        <v>0.86</v>
      </c>
      <c r="M1318" t="s">
        <v>6692</v>
      </c>
      <c r="N1318" t="s">
        <v>6693</v>
      </c>
      <c r="O1318" t="s">
        <v>6694</v>
      </c>
      <c r="P1318" t="s">
        <v>485</v>
      </c>
      <c r="Q1318" t="s">
        <v>4921</v>
      </c>
      <c r="R1318" t="s">
        <v>4922</v>
      </c>
      <c r="S1318" t="s">
        <v>2885</v>
      </c>
      <c r="T1318" t="s">
        <v>2886</v>
      </c>
    </row>
    <row r="1319" spans="1:20">
      <c r="A1319" s="241">
        <v>44001</v>
      </c>
      <c r="B1319" t="s">
        <v>6695</v>
      </c>
      <c r="C1319" t="s">
        <v>462</v>
      </c>
      <c r="D1319" t="s">
        <v>499</v>
      </c>
      <c r="E1319" t="s">
        <v>262</v>
      </c>
      <c r="F1319" t="s">
        <v>3820</v>
      </c>
      <c r="G1319" t="s">
        <v>6696</v>
      </c>
      <c r="H1319" t="s">
        <v>1205</v>
      </c>
      <c r="I1319" t="s">
        <v>6697</v>
      </c>
      <c r="J1319" t="s">
        <v>6698</v>
      </c>
      <c r="K1319" t="s">
        <v>2435</v>
      </c>
      <c r="L1319">
        <v>0.89</v>
      </c>
      <c r="M1319" t="s">
        <v>6699</v>
      </c>
      <c r="N1319" t="s">
        <v>6700</v>
      </c>
      <c r="O1319" t="s">
        <v>6701</v>
      </c>
      <c r="P1319" t="s">
        <v>485</v>
      </c>
      <c r="Q1319" t="s">
        <v>4921</v>
      </c>
      <c r="R1319" t="s">
        <v>4922</v>
      </c>
      <c r="S1319" t="s">
        <v>2885</v>
      </c>
      <c r="T1319" t="s">
        <v>2886</v>
      </c>
    </row>
    <row r="1320" spans="1:20">
      <c r="A1320" s="241">
        <v>44001</v>
      </c>
      <c r="B1320" t="s">
        <v>6702</v>
      </c>
      <c r="C1320" t="s">
        <v>1195</v>
      </c>
      <c r="D1320" t="s">
        <v>499</v>
      </c>
      <c r="E1320" t="s">
        <v>1196</v>
      </c>
      <c r="F1320" t="s">
        <v>739</v>
      </c>
      <c r="G1320" t="s">
        <v>1977</v>
      </c>
      <c r="H1320" t="s">
        <v>982</v>
      </c>
      <c r="I1320" t="s">
        <v>1979</v>
      </c>
      <c r="J1320" t="s">
        <v>6703</v>
      </c>
      <c r="K1320" t="s">
        <v>2443</v>
      </c>
      <c r="L1320">
        <v>0.89</v>
      </c>
      <c r="M1320" t="s">
        <v>6704</v>
      </c>
      <c r="N1320" t="s">
        <v>6705</v>
      </c>
      <c r="O1320" t="s">
        <v>6706</v>
      </c>
      <c r="P1320" t="s">
        <v>485</v>
      </c>
      <c r="Q1320" t="s">
        <v>4921</v>
      </c>
      <c r="R1320" t="s">
        <v>4922</v>
      </c>
      <c r="S1320" t="s">
        <v>2885</v>
      </c>
      <c r="T1320" t="s">
        <v>2886</v>
      </c>
    </row>
    <row r="1321" spans="1:20">
      <c r="A1321" s="241">
        <v>44001</v>
      </c>
      <c r="B1321" t="s">
        <v>6707</v>
      </c>
      <c r="C1321" t="s">
        <v>462</v>
      </c>
      <c r="D1321" t="s">
        <v>499</v>
      </c>
      <c r="E1321" t="s">
        <v>475</v>
      </c>
      <c r="F1321" t="s">
        <v>6104</v>
      </c>
      <c r="G1321" t="s">
        <v>6708</v>
      </c>
      <c r="H1321" t="s">
        <v>491</v>
      </c>
      <c r="I1321" t="s">
        <v>992</v>
      </c>
      <c r="J1321" t="s">
        <v>5279</v>
      </c>
      <c r="K1321" t="s">
        <v>1989</v>
      </c>
      <c r="L1321">
        <v>0.89</v>
      </c>
      <c r="M1321" t="s">
        <v>6709</v>
      </c>
      <c r="N1321" t="s">
        <v>6710</v>
      </c>
      <c r="O1321" t="s">
        <v>6711</v>
      </c>
      <c r="P1321" t="s">
        <v>485</v>
      </c>
      <c r="Q1321" t="s">
        <v>4921</v>
      </c>
      <c r="R1321" t="s">
        <v>4922</v>
      </c>
      <c r="S1321" t="s">
        <v>2885</v>
      </c>
      <c r="T1321" t="s">
        <v>2886</v>
      </c>
    </row>
    <row r="1322" spans="1:20">
      <c r="A1322" s="241">
        <v>44001</v>
      </c>
      <c r="B1322" t="s">
        <v>6712</v>
      </c>
      <c r="C1322" t="s">
        <v>224</v>
      </c>
      <c r="D1322" t="s">
        <v>510</v>
      </c>
      <c r="E1322" t="s">
        <v>304</v>
      </c>
      <c r="F1322" t="s">
        <v>1257</v>
      </c>
      <c r="G1322" t="s">
        <v>6713</v>
      </c>
      <c r="H1322" t="s">
        <v>6714</v>
      </c>
      <c r="I1322" t="s">
        <v>1680</v>
      </c>
      <c r="J1322" t="s">
        <v>6715</v>
      </c>
      <c r="K1322" t="s">
        <v>515</v>
      </c>
      <c r="L1322">
        <v>0.87</v>
      </c>
      <c r="M1322" t="s">
        <v>6716</v>
      </c>
      <c r="N1322" t="s">
        <v>6717</v>
      </c>
      <c r="O1322" t="s">
        <v>6718</v>
      </c>
      <c r="P1322" t="s">
        <v>485</v>
      </c>
      <c r="Q1322" t="s">
        <v>4921</v>
      </c>
      <c r="R1322" t="s">
        <v>4922</v>
      </c>
      <c r="S1322" t="s">
        <v>2885</v>
      </c>
      <c r="T1322" t="s">
        <v>2886</v>
      </c>
    </row>
    <row r="1323" spans="1:20">
      <c r="A1323" s="241">
        <v>44001</v>
      </c>
      <c r="B1323" t="s">
        <v>6719</v>
      </c>
      <c r="C1323" t="s">
        <v>236</v>
      </c>
      <c r="D1323" t="s">
        <v>274</v>
      </c>
      <c r="E1323" t="s">
        <v>443</v>
      </c>
      <c r="F1323" t="s">
        <v>1069</v>
      </c>
      <c r="G1323" t="s">
        <v>6720</v>
      </c>
      <c r="H1323" t="s">
        <v>2005</v>
      </c>
      <c r="I1323" t="s">
        <v>1019</v>
      </c>
      <c r="J1323" t="s">
        <v>1020</v>
      </c>
      <c r="K1323" t="s">
        <v>524</v>
      </c>
      <c r="L1323">
        <v>0.87</v>
      </c>
      <c r="M1323" t="s">
        <v>6721</v>
      </c>
      <c r="N1323" t="s">
        <v>6722</v>
      </c>
      <c r="O1323" t="s">
        <v>6723</v>
      </c>
      <c r="P1323" t="s">
        <v>485</v>
      </c>
      <c r="Q1323" t="s">
        <v>4921</v>
      </c>
      <c r="R1323" t="s">
        <v>4922</v>
      </c>
      <c r="S1323" t="s">
        <v>2885</v>
      </c>
      <c r="T1323" t="s">
        <v>2886</v>
      </c>
    </row>
    <row r="1324" spans="1:20">
      <c r="A1324" s="241">
        <v>44001</v>
      </c>
      <c r="B1324" t="s">
        <v>6724</v>
      </c>
      <c r="C1324" t="s">
        <v>249</v>
      </c>
      <c r="D1324" t="s">
        <v>261</v>
      </c>
      <c r="E1324" t="s">
        <v>238</v>
      </c>
      <c r="F1324" t="s">
        <v>346</v>
      </c>
      <c r="G1324" t="s">
        <v>530</v>
      </c>
      <c r="H1324" t="s">
        <v>4383</v>
      </c>
      <c r="I1324" t="s">
        <v>532</v>
      </c>
      <c r="J1324" t="s">
        <v>1026</v>
      </c>
      <c r="K1324" t="s">
        <v>515</v>
      </c>
      <c r="L1324">
        <v>0.86</v>
      </c>
      <c r="M1324" t="s">
        <v>6725</v>
      </c>
      <c r="N1324" t="s">
        <v>6726</v>
      </c>
      <c r="O1324" t="s">
        <v>6727</v>
      </c>
      <c r="P1324" t="s">
        <v>485</v>
      </c>
      <c r="Q1324" t="s">
        <v>4921</v>
      </c>
      <c r="R1324" t="s">
        <v>4922</v>
      </c>
      <c r="S1324" t="s">
        <v>2885</v>
      </c>
      <c r="T1324" t="s">
        <v>2886</v>
      </c>
    </row>
    <row r="1325" spans="1:20">
      <c r="A1325" s="241">
        <v>44001</v>
      </c>
      <c r="B1325" t="s">
        <v>6728</v>
      </c>
      <c r="C1325" t="s">
        <v>249</v>
      </c>
      <c r="D1325" t="s">
        <v>274</v>
      </c>
      <c r="E1325" t="s">
        <v>556</v>
      </c>
      <c r="F1325" t="s">
        <v>862</v>
      </c>
      <c r="G1325" t="s">
        <v>2053</v>
      </c>
      <c r="H1325" t="s">
        <v>1404</v>
      </c>
      <c r="I1325" t="s">
        <v>542</v>
      </c>
      <c r="J1325" t="s">
        <v>543</v>
      </c>
      <c r="K1325" t="s">
        <v>214</v>
      </c>
      <c r="L1325">
        <v>0.87</v>
      </c>
      <c r="M1325" t="s">
        <v>6729</v>
      </c>
      <c r="N1325" t="s">
        <v>6730</v>
      </c>
      <c r="O1325" t="s">
        <v>6731</v>
      </c>
      <c r="P1325" t="s">
        <v>485</v>
      </c>
      <c r="Q1325" t="s">
        <v>4921</v>
      </c>
      <c r="R1325" t="s">
        <v>4922</v>
      </c>
      <c r="S1325" t="s">
        <v>2885</v>
      </c>
      <c r="T1325" t="s">
        <v>2886</v>
      </c>
    </row>
    <row r="1326" spans="1:20">
      <c r="A1326" s="241">
        <v>44001</v>
      </c>
      <c r="B1326" t="s">
        <v>6732</v>
      </c>
      <c r="C1326" t="s">
        <v>224</v>
      </c>
      <c r="D1326" t="s">
        <v>274</v>
      </c>
      <c r="E1326" t="s">
        <v>238</v>
      </c>
      <c r="F1326" t="s">
        <v>316</v>
      </c>
      <c r="G1326" t="s">
        <v>2080</v>
      </c>
      <c r="H1326" t="s">
        <v>1051</v>
      </c>
      <c r="I1326" t="s">
        <v>1031</v>
      </c>
      <c r="J1326" t="s">
        <v>213</v>
      </c>
      <c r="K1326" t="s">
        <v>1032</v>
      </c>
      <c r="L1326">
        <v>0.86</v>
      </c>
      <c r="M1326" t="s">
        <v>6733</v>
      </c>
      <c r="N1326" t="s">
        <v>6734</v>
      </c>
      <c r="O1326" t="s">
        <v>6735</v>
      </c>
      <c r="P1326" t="s">
        <v>485</v>
      </c>
      <c r="Q1326" t="s">
        <v>4921</v>
      </c>
      <c r="R1326" t="s">
        <v>4922</v>
      </c>
      <c r="S1326" t="s">
        <v>2885</v>
      </c>
      <c r="T1326" t="s">
        <v>2886</v>
      </c>
    </row>
    <row r="1327" spans="1:20">
      <c r="A1327" s="241">
        <v>44001</v>
      </c>
      <c r="B1327" t="s">
        <v>6736</v>
      </c>
      <c r="C1327" t="s">
        <v>249</v>
      </c>
      <c r="D1327" t="s">
        <v>237</v>
      </c>
      <c r="E1327" t="s">
        <v>332</v>
      </c>
      <c r="F1327" t="s">
        <v>584</v>
      </c>
      <c r="G1327" t="s">
        <v>2075</v>
      </c>
      <c r="H1327" t="s">
        <v>776</v>
      </c>
      <c r="I1327" t="s">
        <v>1747</v>
      </c>
      <c r="J1327" t="s">
        <v>807</v>
      </c>
      <c r="K1327" t="s">
        <v>579</v>
      </c>
      <c r="L1327">
        <v>0.87</v>
      </c>
      <c r="M1327" t="s">
        <v>6737</v>
      </c>
      <c r="N1327" t="s">
        <v>6738</v>
      </c>
      <c r="O1327" t="s">
        <v>6739</v>
      </c>
      <c r="P1327" t="s">
        <v>485</v>
      </c>
      <c r="Q1327" t="s">
        <v>4921</v>
      </c>
      <c r="R1327" t="s">
        <v>4922</v>
      </c>
      <c r="S1327" t="s">
        <v>2885</v>
      </c>
      <c r="T1327" t="s">
        <v>2886</v>
      </c>
    </row>
    <row r="1328" spans="1:20">
      <c r="A1328" s="241">
        <v>44001</v>
      </c>
      <c r="B1328" t="s">
        <v>6740</v>
      </c>
      <c r="C1328" t="s">
        <v>510</v>
      </c>
      <c r="D1328" t="s">
        <v>207</v>
      </c>
      <c r="E1328" t="s">
        <v>632</v>
      </c>
      <c r="F1328" t="s">
        <v>1511</v>
      </c>
      <c r="G1328" t="s">
        <v>1832</v>
      </c>
      <c r="H1328" t="s">
        <v>813</v>
      </c>
      <c r="I1328" t="s">
        <v>1842</v>
      </c>
      <c r="J1328" t="s">
        <v>634</v>
      </c>
      <c r="K1328" t="s">
        <v>651</v>
      </c>
      <c r="L1328">
        <v>0.86</v>
      </c>
      <c r="M1328" t="s">
        <v>6741</v>
      </c>
      <c r="N1328" t="s">
        <v>6742</v>
      </c>
      <c r="O1328" t="s">
        <v>6743</v>
      </c>
      <c r="P1328" t="s">
        <v>485</v>
      </c>
      <c r="Q1328" t="s">
        <v>4921</v>
      </c>
      <c r="R1328" t="s">
        <v>4922</v>
      </c>
      <c r="S1328" t="s">
        <v>2885</v>
      </c>
      <c r="T1328" t="s">
        <v>2886</v>
      </c>
    </row>
    <row r="1329" spans="1:20">
      <c r="A1329" s="241">
        <v>44001</v>
      </c>
      <c r="B1329" t="s">
        <v>6744</v>
      </c>
      <c r="C1329" t="s">
        <v>442</v>
      </c>
      <c r="D1329" t="s">
        <v>274</v>
      </c>
      <c r="E1329" t="s">
        <v>556</v>
      </c>
      <c r="F1329" t="s">
        <v>639</v>
      </c>
      <c r="G1329" t="s">
        <v>324</v>
      </c>
      <c r="H1329" t="s">
        <v>608</v>
      </c>
      <c r="I1329" t="s">
        <v>1842</v>
      </c>
      <c r="J1329" t="s">
        <v>634</v>
      </c>
      <c r="K1329" t="s">
        <v>651</v>
      </c>
      <c r="L1329">
        <v>0.86</v>
      </c>
      <c r="M1329" t="s">
        <v>6745</v>
      </c>
      <c r="N1329" t="s">
        <v>6746</v>
      </c>
      <c r="O1329" t="s">
        <v>6747</v>
      </c>
      <c r="P1329" t="s">
        <v>485</v>
      </c>
      <c r="Q1329" t="s">
        <v>4921</v>
      </c>
      <c r="R1329" t="s">
        <v>4922</v>
      </c>
      <c r="S1329" t="s">
        <v>2885</v>
      </c>
      <c r="T1329" t="s">
        <v>2886</v>
      </c>
    </row>
    <row r="1330" spans="1:20">
      <c r="A1330" s="241">
        <v>44001</v>
      </c>
      <c r="B1330" t="s">
        <v>6748</v>
      </c>
      <c r="C1330" t="s">
        <v>274</v>
      </c>
      <c r="D1330" t="s">
        <v>294</v>
      </c>
      <c r="E1330" t="s">
        <v>250</v>
      </c>
      <c r="F1330" t="s">
        <v>1493</v>
      </c>
      <c r="G1330" t="s">
        <v>1500</v>
      </c>
      <c r="H1330" t="s">
        <v>862</v>
      </c>
      <c r="I1330" t="s">
        <v>1842</v>
      </c>
      <c r="J1330" t="s">
        <v>634</v>
      </c>
      <c r="K1330" t="s">
        <v>338</v>
      </c>
      <c r="L1330">
        <v>0.86</v>
      </c>
      <c r="M1330" t="s">
        <v>6749</v>
      </c>
      <c r="N1330" t="s">
        <v>6750</v>
      </c>
      <c r="O1330" t="s">
        <v>6751</v>
      </c>
      <c r="P1330" t="s">
        <v>485</v>
      </c>
      <c r="Q1330" t="s">
        <v>4921</v>
      </c>
      <c r="R1330" t="s">
        <v>4922</v>
      </c>
      <c r="S1330" t="s">
        <v>2885</v>
      </c>
      <c r="T1330" t="s">
        <v>2886</v>
      </c>
    </row>
    <row r="1331" spans="1:20">
      <c r="A1331" s="241">
        <v>44001</v>
      </c>
      <c r="B1331" t="s">
        <v>6752</v>
      </c>
      <c r="C1331" t="s">
        <v>274</v>
      </c>
      <c r="D1331" t="s">
        <v>614</v>
      </c>
      <c r="E1331" t="s">
        <v>556</v>
      </c>
      <c r="F1331" t="s">
        <v>1541</v>
      </c>
      <c r="G1331" t="s">
        <v>1477</v>
      </c>
      <c r="H1331" t="s">
        <v>881</v>
      </c>
      <c r="I1331" t="s">
        <v>357</v>
      </c>
      <c r="J1331" t="s">
        <v>650</v>
      </c>
      <c r="K1331" t="s">
        <v>651</v>
      </c>
      <c r="L1331">
        <v>0.86</v>
      </c>
      <c r="M1331" t="s">
        <v>6753</v>
      </c>
      <c r="N1331" t="s">
        <v>6754</v>
      </c>
      <c r="O1331" t="s">
        <v>6755</v>
      </c>
      <c r="P1331" t="s">
        <v>485</v>
      </c>
      <c r="Q1331" t="s">
        <v>4921</v>
      </c>
      <c r="R1331" t="s">
        <v>4922</v>
      </c>
      <c r="S1331" t="s">
        <v>2885</v>
      </c>
      <c r="T1331" t="s">
        <v>2886</v>
      </c>
    </row>
    <row r="1332" spans="1:20">
      <c r="A1332" s="241">
        <v>44001</v>
      </c>
      <c r="B1332" t="s">
        <v>6756</v>
      </c>
      <c r="C1332" t="s">
        <v>223</v>
      </c>
      <c r="D1332" t="s">
        <v>615</v>
      </c>
      <c r="E1332" t="s">
        <v>606</v>
      </c>
      <c r="F1332" t="s">
        <v>1127</v>
      </c>
      <c r="G1332" t="s">
        <v>2160</v>
      </c>
      <c r="H1332" t="s">
        <v>346</v>
      </c>
      <c r="I1332" t="s">
        <v>1518</v>
      </c>
      <c r="J1332" t="s">
        <v>2372</v>
      </c>
      <c r="K1332" t="s">
        <v>651</v>
      </c>
      <c r="L1332">
        <v>0.86</v>
      </c>
      <c r="M1332" t="s">
        <v>6757</v>
      </c>
      <c r="N1332" t="s">
        <v>6758</v>
      </c>
      <c r="O1332" t="s">
        <v>6759</v>
      </c>
      <c r="P1332" t="s">
        <v>485</v>
      </c>
      <c r="Q1332" t="s">
        <v>4921</v>
      </c>
      <c r="R1332" t="s">
        <v>4922</v>
      </c>
      <c r="S1332" t="s">
        <v>2885</v>
      </c>
      <c r="T1332" t="s">
        <v>2886</v>
      </c>
    </row>
    <row r="1333" spans="1:20">
      <c r="A1333" s="241">
        <v>44001</v>
      </c>
      <c r="B1333" t="s">
        <v>6760</v>
      </c>
      <c r="C1333" t="s">
        <v>510</v>
      </c>
      <c r="D1333" t="s">
        <v>712</v>
      </c>
      <c r="E1333" t="s">
        <v>332</v>
      </c>
      <c r="F1333" t="s">
        <v>364</v>
      </c>
      <c r="G1333" t="s">
        <v>617</v>
      </c>
      <c r="H1333" t="s">
        <v>584</v>
      </c>
      <c r="I1333" t="s">
        <v>888</v>
      </c>
      <c r="J1333" t="s">
        <v>650</v>
      </c>
      <c r="K1333" t="s">
        <v>338</v>
      </c>
      <c r="L1333">
        <v>0.86</v>
      </c>
      <c r="M1333" t="s">
        <v>6761</v>
      </c>
      <c r="N1333" t="s">
        <v>6762</v>
      </c>
      <c r="O1333" t="s">
        <v>6763</v>
      </c>
      <c r="P1333" t="s">
        <v>485</v>
      </c>
      <c r="Q1333" t="s">
        <v>4921</v>
      </c>
      <c r="R1333" t="s">
        <v>4922</v>
      </c>
      <c r="S1333" t="s">
        <v>2885</v>
      </c>
      <c r="T1333" t="s">
        <v>2886</v>
      </c>
    </row>
    <row r="1334" spans="1:20">
      <c r="A1334" s="241">
        <v>44001</v>
      </c>
      <c r="B1334" t="s">
        <v>6764</v>
      </c>
      <c r="C1334" t="s">
        <v>423</v>
      </c>
      <c r="D1334" t="s">
        <v>274</v>
      </c>
      <c r="E1334" t="s">
        <v>812</v>
      </c>
      <c r="F1334" t="s">
        <v>1541</v>
      </c>
      <c r="G1334" t="s">
        <v>617</v>
      </c>
      <c r="H1334" t="s">
        <v>649</v>
      </c>
      <c r="I1334" t="s">
        <v>1859</v>
      </c>
      <c r="J1334" t="s">
        <v>1116</v>
      </c>
      <c r="K1334" t="s">
        <v>349</v>
      </c>
      <c r="L1334">
        <v>0.86</v>
      </c>
      <c r="M1334" t="s">
        <v>6765</v>
      </c>
      <c r="N1334" t="s">
        <v>6766</v>
      </c>
      <c r="O1334" t="s">
        <v>6767</v>
      </c>
      <c r="P1334" t="s">
        <v>485</v>
      </c>
      <c r="Q1334" t="s">
        <v>4921</v>
      </c>
      <c r="R1334" t="s">
        <v>4922</v>
      </c>
      <c r="S1334" t="s">
        <v>2885</v>
      </c>
      <c r="T1334" t="s">
        <v>2886</v>
      </c>
    </row>
    <row r="1335" spans="1:20">
      <c r="A1335" s="241">
        <v>44001</v>
      </c>
      <c r="B1335" t="s">
        <v>6768</v>
      </c>
      <c r="C1335" t="s">
        <v>237</v>
      </c>
      <c r="D1335" t="s">
        <v>261</v>
      </c>
      <c r="E1335" t="s">
        <v>250</v>
      </c>
      <c r="F1335" t="s">
        <v>2206</v>
      </c>
      <c r="G1335" t="s">
        <v>1115</v>
      </c>
      <c r="H1335" t="s">
        <v>1056</v>
      </c>
      <c r="I1335" t="s">
        <v>674</v>
      </c>
      <c r="J1335" t="s">
        <v>387</v>
      </c>
      <c r="K1335" t="s">
        <v>700</v>
      </c>
      <c r="L1335">
        <v>0.86</v>
      </c>
      <c r="M1335" t="s">
        <v>6769</v>
      </c>
      <c r="N1335" t="s">
        <v>6770</v>
      </c>
      <c r="O1335" t="s">
        <v>6771</v>
      </c>
      <c r="P1335" t="s">
        <v>485</v>
      </c>
      <c r="Q1335" t="s">
        <v>4921</v>
      </c>
      <c r="R1335" t="s">
        <v>4922</v>
      </c>
      <c r="S1335" t="s">
        <v>2885</v>
      </c>
      <c r="T1335" t="s">
        <v>2886</v>
      </c>
    </row>
    <row r="1336" spans="1:20">
      <c r="A1336" s="241">
        <v>44001</v>
      </c>
      <c r="B1336" t="s">
        <v>6772</v>
      </c>
      <c r="C1336" t="s">
        <v>261</v>
      </c>
      <c r="D1336" t="s">
        <v>442</v>
      </c>
      <c r="E1336" t="s">
        <v>225</v>
      </c>
      <c r="F1336" t="s">
        <v>1561</v>
      </c>
      <c r="G1336" t="s">
        <v>1115</v>
      </c>
      <c r="H1336" t="s">
        <v>576</v>
      </c>
      <c r="I1336" t="s">
        <v>367</v>
      </c>
      <c r="J1336" t="s">
        <v>665</v>
      </c>
      <c r="K1336" t="s">
        <v>349</v>
      </c>
      <c r="L1336">
        <v>0.86</v>
      </c>
      <c r="M1336" t="s">
        <v>6773</v>
      </c>
      <c r="N1336" t="s">
        <v>6774</v>
      </c>
      <c r="O1336" t="s">
        <v>6775</v>
      </c>
      <c r="P1336" t="s">
        <v>485</v>
      </c>
      <c r="Q1336" t="s">
        <v>4921</v>
      </c>
      <c r="R1336" t="s">
        <v>4922</v>
      </c>
      <c r="S1336" t="s">
        <v>2885</v>
      </c>
      <c r="T1336" t="s">
        <v>2886</v>
      </c>
    </row>
    <row r="1337" spans="1:20">
      <c r="A1337" s="241">
        <v>44001</v>
      </c>
      <c r="B1337" t="s">
        <v>6776</v>
      </c>
      <c r="C1337" t="s">
        <v>614</v>
      </c>
      <c r="D1337" t="s">
        <v>207</v>
      </c>
      <c r="E1337" t="s">
        <v>250</v>
      </c>
      <c r="F1337" t="s">
        <v>1882</v>
      </c>
      <c r="G1337" t="s">
        <v>394</v>
      </c>
      <c r="H1337" t="s">
        <v>626</v>
      </c>
      <c r="I1337" t="s">
        <v>1134</v>
      </c>
      <c r="J1337" t="s">
        <v>1298</v>
      </c>
      <c r="K1337" t="s">
        <v>666</v>
      </c>
      <c r="L1337">
        <v>0.86</v>
      </c>
      <c r="M1337" t="s">
        <v>6777</v>
      </c>
      <c r="N1337" t="s">
        <v>6778</v>
      </c>
      <c r="O1337" t="s">
        <v>6779</v>
      </c>
      <c r="P1337" t="s">
        <v>485</v>
      </c>
      <c r="Q1337" t="s">
        <v>4921</v>
      </c>
      <c r="R1337" t="s">
        <v>4922</v>
      </c>
      <c r="S1337" t="s">
        <v>2885</v>
      </c>
      <c r="T1337" t="s">
        <v>2886</v>
      </c>
    </row>
    <row r="1338" spans="1:20">
      <c r="A1338" s="241">
        <v>44001</v>
      </c>
      <c r="B1338" t="s">
        <v>6780</v>
      </c>
      <c r="C1338" t="s">
        <v>614</v>
      </c>
      <c r="D1338" t="s">
        <v>614</v>
      </c>
      <c r="E1338" t="s">
        <v>343</v>
      </c>
      <c r="F1338" t="s">
        <v>413</v>
      </c>
      <c r="G1338" t="s">
        <v>1568</v>
      </c>
      <c r="H1338" t="s">
        <v>1552</v>
      </c>
      <c r="I1338" t="s">
        <v>1579</v>
      </c>
      <c r="J1338" t="s">
        <v>1141</v>
      </c>
      <c r="K1338" t="s">
        <v>700</v>
      </c>
      <c r="L1338">
        <v>0.86</v>
      </c>
      <c r="M1338" t="s">
        <v>6781</v>
      </c>
      <c r="N1338" t="s">
        <v>6782</v>
      </c>
      <c r="O1338" t="s">
        <v>6783</v>
      </c>
      <c r="P1338" t="s">
        <v>485</v>
      </c>
      <c r="Q1338" t="s">
        <v>4921</v>
      </c>
      <c r="R1338" t="s">
        <v>4922</v>
      </c>
      <c r="S1338" t="s">
        <v>2885</v>
      </c>
      <c r="T1338" t="s">
        <v>2886</v>
      </c>
    </row>
    <row r="1339" spans="1:20">
      <c r="A1339" s="241">
        <v>44001</v>
      </c>
      <c r="B1339" t="s">
        <v>6784</v>
      </c>
      <c r="C1339" t="s">
        <v>237</v>
      </c>
      <c r="D1339" t="s">
        <v>294</v>
      </c>
      <c r="E1339" t="s">
        <v>556</v>
      </c>
      <c r="F1339" t="s">
        <v>2574</v>
      </c>
      <c r="G1339" t="s">
        <v>1936</v>
      </c>
      <c r="H1339" t="s">
        <v>682</v>
      </c>
      <c r="I1339" t="s">
        <v>1579</v>
      </c>
      <c r="J1339" t="s">
        <v>1141</v>
      </c>
      <c r="K1339" t="s">
        <v>700</v>
      </c>
      <c r="L1339">
        <v>0.86</v>
      </c>
      <c r="M1339" t="s">
        <v>6785</v>
      </c>
      <c r="N1339" t="s">
        <v>6786</v>
      </c>
      <c r="O1339" t="s">
        <v>6787</v>
      </c>
      <c r="P1339" t="s">
        <v>485</v>
      </c>
      <c r="Q1339" t="s">
        <v>4921</v>
      </c>
      <c r="R1339" t="s">
        <v>4922</v>
      </c>
      <c r="S1339" t="s">
        <v>2885</v>
      </c>
      <c r="T1339" t="s">
        <v>2886</v>
      </c>
    </row>
    <row r="1340" spans="1:20">
      <c r="A1340" s="241">
        <v>44001</v>
      </c>
      <c r="B1340" t="s">
        <v>6788</v>
      </c>
      <c r="C1340" t="s">
        <v>615</v>
      </c>
      <c r="D1340" t="s">
        <v>614</v>
      </c>
      <c r="E1340" t="s">
        <v>424</v>
      </c>
      <c r="F1340" t="s">
        <v>1338</v>
      </c>
      <c r="G1340" t="s">
        <v>404</v>
      </c>
      <c r="H1340" t="s">
        <v>295</v>
      </c>
      <c r="I1340" t="s">
        <v>1923</v>
      </c>
      <c r="J1340" t="s">
        <v>407</v>
      </c>
      <c r="K1340" t="s">
        <v>349</v>
      </c>
      <c r="L1340">
        <v>0.86</v>
      </c>
      <c r="M1340" t="s">
        <v>6789</v>
      </c>
      <c r="N1340" t="s">
        <v>6790</v>
      </c>
      <c r="O1340" t="s">
        <v>6791</v>
      </c>
      <c r="P1340" t="s">
        <v>485</v>
      </c>
      <c r="Q1340" t="s">
        <v>4921</v>
      </c>
      <c r="R1340" t="s">
        <v>4922</v>
      </c>
      <c r="S1340" t="s">
        <v>2885</v>
      </c>
      <c r="T1340" t="s">
        <v>2886</v>
      </c>
    </row>
    <row r="1341" spans="1:20">
      <c r="A1341" s="241">
        <v>44001</v>
      </c>
      <c r="B1341" t="s">
        <v>6792</v>
      </c>
      <c r="C1341" t="s">
        <v>294</v>
      </c>
      <c r="D1341" t="s">
        <v>625</v>
      </c>
      <c r="E1341" t="s">
        <v>597</v>
      </c>
      <c r="F1341" t="s">
        <v>3408</v>
      </c>
      <c r="G1341" t="s">
        <v>697</v>
      </c>
      <c r="H1341" t="s">
        <v>639</v>
      </c>
      <c r="I1341" t="s">
        <v>416</v>
      </c>
      <c r="J1341" t="s">
        <v>940</v>
      </c>
      <c r="K1341" t="s">
        <v>428</v>
      </c>
      <c r="L1341">
        <v>0.86</v>
      </c>
      <c r="M1341" t="s">
        <v>6793</v>
      </c>
      <c r="N1341" t="s">
        <v>6794</v>
      </c>
      <c r="O1341" t="s">
        <v>6795</v>
      </c>
      <c r="P1341" t="s">
        <v>485</v>
      </c>
      <c r="Q1341" t="s">
        <v>4921</v>
      </c>
      <c r="R1341" t="s">
        <v>4922</v>
      </c>
      <c r="S1341" t="s">
        <v>2885</v>
      </c>
      <c r="T1341" t="s">
        <v>2886</v>
      </c>
    </row>
    <row r="1342" spans="1:20">
      <c r="A1342" s="241">
        <v>44001</v>
      </c>
      <c r="B1342" t="s">
        <v>6796</v>
      </c>
      <c r="C1342" t="s">
        <v>274</v>
      </c>
      <c r="D1342" t="s">
        <v>294</v>
      </c>
      <c r="E1342" t="s">
        <v>597</v>
      </c>
      <c r="F1342" t="s">
        <v>1625</v>
      </c>
      <c r="G1342" t="s">
        <v>1157</v>
      </c>
      <c r="H1342" t="s">
        <v>720</v>
      </c>
      <c r="I1342" t="s">
        <v>721</v>
      </c>
      <c r="J1342" t="s">
        <v>1333</v>
      </c>
      <c r="K1342" t="s">
        <v>418</v>
      </c>
      <c r="L1342">
        <v>0.86</v>
      </c>
      <c r="M1342" t="s">
        <v>6797</v>
      </c>
      <c r="N1342" t="s">
        <v>6798</v>
      </c>
      <c r="O1342" t="s">
        <v>6799</v>
      </c>
      <c r="P1342" t="s">
        <v>485</v>
      </c>
      <c r="Q1342" t="s">
        <v>4921</v>
      </c>
      <c r="R1342" t="s">
        <v>4922</v>
      </c>
      <c r="S1342" t="s">
        <v>2885</v>
      </c>
      <c r="T1342" t="s">
        <v>2886</v>
      </c>
    </row>
    <row r="1343" spans="1:20">
      <c r="A1343" s="241">
        <v>44001</v>
      </c>
      <c r="B1343" t="s">
        <v>6800</v>
      </c>
      <c r="C1343" t="s">
        <v>442</v>
      </c>
      <c r="D1343" t="s">
        <v>274</v>
      </c>
      <c r="E1343" t="s">
        <v>812</v>
      </c>
      <c r="F1343" t="s">
        <v>718</v>
      </c>
      <c r="G1343" t="s">
        <v>946</v>
      </c>
      <c r="H1343" t="s">
        <v>1109</v>
      </c>
      <c r="I1343" t="s">
        <v>1158</v>
      </c>
      <c r="J1343" t="s">
        <v>1159</v>
      </c>
      <c r="K1343" t="s">
        <v>457</v>
      </c>
      <c r="L1343">
        <v>0.86</v>
      </c>
      <c r="M1343" t="s">
        <v>6801</v>
      </c>
      <c r="N1343" t="s">
        <v>6802</v>
      </c>
      <c r="O1343" t="s">
        <v>6803</v>
      </c>
      <c r="P1343" t="s">
        <v>485</v>
      </c>
      <c r="Q1343" t="s">
        <v>4921</v>
      </c>
      <c r="R1343" t="s">
        <v>4922</v>
      </c>
      <c r="S1343" t="s">
        <v>2885</v>
      </c>
      <c r="T1343" t="s">
        <v>2886</v>
      </c>
    </row>
    <row r="1344" spans="1:20">
      <c r="A1344" s="241">
        <v>44001</v>
      </c>
      <c r="B1344" t="s">
        <v>6804</v>
      </c>
      <c r="C1344" t="s">
        <v>294</v>
      </c>
      <c r="D1344" t="s">
        <v>294</v>
      </c>
      <c r="E1344" t="s">
        <v>343</v>
      </c>
      <c r="F1344" t="s">
        <v>1164</v>
      </c>
      <c r="G1344" t="s">
        <v>925</v>
      </c>
      <c r="H1344" t="s">
        <v>729</v>
      </c>
      <c r="I1344" t="s">
        <v>1165</v>
      </c>
      <c r="J1344" t="s">
        <v>1159</v>
      </c>
      <c r="K1344" t="s">
        <v>408</v>
      </c>
      <c r="L1344">
        <v>0.86</v>
      </c>
      <c r="M1344" t="s">
        <v>6805</v>
      </c>
      <c r="N1344" t="s">
        <v>6806</v>
      </c>
      <c r="O1344" t="s">
        <v>6807</v>
      </c>
      <c r="P1344" t="s">
        <v>485</v>
      </c>
      <c r="Q1344" t="s">
        <v>4921</v>
      </c>
      <c r="R1344" t="s">
        <v>4922</v>
      </c>
      <c r="S1344" t="s">
        <v>2885</v>
      </c>
      <c r="T1344" t="s">
        <v>2886</v>
      </c>
    </row>
    <row r="1345" spans="1:20">
      <c r="A1345" s="241">
        <v>44001</v>
      </c>
      <c r="B1345" t="s">
        <v>6808</v>
      </c>
      <c r="C1345" t="s">
        <v>615</v>
      </c>
      <c r="D1345" t="s">
        <v>442</v>
      </c>
      <c r="E1345" t="s">
        <v>225</v>
      </c>
      <c r="F1345" t="s">
        <v>3077</v>
      </c>
      <c r="G1345" t="s">
        <v>1157</v>
      </c>
      <c r="H1345" t="s">
        <v>639</v>
      </c>
      <c r="I1345" t="s">
        <v>1631</v>
      </c>
      <c r="J1345" t="s">
        <v>447</v>
      </c>
      <c r="K1345" t="s">
        <v>418</v>
      </c>
      <c r="L1345">
        <v>0.86</v>
      </c>
      <c r="M1345" t="s">
        <v>6809</v>
      </c>
      <c r="N1345" t="s">
        <v>6810</v>
      </c>
      <c r="O1345" t="s">
        <v>6811</v>
      </c>
      <c r="P1345" t="s">
        <v>485</v>
      </c>
      <c r="Q1345" t="s">
        <v>4921</v>
      </c>
      <c r="R1345" t="s">
        <v>4922</v>
      </c>
      <c r="S1345" t="s">
        <v>2885</v>
      </c>
      <c r="T1345" t="s">
        <v>2886</v>
      </c>
    </row>
    <row r="1346" spans="1:20">
      <c r="A1346" s="241">
        <v>44001</v>
      </c>
      <c r="B1346" t="s">
        <v>6812</v>
      </c>
      <c r="C1346" t="s">
        <v>1195</v>
      </c>
      <c r="D1346" t="s">
        <v>959</v>
      </c>
      <c r="E1346" t="s">
        <v>249</v>
      </c>
      <c r="F1346" t="s">
        <v>5081</v>
      </c>
      <c r="G1346" t="s">
        <v>5788</v>
      </c>
      <c r="H1346" t="s">
        <v>1655</v>
      </c>
      <c r="I1346" t="s">
        <v>6813</v>
      </c>
      <c r="J1346" t="s">
        <v>6227</v>
      </c>
      <c r="K1346" t="s">
        <v>6228</v>
      </c>
      <c r="L1346">
        <v>0.89</v>
      </c>
      <c r="M1346" t="s">
        <v>6814</v>
      </c>
      <c r="N1346" t="s">
        <v>6815</v>
      </c>
      <c r="O1346" t="s">
        <v>6816</v>
      </c>
      <c r="P1346" t="s">
        <v>485</v>
      </c>
      <c r="Q1346" t="s">
        <v>4921</v>
      </c>
      <c r="R1346" t="s">
        <v>4922</v>
      </c>
      <c r="S1346" t="s">
        <v>2885</v>
      </c>
      <c r="T1346" t="s">
        <v>2886</v>
      </c>
    </row>
    <row r="1347" spans="1:20">
      <c r="A1347" s="241">
        <v>44001</v>
      </c>
      <c r="B1347" t="s">
        <v>6817</v>
      </c>
      <c r="C1347" t="s">
        <v>1357</v>
      </c>
      <c r="D1347" t="s">
        <v>959</v>
      </c>
      <c r="E1347" t="s">
        <v>273</v>
      </c>
      <c r="F1347" t="s">
        <v>3680</v>
      </c>
      <c r="G1347" t="s">
        <v>3826</v>
      </c>
      <c r="H1347" t="s">
        <v>1649</v>
      </c>
      <c r="I1347" t="s">
        <v>5271</v>
      </c>
      <c r="J1347" t="s">
        <v>6818</v>
      </c>
      <c r="K1347" t="s">
        <v>1190</v>
      </c>
      <c r="L1347">
        <v>0.89</v>
      </c>
      <c r="M1347" t="s">
        <v>6819</v>
      </c>
      <c r="N1347" t="s">
        <v>6820</v>
      </c>
      <c r="O1347" t="s">
        <v>6821</v>
      </c>
      <c r="P1347" t="s">
        <v>485</v>
      </c>
      <c r="Q1347" t="s">
        <v>4921</v>
      </c>
      <c r="R1347" t="s">
        <v>4922</v>
      </c>
      <c r="S1347" t="s">
        <v>2885</v>
      </c>
      <c r="T1347" t="s">
        <v>2886</v>
      </c>
    </row>
    <row r="1348" spans="1:20">
      <c r="A1348" s="241">
        <v>44001</v>
      </c>
      <c r="B1348" t="s">
        <v>6822</v>
      </c>
      <c r="C1348" t="s">
        <v>1195</v>
      </c>
      <c r="D1348" t="s">
        <v>499</v>
      </c>
      <c r="E1348" t="s">
        <v>224</v>
      </c>
      <c r="F1348" t="s">
        <v>1378</v>
      </c>
      <c r="G1348" t="s">
        <v>767</v>
      </c>
      <c r="H1348" t="s">
        <v>768</v>
      </c>
      <c r="I1348" t="s">
        <v>769</v>
      </c>
      <c r="J1348" t="s">
        <v>6823</v>
      </c>
      <c r="K1348" t="s">
        <v>494</v>
      </c>
      <c r="L1348">
        <v>0.89</v>
      </c>
      <c r="M1348" t="s">
        <v>6824</v>
      </c>
      <c r="N1348" t="s">
        <v>6825</v>
      </c>
      <c r="O1348" t="s">
        <v>6826</v>
      </c>
      <c r="P1348" t="s">
        <v>485</v>
      </c>
      <c r="Q1348" t="s">
        <v>4921</v>
      </c>
      <c r="R1348" t="s">
        <v>4922</v>
      </c>
      <c r="S1348" t="s">
        <v>2885</v>
      </c>
      <c r="T1348" t="s">
        <v>2886</v>
      </c>
    </row>
    <row r="1349" spans="1:20">
      <c r="A1349" s="241">
        <v>44001</v>
      </c>
      <c r="B1349" t="s">
        <v>6827</v>
      </c>
      <c r="C1349" t="s">
        <v>735</v>
      </c>
      <c r="D1349" t="s">
        <v>747</v>
      </c>
      <c r="E1349" t="s">
        <v>423</v>
      </c>
      <c r="F1349" t="s">
        <v>1655</v>
      </c>
      <c r="G1349" t="s">
        <v>6828</v>
      </c>
      <c r="H1349" t="s">
        <v>748</v>
      </c>
      <c r="I1349" t="s">
        <v>6829</v>
      </c>
      <c r="J1349" t="s">
        <v>2250</v>
      </c>
      <c r="K1349" t="s">
        <v>4161</v>
      </c>
      <c r="L1349">
        <v>0.89</v>
      </c>
      <c r="M1349" t="s">
        <v>6830</v>
      </c>
      <c r="N1349" t="s">
        <v>6831</v>
      </c>
      <c r="O1349" t="s">
        <v>6832</v>
      </c>
      <c r="P1349" t="s">
        <v>485</v>
      </c>
      <c r="Q1349" t="s">
        <v>4921</v>
      </c>
      <c r="R1349" t="s">
        <v>4922</v>
      </c>
      <c r="S1349" t="s">
        <v>2885</v>
      </c>
      <c r="T1349" t="s">
        <v>2886</v>
      </c>
    </row>
    <row r="1350" spans="1:20">
      <c r="A1350" s="241">
        <v>44001</v>
      </c>
      <c r="B1350" t="s">
        <v>6833</v>
      </c>
      <c r="C1350" t="s">
        <v>249</v>
      </c>
      <c r="D1350" t="s">
        <v>274</v>
      </c>
      <c r="E1350" t="s">
        <v>680</v>
      </c>
      <c r="F1350" t="s">
        <v>1453</v>
      </c>
      <c r="G1350" t="s">
        <v>1214</v>
      </c>
      <c r="H1350" t="s">
        <v>3161</v>
      </c>
      <c r="I1350" t="s">
        <v>1686</v>
      </c>
      <c r="J1350" t="s">
        <v>1699</v>
      </c>
      <c r="K1350" t="s">
        <v>524</v>
      </c>
      <c r="L1350">
        <v>0.87</v>
      </c>
      <c r="M1350" t="s">
        <v>6834</v>
      </c>
      <c r="N1350" t="s">
        <v>6835</v>
      </c>
      <c r="O1350" t="s">
        <v>6836</v>
      </c>
      <c r="P1350" t="s">
        <v>485</v>
      </c>
      <c r="Q1350" t="s">
        <v>4921</v>
      </c>
      <c r="R1350" t="s">
        <v>4922</v>
      </c>
      <c r="S1350" t="s">
        <v>2885</v>
      </c>
      <c r="T1350" t="s">
        <v>2886</v>
      </c>
    </row>
    <row r="1351" spans="1:20">
      <c r="A1351" s="241">
        <v>44001</v>
      </c>
      <c r="B1351" t="s">
        <v>6837</v>
      </c>
      <c r="C1351" t="s">
        <v>206</v>
      </c>
      <c r="D1351" t="s">
        <v>614</v>
      </c>
      <c r="E1351" t="s">
        <v>304</v>
      </c>
      <c r="F1351" t="s">
        <v>539</v>
      </c>
      <c r="G1351" t="s">
        <v>786</v>
      </c>
      <c r="H1351" t="s">
        <v>3999</v>
      </c>
      <c r="I1351" t="s">
        <v>1226</v>
      </c>
      <c r="J1351" t="s">
        <v>2681</v>
      </c>
      <c r="K1351" t="s">
        <v>1012</v>
      </c>
      <c r="L1351">
        <v>0.86</v>
      </c>
      <c r="M1351" t="s">
        <v>6838</v>
      </c>
      <c r="N1351" t="s">
        <v>6839</v>
      </c>
      <c r="O1351" t="s">
        <v>6840</v>
      </c>
      <c r="P1351" t="s">
        <v>485</v>
      </c>
      <c r="Q1351" t="s">
        <v>4921</v>
      </c>
      <c r="R1351" t="s">
        <v>4922</v>
      </c>
      <c r="S1351" t="s">
        <v>2885</v>
      </c>
      <c r="T1351" t="s">
        <v>2886</v>
      </c>
    </row>
    <row r="1352" spans="1:20">
      <c r="A1352" s="241">
        <v>44001</v>
      </c>
      <c r="B1352" t="s">
        <v>6841</v>
      </c>
      <c r="C1352" t="s">
        <v>223</v>
      </c>
      <c r="D1352" t="s">
        <v>645</v>
      </c>
      <c r="E1352" t="s">
        <v>225</v>
      </c>
      <c r="F1352" t="s">
        <v>600</v>
      </c>
      <c r="G1352" t="s">
        <v>792</v>
      </c>
      <c r="H1352" t="s">
        <v>2305</v>
      </c>
      <c r="I1352" t="s">
        <v>542</v>
      </c>
      <c r="J1352" t="s">
        <v>2044</v>
      </c>
      <c r="K1352" t="s">
        <v>534</v>
      </c>
      <c r="L1352">
        <v>0.86</v>
      </c>
      <c r="M1352" t="s">
        <v>6842</v>
      </c>
      <c r="N1352" t="s">
        <v>6843</v>
      </c>
      <c r="O1352" t="s">
        <v>6844</v>
      </c>
      <c r="P1352" t="s">
        <v>485</v>
      </c>
      <c r="Q1352" t="s">
        <v>6845</v>
      </c>
      <c r="R1352" t="s">
        <v>6846</v>
      </c>
      <c r="S1352" t="s">
        <v>2885</v>
      </c>
      <c r="T1352" t="s">
        <v>2886</v>
      </c>
    </row>
    <row r="1353" spans="1:20">
      <c r="A1353" s="241">
        <v>44001</v>
      </c>
      <c r="B1353" t="s">
        <v>6847</v>
      </c>
      <c r="C1353" t="s">
        <v>261</v>
      </c>
      <c r="D1353" t="s">
        <v>442</v>
      </c>
      <c r="E1353" t="s">
        <v>225</v>
      </c>
      <c r="F1353" t="s">
        <v>881</v>
      </c>
      <c r="G1353" t="s">
        <v>792</v>
      </c>
      <c r="H1353" t="s">
        <v>1716</v>
      </c>
      <c r="I1353" t="s">
        <v>212</v>
      </c>
      <c r="J1353" t="s">
        <v>1240</v>
      </c>
      <c r="K1353" t="s">
        <v>515</v>
      </c>
      <c r="L1353">
        <v>0.86</v>
      </c>
      <c r="M1353" t="s">
        <v>6848</v>
      </c>
      <c r="N1353" t="s">
        <v>6849</v>
      </c>
      <c r="O1353" t="s">
        <v>6850</v>
      </c>
      <c r="P1353" t="s">
        <v>485</v>
      </c>
      <c r="Q1353" t="s">
        <v>6845</v>
      </c>
      <c r="R1353" t="s">
        <v>6846</v>
      </c>
      <c r="S1353" t="s">
        <v>2885</v>
      </c>
      <c r="T1353" t="s">
        <v>2886</v>
      </c>
    </row>
    <row r="1354" spans="1:20">
      <c r="A1354" s="241">
        <v>44001</v>
      </c>
      <c r="B1354" t="s">
        <v>6851</v>
      </c>
      <c r="C1354" t="s">
        <v>224</v>
      </c>
      <c r="D1354" t="s">
        <v>615</v>
      </c>
      <c r="E1354" t="s">
        <v>225</v>
      </c>
      <c r="F1354" t="s">
        <v>356</v>
      </c>
      <c r="G1354" t="s">
        <v>1740</v>
      </c>
      <c r="H1354" t="s">
        <v>541</v>
      </c>
      <c r="I1354" t="s">
        <v>560</v>
      </c>
      <c r="J1354" t="s">
        <v>1039</v>
      </c>
      <c r="K1354" t="s">
        <v>515</v>
      </c>
      <c r="L1354">
        <v>0.86</v>
      </c>
      <c r="M1354" t="s">
        <v>6852</v>
      </c>
      <c r="N1354" t="s">
        <v>6853</v>
      </c>
      <c r="O1354" t="s">
        <v>6854</v>
      </c>
      <c r="P1354" t="s">
        <v>485</v>
      </c>
      <c r="Q1354" t="s">
        <v>6845</v>
      </c>
      <c r="R1354" t="s">
        <v>6846</v>
      </c>
      <c r="S1354" t="s">
        <v>2885</v>
      </c>
      <c r="T1354" t="s">
        <v>2886</v>
      </c>
    </row>
    <row r="1355" spans="1:20">
      <c r="A1355" s="241">
        <v>44001</v>
      </c>
      <c r="B1355" t="s">
        <v>6855</v>
      </c>
      <c r="C1355" t="s">
        <v>223</v>
      </c>
      <c r="D1355" t="s">
        <v>645</v>
      </c>
      <c r="E1355" t="s">
        <v>238</v>
      </c>
      <c r="F1355" t="s">
        <v>275</v>
      </c>
      <c r="G1355" t="s">
        <v>814</v>
      </c>
      <c r="H1355" t="s">
        <v>1257</v>
      </c>
      <c r="I1355" t="s">
        <v>229</v>
      </c>
      <c r="J1355" t="s">
        <v>825</v>
      </c>
      <c r="K1355" t="s">
        <v>244</v>
      </c>
      <c r="L1355">
        <v>0.86</v>
      </c>
      <c r="M1355" t="s">
        <v>6856</v>
      </c>
      <c r="N1355" t="s">
        <v>6857</v>
      </c>
      <c r="O1355" t="s">
        <v>6858</v>
      </c>
      <c r="P1355" t="s">
        <v>485</v>
      </c>
      <c r="Q1355" t="s">
        <v>6845</v>
      </c>
      <c r="R1355" t="s">
        <v>6846</v>
      </c>
      <c r="S1355" t="s">
        <v>2885</v>
      </c>
      <c r="T1355" t="s">
        <v>2886</v>
      </c>
    </row>
    <row r="1356" spans="1:20">
      <c r="A1356" s="241">
        <v>44001</v>
      </c>
      <c r="B1356" t="s">
        <v>6859</v>
      </c>
      <c r="C1356" t="s">
        <v>249</v>
      </c>
      <c r="D1356" t="s">
        <v>5481</v>
      </c>
      <c r="E1356" t="s">
        <v>2549</v>
      </c>
      <c r="F1356" t="s">
        <v>385</v>
      </c>
      <c r="G1356" t="s">
        <v>286</v>
      </c>
      <c r="H1356" t="s">
        <v>1257</v>
      </c>
      <c r="I1356" t="s">
        <v>278</v>
      </c>
      <c r="J1356" t="s">
        <v>850</v>
      </c>
      <c r="K1356" t="s">
        <v>700</v>
      </c>
      <c r="L1356">
        <v>0.87</v>
      </c>
      <c r="M1356" t="s">
        <v>6860</v>
      </c>
      <c r="N1356" t="s">
        <v>6861</v>
      </c>
      <c r="O1356" t="s">
        <v>6862</v>
      </c>
      <c r="P1356" t="s">
        <v>485</v>
      </c>
      <c r="Q1356" t="s">
        <v>6845</v>
      </c>
      <c r="R1356" t="s">
        <v>6846</v>
      </c>
      <c r="S1356" t="s">
        <v>2885</v>
      </c>
      <c r="T1356" t="s">
        <v>2886</v>
      </c>
    </row>
    <row r="1357" spans="1:20">
      <c r="A1357" s="241">
        <v>44001</v>
      </c>
      <c r="B1357" t="s">
        <v>6863</v>
      </c>
      <c r="C1357" t="s">
        <v>969</v>
      </c>
      <c r="D1357" t="s">
        <v>1376</v>
      </c>
      <c r="E1357" t="s">
        <v>273</v>
      </c>
      <c r="F1357" t="s">
        <v>316</v>
      </c>
      <c r="G1357" t="s">
        <v>2080</v>
      </c>
      <c r="H1357" t="s">
        <v>241</v>
      </c>
      <c r="I1357" t="s">
        <v>838</v>
      </c>
      <c r="J1357" t="s">
        <v>857</v>
      </c>
      <c r="K1357" t="s">
        <v>418</v>
      </c>
      <c r="L1357">
        <v>0.87</v>
      </c>
      <c r="M1357" t="s">
        <v>6864</v>
      </c>
      <c r="N1357" t="s">
        <v>6865</v>
      </c>
      <c r="O1357" t="s">
        <v>6866</v>
      </c>
      <c r="P1357" t="s">
        <v>485</v>
      </c>
      <c r="Q1357" t="s">
        <v>6845</v>
      </c>
      <c r="R1357" t="s">
        <v>6846</v>
      </c>
      <c r="S1357" t="s">
        <v>2885</v>
      </c>
      <c r="T1357" t="s">
        <v>2886</v>
      </c>
    </row>
    <row r="1358" spans="1:20">
      <c r="A1358" s="241">
        <v>44001</v>
      </c>
      <c r="B1358" t="s">
        <v>6867</v>
      </c>
      <c r="C1358" t="s">
        <v>1196</v>
      </c>
      <c r="D1358" t="s">
        <v>224</v>
      </c>
      <c r="E1358" t="s">
        <v>556</v>
      </c>
      <c r="F1358" t="s">
        <v>305</v>
      </c>
      <c r="G1358" t="s">
        <v>2343</v>
      </c>
      <c r="H1358" t="s">
        <v>3554</v>
      </c>
      <c r="I1358" t="s">
        <v>609</v>
      </c>
      <c r="J1358" t="s">
        <v>309</v>
      </c>
      <c r="K1358" t="s">
        <v>338</v>
      </c>
      <c r="L1358">
        <v>0.86</v>
      </c>
      <c r="M1358" t="s">
        <v>6868</v>
      </c>
      <c r="N1358" t="s">
        <v>6869</v>
      </c>
      <c r="O1358" t="s">
        <v>6870</v>
      </c>
      <c r="P1358" t="s">
        <v>485</v>
      </c>
      <c r="Q1358" t="s">
        <v>6845</v>
      </c>
      <c r="R1358" t="s">
        <v>6846</v>
      </c>
      <c r="S1358" t="s">
        <v>2885</v>
      </c>
      <c r="T1358" t="s">
        <v>2886</v>
      </c>
    </row>
    <row r="1359" spans="1:20">
      <c r="A1359" s="241">
        <v>44001</v>
      </c>
      <c r="B1359" t="s">
        <v>6871</v>
      </c>
      <c r="C1359" t="s">
        <v>475</v>
      </c>
      <c r="D1359" t="s">
        <v>237</v>
      </c>
      <c r="E1359" t="s">
        <v>382</v>
      </c>
      <c r="F1359" t="s">
        <v>1552</v>
      </c>
      <c r="G1359" t="s">
        <v>1068</v>
      </c>
      <c r="H1359" t="s">
        <v>2927</v>
      </c>
      <c r="I1359" t="s">
        <v>863</v>
      </c>
      <c r="J1359" t="s">
        <v>870</v>
      </c>
      <c r="K1359" t="s">
        <v>349</v>
      </c>
      <c r="L1359">
        <v>0.86</v>
      </c>
      <c r="M1359" t="s">
        <v>6872</v>
      </c>
      <c r="N1359" t="s">
        <v>6873</v>
      </c>
      <c r="O1359" t="s">
        <v>6874</v>
      </c>
      <c r="P1359" t="s">
        <v>485</v>
      </c>
      <c r="Q1359" t="s">
        <v>6845</v>
      </c>
      <c r="R1359" t="s">
        <v>6846</v>
      </c>
      <c r="S1359" t="s">
        <v>2885</v>
      </c>
      <c r="T1359" t="s">
        <v>2886</v>
      </c>
    </row>
    <row r="1360" spans="1:20">
      <c r="A1360" s="241">
        <v>44001</v>
      </c>
      <c r="B1360" t="s">
        <v>6875</v>
      </c>
      <c r="C1360" t="s">
        <v>510</v>
      </c>
      <c r="D1360" t="s">
        <v>475</v>
      </c>
      <c r="E1360" t="s">
        <v>424</v>
      </c>
      <c r="F1360" t="s">
        <v>426</v>
      </c>
      <c r="G1360" t="s">
        <v>591</v>
      </c>
      <c r="H1360" t="s">
        <v>2927</v>
      </c>
      <c r="I1360" t="s">
        <v>1501</v>
      </c>
      <c r="J1360" t="s">
        <v>1827</v>
      </c>
      <c r="K1360" t="s">
        <v>280</v>
      </c>
      <c r="L1360">
        <v>0.86</v>
      </c>
      <c r="M1360" t="s">
        <v>6876</v>
      </c>
      <c r="N1360" t="s">
        <v>6877</v>
      </c>
      <c r="O1360" t="s">
        <v>6878</v>
      </c>
      <c r="P1360" t="s">
        <v>485</v>
      </c>
      <c r="Q1360" t="s">
        <v>6845</v>
      </c>
      <c r="R1360" t="s">
        <v>6846</v>
      </c>
      <c r="S1360" t="s">
        <v>2885</v>
      </c>
      <c r="T1360" t="s">
        <v>2886</v>
      </c>
    </row>
    <row r="1361" spans="1:20">
      <c r="A1361" s="241">
        <v>44001</v>
      </c>
      <c r="B1361" t="s">
        <v>6879</v>
      </c>
      <c r="C1361" t="s">
        <v>1877</v>
      </c>
      <c r="D1361" t="s">
        <v>274</v>
      </c>
      <c r="E1361" t="s">
        <v>343</v>
      </c>
      <c r="F1361" t="s">
        <v>639</v>
      </c>
      <c r="G1361" t="s">
        <v>1477</v>
      </c>
      <c r="H1361" t="s">
        <v>346</v>
      </c>
      <c r="I1361" t="s">
        <v>325</v>
      </c>
      <c r="J1361" t="s">
        <v>337</v>
      </c>
      <c r="K1361" t="s">
        <v>359</v>
      </c>
      <c r="L1361">
        <v>0.86</v>
      </c>
      <c r="M1361" t="s">
        <v>6880</v>
      </c>
      <c r="N1361" t="s">
        <v>6881</v>
      </c>
      <c r="O1361" t="s">
        <v>6882</v>
      </c>
      <c r="P1361" t="s">
        <v>485</v>
      </c>
      <c r="Q1361" t="s">
        <v>6845</v>
      </c>
      <c r="R1361" t="s">
        <v>6846</v>
      </c>
      <c r="S1361" t="s">
        <v>2885</v>
      </c>
      <c r="T1361" t="s">
        <v>2886</v>
      </c>
    </row>
    <row r="1362" spans="1:20">
      <c r="A1362" s="241">
        <v>44001</v>
      </c>
      <c r="B1362" t="s">
        <v>6883</v>
      </c>
      <c r="C1362" t="s">
        <v>224</v>
      </c>
      <c r="D1362" t="s">
        <v>224</v>
      </c>
      <c r="E1362" t="s">
        <v>443</v>
      </c>
      <c r="F1362" t="s">
        <v>445</v>
      </c>
      <c r="G1362" t="s">
        <v>875</v>
      </c>
      <c r="H1362" t="s">
        <v>1274</v>
      </c>
      <c r="I1362" t="s">
        <v>1494</v>
      </c>
      <c r="J1362" t="s">
        <v>640</v>
      </c>
      <c r="K1362" t="s">
        <v>700</v>
      </c>
      <c r="L1362">
        <v>0.86</v>
      </c>
      <c r="M1362" t="s">
        <v>6884</v>
      </c>
      <c r="N1362" t="s">
        <v>6885</v>
      </c>
      <c r="O1362" t="s">
        <v>6886</v>
      </c>
      <c r="P1362" t="s">
        <v>485</v>
      </c>
      <c r="Q1362" t="s">
        <v>6845</v>
      </c>
      <c r="R1362" t="s">
        <v>6846</v>
      </c>
      <c r="S1362" t="s">
        <v>2885</v>
      </c>
      <c r="T1362" t="s">
        <v>2886</v>
      </c>
    </row>
    <row r="1363" spans="1:20">
      <c r="A1363" s="241">
        <v>44001</v>
      </c>
      <c r="B1363" t="s">
        <v>6887</v>
      </c>
      <c r="C1363" t="s">
        <v>237</v>
      </c>
      <c r="D1363" t="s">
        <v>423</v>
      </c>
      <c r="E1363" t="s">
        <v>208</v>
      </c>
      <c r="F1363" t="s">
        <v>445</v>
      </c>
      <c r="G1363" t="s">
        <v>1110</v>
      </c>
      <c r="H1363" t="s">
        <v>1818</v>
      </c>
      <c r="I1363" t="s">
        <v>882</v>
      </c>
      <c r="J1363" t="s">
        <v>650</v>
      </c>
      <c r="K1363" t="s">
        <v>349</v>
      </c>
      <c r="L1363">
        <v>0.86</v>
      </c>
      <c r="M1363" t="s">
        <v>6888</v>
      </c>
      <c r="N1363" t="s">
        <v>6889</v>
      </c>
      <c r="O1363" t="s">
        <v>6890</v>
      </c>
      <c r="P1363" t="s">
        <v>485</v>
      </c>
      <c r="Q1363" t="s">
        <v>6845</v>
      </c>
      <c r="R1363" t="s">
        <v>6846</v>
      </c>
      <c r="S1363" t="s">
        <v>2885</v>
      </c>
      <c r="T1363" t="s">
        <v>2886</v>
      </c>
    </row>
    <row r="1364" spans="1:20">
      <c r="A1364" s="241">
        <v>44001</v>
      </c>
      <c r="B1364" t="s">
        <v>6891</v>
      </c>
      <c r="C1364" t="s">
        <v>236</v>
      </c>
      <c r="D1364" t="s">
        <v>223</v>
      </c>
      <c r="E1364" t="s">
        <v>238</v>
      </c>
      <c r="F1364" t="s">
        <v>383</v>
      </c>
      <c r="G1364" t="s">
        <v>1104</v>
      </c>
      <c r="H1364" t="s">
        <v>356</v>
      </c>
      <c r="I1364" t="s">
        <v>664</v>
      </c>
      <c r="J1364" t="s">
        <v>377</v>
      </c>
      <c r="K1364" t="s">
        <v>369</v>
      </c>
      <c r="L1364">
        <v>0.86</v>
      </c>
      <c r="M1364" t="s">
        <v>6892</v>
      </c>
      <c r="N1364" t="s">
        <v>6893</v>
      </c>
      <c r="O1364" t="s">
        <v>6894</v>
      </c>
      <c r="P1364" t="s">
        <v>485</v>
      </c>
      <c r="Q1364" t="s">
        <v>6845</v>
      </c>
      <c r="R1364" t="s">
        <v>6846</v>
      </c>
      <c r="S1364" t="s">
        <v>2885</v>
      </c>
      <c r="T1364" t="s">
        <v>2886</v>
      </c>
    </row>
    <row r="1365" spans="1:20">
      <c r="A1365" s="241">
        <v>44001</v>
      </c>
      <c r="B1365" t="s">
        <v>6895</v>
      </c>
      <c r="C1365" t="s">
        <v>236</v>
      </c>
      <c r="D1365" t="s">
        <v>274</v>
      </c>
      <c r="E1365" t="s">
        <v>2549</v>
      </c>
      <c r="F1365" t="s">
        <v>383</v>
      </c>
      <c r="G1365" t="s">
        <v>663</v>
      </c>
      <c r="H1365" t="s">
        <v>576</v>
      </c>
      <c r="I1365" t="s">
        <v>1547</v>
      </c>
      <c r="J1365" t="s">
        <v>1128</v>
      </c>
      <c r="K1365" t="s">
        <v>700</v>
      </c>
      <c r="L1365">
        <v>0.86</v>
      </c>
      <c r="M1365" t="s">
        <v>6896</v>
      </c>
      <c r="N1365" t="s">
        <v>6897</v>
      </c>
      <c r="O1365" t="s">
        <v>6898</v>
      </c>
      <c r="P1365" t="s">
        <v>485</v>
      </c>
      <c r="Q1365" t="s">
        <v>6845</v>
      </c>
      <c r="R1365" t="s">
        <v>6846</v>
      </c>
      <c r="S1365" t="s">
        <v>2885</v>
      </c>
      <c r="T1365" t="s">
        <v>2886</v>
      </c>
    </row>
    <row r="1366" spans="1:20">
      <c r="A1366" s="241">
        <v>44001</v>
      </c>
      <c r="B1366" t="s">
        <v>6899</v>
      </c>
      <c r="C1366" t="s">
        <v>236</v>
      </c>
      <c r="D1366" t="s">
        <v>423</v>
      </c>
      <c r="E1366" t="s">
        <v>238</v>
      </c>
      <c r="F1366" t="s">
        <v>2574</v>
      </c>
      <c r="G1366" t="s">
        <v>1122</v>
      </c>
      <c r="H1366" t="s">
        <v>285</v>
      </c>
      <c r="I1366" t="s">
        <v>683</v>
      </c>
      <c r="J1366" t="s">
        <v>912</v>
      </c>
      <c r="K1366" t="s">
        <v>408</v>
      </c>
      <c r="L1366">
        <v>0.86</v>
      </c>
      <c r="M1366" t="s">
        <v>6900</v>
      </c>
      <c r="N1366" t="s">
        <v>6901</v>
      </c>
      <c r="O1366" t="s">
        <v>6902</v>
      </c>
      <c r="P1366" t="s">
        <v>485</v>
      </c>
      <c r="Q1366" t="s">
        <v>6845</v>
      </c>
      <c r="R1366" t="s">
        <v>6846</v>
      </c>
      <c r="S1366" t="s">
        <v>2885</v>
      </c>
      <c r="T1366" t="s">
        <v>2886</v>
      </c>
    </row>
    <row r="1367" spans="1:20">
      <c r="A1367" s="241">
        <v>44001</v>
      </c>
      <c r="B1367" t="s">
        <v>6903</v>
      </c>
      <c r="C1367" t="s">
        <v>206</v>
      </c>
      <c r="D1367" t="s">
        <v>207</v>
      </c>
      <c r="E1367" t="s">
        <v>382</v>
      </c>
      <c r="F1367" t="s">
        <v>924</v>
      </c>
      <c r="G1367" t="s">
        <v>1568</v>
      </c>
      <c r="H1367" t="s">
        <v>285</v>
      </c>
      <c r="I1367" t="s">
        <v>690</v>
      </c>
      <c r="J1367" t="s">
        <v>1141</v>
      </c>
      <c r="K1367" t="s">
        <v>369</v>
      </c>
      <c r="L1367">
        <v>0.86</v>
      </c>
      <c r="M1367" t="s">
        <v>6904</v>
      </c>
      <c r="N1367" t="s">
        <v>6905</v>
      </c>
      <c r="O1367" t="s">
        <v>6906</v>
      </c>
      <c r="P1367" t="s">
        <v>485</v>
      </c>
      <c r="Q1367" t="s">
        <v>6845</v>
      </c>
      <c r="R1367" t="s">
        <v>6846</v>
      </c>
      <c r="S1367" t="s">
        <v>2885</v>
      </c>
      <c r="T1367" t="s">
        <v>2886</v>
      </c>
    </row>
    <row r="1368" spans="1:20">
      <c r="A1368" s="241">
        <v>44001</v>
      </c>
      <c r="B1368" t="s">
        <v>6907</v>
      </c>
      <c r="C1368" t="s">
        <v>207</v>
      </c>
      <c r="D1368" t="s">
        <v>207</v>
      </c>
      <c r="E1368" t="s">
        <v>2535</v>
      </c>
      <c r="F1368" t="s">
        <v>403</v>
      </c>
      <c r="G1368" t="s">
        <v>1297</v>
      </c>
      <c r="H1368" t="s">
        <v>395</v>
      </c>
      <c r="I1368" t="s">
        <v>406</v>
      </c>
      <c r="J1368" t="s">
        <v>707</v>
      </c>
      <c r="K1368" t="s">
        <v>369</v>
      </c>
      <c r="L1368">
        <v>0.86</v>
      </c>
      <c r="M1368" t="s">
        <v>6908</v>
      </c>
      <c r="N1368" t="s">
        <v>6909</v>
      </c>
      <c r="O1368" t="s">
        <v>6910</v>
      </c>
      <c r="P1368" t="s">
        <v>485</v>
      </c>
      <c r="Q1368" t="s">
        <v>6845</v>
      </c>
      <c r="R1368" t="s">
        <v>6846</v>
      </c>
      <c r="S1368" t="s">
        <v>2885</v>
      </c>
      <c r="T1368" t="s">
        <v>2886</v>
      </c>
    </row>
    <row r="1369" spans="1:20">
      <c r="A1369" s="241">
        <v>44001</v>
      </c>
      <c r="B1369" t="s">
        <v>6911</v>
      </c>
      <c r="C1369" t="s">
        <v>6912</v>
      </c>
      <c r="D1369" t="s">
        <v>747</v>
      </c>
      <c r="E1369" t="s">
        <v>3679</v>
      </c>
      <c r="F1369" t="s">
        <v>1541</v>
      </c>
      <c r="G1369" t="s">
        <v>1512</v>
      </c>
      <c r="H1369" t="s">
        <v>1769</v>
      </c>
      <c r="I1369" t="s">
        <v>932</v>
      </c>
      <c r="J1369" t="s">
        <v>447</v>
      </c>
      <c r="K1369" t="s">
        <v>6913</v>
      </c>
      <c r="L1369">
        <v>0.86</v>
      </c>
      <c r="M1369" t="s">
        <v>6914</v>
      </c>
      <c r="N1369" t="s">
        <v>6915</v>
      </c>
      <c r="O1369" t="s">
        <v>6916</v>
      </c>
      <c r="P1369" t="s">
        <v>485</v>
      </c>
      <c r="Q1369" t="s">
        <v>6845</v>
      </c>
      <c r="R1369" t="s">
        <v>6846</v>
      </c>
      <c r="S1369" t="s">
        <v>2885</v>
      </c>
      <c r="T1369" t="s">
        <v>2886</v>
      </c>
    </row>
    <row r="1370" spans="1:20">
      <c r="A1370" s="241">
        <v>44001</v>
      </c>
      <c r="B1370" t="s">
        <v>6917</v>
      </c>
      <c r="C1370" t="s">
        <v>5481</v>
      </c>
      <c r="D1370" t="s">
        <v>475</v>
      </c>
      <c r="E1370" t="s">
        <v>2535</v>
      </c>
      <c r="F1370" t="s">
        <v>1164</v>
      </c>
      <c r="G1370" t="s">
        <v>1946</v>
      </c>
      <c r="H1370" t="s">
        <v>706</v>
      </c>
      <c r="I1370" t="s">
        <v>1165</v>
      </c>
      <c r="J1370" t="s">
        <v>447</v>
      </c>
      <c r="K1370" t="s">
        <v>6918</v>
      </c>
      <c r="L1370">
        <v>0.86</v>
      </c>
      <c r="M1370" t="s">
        <v>6919</v>
      </c>
      <c r="N1370" t="s">
        <v>6920</v>
      </c>
      <c r="O1370" t="s">
        <v>6921</v>
      </c>
      <c r="P1370" t="s">
        <v>485</v>
      </c>
      <c r="Q1370" t="s">
        <v>6845</v>
      </c>
      <c r="R1370" t="s">
        <v>6846</v>
      </c>
      <c r="S1370" t="s">
        <v>2885</v>
      </c>
      <c r="T1370" t="s">
        <v>2886</v>
      </c>
    </row>
    <row r="1371" spans="1:20">
      <c r="A1371" s="241">
        <v>44001</v>
      </c>
      <c r="B1371" t="s">
        <v>6922</v>
      </c>
      <c r="C1371" t="s">
        <v>475</v>
      </c>
      <c r="D1371" t="s">
        <v>1986</v>
      </c>
      <c r="E1371" t="s">
        <v>631</v>
      </c>
      <c r="F1371" t="s">
        <v>3408</v>
      </c>
      <c r="G1371" t="s">
        <v>1946</v>
      </c>
      <c r="H1371" t="s">
        <v>333</v>
      </c>
      <c r="I1371" t="s">
        <v>455</v>
      </c>
      <c r="J1371" t="s">
        <v>6923</v>
      </c>
      <c r="K1371" t="s">
        <v>6924</v>
      </c>
      <c r="L1371">
        <v>0.86</v>
      </c>
      <c r="M1371" t="s">
        <v>6925</v>
      </c>
      <c r="N1371" t="s">
        <v>6926</v>
      </c>
      <c r="O1371" t="s">
        <v>6927</v>
      </c>
      <c r="P1371" t="s">
        <v>485</v>
      </c>
      <c r="Q1371" t="s">
        <v>6845</v>
      </c>
      <c r="R1371" t="s">
        <v>6846</v>
      </c>
      <c r="S1371" t="s">
        <v>2885</v>
      </c>
      <c r="T1371" t="s">
        <v>2886</v>
      </c>
    </row>
    <row r="1372" spans="1:20">
      <c r="A1372" s="241">
        <v>44001</v>
      </c>
      <c r="B1372" t="s">
        <v>6928</v>
      </c>
      <c r="C1372" t="s">
        <v>3136</v>
      </c>
      <c r="D1372" t="s">
        <v>273</v>
      </c>
      <c r="E1372" t="s">
        <v>1139</v>
      </c>
      <c r="F1372" t="s">
        <v>1619</v>
      </c>
      <c r="G1372" t="s">
        <v>931</v>
      </c>
      <c r="H1372" t="s">
        <v>435</v>
      </c>
      <c r="I1372" t="s">
        <v>1631</v>
      </c>
      <c r="J1372" t="s">
        <v>6929</v>
      </c>
      <c r="K1372" t="s">
        <v>5949</v>
      </c>
      <c r="L1372">
        <v>0.86</v>
      </c>
      <c r="M1372" t="s">
        <v>6930</v>
      </c>
      <c r="N1372" t="s">
        <v>6931</v>
      </c>
      <c r="O1372" t="s">
        <v>6932</v>
      </c>
      <c r="P1372" t="s">
        <v>485</v>
      </c>
      <c r="Q1372" t="s">
        <v>6845</v>
      </c>
      <c r="R1372" t="s">
        <v>6846</v>
      </c>
      <c r="S1372" t="s">
        <v>2885</v>
      </c>
      <c r="T1372" t="s">
        <v>2886</v>
      </c>
    </row>
    <row r="1373" spans="1:20">
      <c r="A1373" s="241">
        <v>44001</v>
      </c>
      <c r="B1373" t="s">
        <v>6933</v>
      </c>
      <c r="C1373" t="s">
        <v>6912</v>
      </c>
      <c r="D1373" t="s">
        <v>6934</v>
      </c>
      <c r="E1373" t="s">
        <v>2810</v>
      </c>
      <c r="F1373" t="s">
        <v>6935</v>
      </c>
      <c r="G1373" t="s">
        <v>2238</v>
      </c>
      <c r="H1373" t="s">
        <v>2239</v>
      </c>
      <c r="I1373" t="s">
        <v>963</v>
      </c>
      <c r="J1373" t="s">
        <v>6936</v>
      </c>
      <c r="K1373" t="s">
        <v>4897</v>
      </c>
      <c r="L1373">
        <v>0.89</v>
      </c>
      <c r="M1373" t="s">
        <v>6937</v>
      </c>
      <c r="N1373" t="s">
        <v>6938</v>
      </c>
      <c r="O1373" t="s">
        <v>6939</v>
      </c>
      <c r="P1373" t="s">
        <v>485</v>
      </c>
      <c r="Q1373" t="s">
        <v>6845</v>
      </c>
      <c r="R1373" t="s">
        <v>6846</v>
      </c>
      <c r="S1373" t="s">
        <v>2885</v>
      </c>
      <c r="T1373" t="s">
        <v>2886</v>
      </c>
    </row>
    <row r="1374" spans="1:20">
      <c r="A1374" s="241">
        <v>44001</v>
      </c>
      <c r="B1374" t="s">
        <v>6940</v>
      </c>
      <c r="C1374" t="s">
        <v>6941</v>
      </c>
      <c r="D1374" t="s">
        <v>6942</v>
      </c>
      <c r="E1374" t="s">
        <v>3831</v>
      </c>
      <c r="F1374" t="s">
        <v>3688</v>
      </c>
      <c r="G1374" t="s">
        <v>981</v>
      </c>
      <c r="H1374" t="s">
        <v>6943</v>
      </c>
      <c r="I1374" t="s">
        <v>6944</v>
      </c>
      <c r="J1374" t="s">
        <v>6945</v>
      </c>
      <c r="K1374" t="s">
        <v>5476</v>
      </c>
      <c r="L1374">
        <v>0.89</v>
      </c>
      <c r="M1374" t="s">
        <v>6946</v>
      </c>
      <c r="N1374" t="s">
        <v>6947</v>
      </c>
      <c r="O1374" t="s">
        <v>6948</v>
      </c>
      <c r="P1374" t="s">
        <v>485</v>
      </c>
      <c r="Q1374" t="s">
        <v>6845</v>
      </c>
      <c r="R1374" t="s">
        <v>6846</v>
      </c>
      <c r="S1374" t="s">
        <v>2885</v>
      </c>
      <c r="T1374" t="s">
        <v>2886</v>
      </c>
    </row>
    <row r="1375" spans="1:20">
      <c r="A1375" s="241">
        <v>44001</v>
      </c>
      <c r="B1375" t="s">
        <v>6949</v>
      </c>
      <c r="C1375" t="s">
        <v>6950</v>
      </c>
      <c r="D1375" t="s">
        <v>6934</v>
      </c>
      <c r="E1375" t="s">
        <v>2636</v>
      </c>
      <c r="F1375" t="s">
        <v>1378</v>
      </c>
      <c r="G1375" t="s">
        <v>490</v>
      </c>
      <c r="H1375" t="s">
        <v>491</v>
      </c>
      <c r="I1375" t="s">
        <v>4908</v>
      </c>
      <c r="J1375" t="s">
        <v>6703</v>
      </c>
      <c r="K1375" t="s">
        <v>5273</v>
      </c>
      <c r="L1375">
        <v>0.89</v>
      </c>
      <c r="M1375" t="s">
        <v>6951</v>
      </c>
      <c r="N1375" t="s">
        <v>6952</v>
      </c>
      <c r="O1375" t="s">
        <v>6953</v>
      </c>
      <c r="P1375" t="s">
        <v>485</v>
      </c>
      <c r="Q1375" t="s">
        <v>6845</v>
      </c>
      <c r="R1375" t="s">
        <v>6846</v>
      </c>
      <c r="S1375" t="s">
        <v>2885</v>
      </c>
      <c r="T1375" t="s">
        <v>2886</v>
      </c>
    </row>
    <row r="1376" spans="1:20">
      <c r="A1376" s="241">
        <v>44001</v>
      </c>
      <c r="B1376" t="s">
        <v>6954</v>
      </c>
      <c r="C1376" t="s">
        <v>6102</v>
      </c>
      <c r="D1376" t="s">
        <v>2448</v>
      </c>
      <c r="E1376" t="s">
        <v>262</v>
      </c>
      <c r="F1376" t="s">
        <v>739</v>
      </c>
      <c r="G1376" t="s">
        <v>6955</v>
      </c>
      <c r="H1376" t="s">
        <v>6956</v>
      </c>
      <c r="I1376" t="s">
        <v>6957</v>
      </c>
      <c r="J1376" t="s">
        <v>6958</v>
      </c>
      <c r="K1376" t="s">
        <v>6959</v>
      </c>
      <c r="L1376">
        <v>0.88</v>
      </c>
      <c r="M1376" t="s">
        <v>6960</v>
      </c>
      <c r="N1376" t="s">
        <v>6961</v>
      </c>
      <c r="O1376" t="s">
        <v>6962</v>
      </c>
      <c r="P1376" t="s">
        <v>485</v>
      </c>
      <c r="Q1376" t="s">
        <v>6845</v>
      </c>
      <c r="R1376" t="s">
        <v>6846</v>
      </c>
      <c r="S1376" t="s">
        <v>2885</v>
      </c>
      <c r="T1376" t="s">
        <v>2886</v>
      </c>
    </row>
    <row r="1377" spans="1:20">
      <c r="A1377" s="241">
        <v>44001</v>
      </c>
      <c r="B1377" t="s">
        <v>6963</v>
      </c>
      <c r="C1377" t="s">
        <v>3679</v>
      </c>
      <c r="D1377" t="s">
        <v>262</v>
      </c>
      <c r="E1377" t="s">
        <v>615</v>
      </c>
      <c r="F1377" t="s">
        <v>287</v>
      </c>
      <c r="G1377" t="s">
        <v>2043</v>
      </c>
      <c r="H1377" t="s">
        <v>521</v>
      </c>
      <c r="I1377" t="s">
        <v>2472</v>
      </c>
      <c r="J1377" t="s">
        <v>543</v>
      </c>
      <c r="K1377" t="s">
        <v>338</v>
      </c>
      <c r="L1377">
        <v>0.87</v>
      </c>
      <c r="M1377" t="s">
        <v>6964</v>
      </c>
      <c r="N1377" t="s">
        <v>6965</v>
      </c>
      <c r="O1377" t="s">
        <v>6966</v>
      </c>
      <c r="P1377" t="s">
        <v>485</v>
      </c>
      <c r="Q1377" t="s">
        <v>6845</v>
      </c>
      <c r="R1377" t="s">
        <v>6846</v>
      </c>
      <c r="S1377" t="s">
        <v>2885</v>
      </c>
      <c r="T1377" t="s">
        <v>2886</v>
      </c>
    </row>
    <row r="1378" spans="1:20">
      <c r="A1378" s="241">
        <v>44001</v>
      </c>
      <c r="B1378" t="s">
        <v>6967</v>
      </c>
      <c r="C1378" t="s">
        <v>5284</v>
      </c>
      <c r="D1378" t="s">
        <v>462</v>
      </c>
      <c r="E1378" t="s">
        <v>1367</v>
      </c>
      <c r="F1378" t="s">
        <v>3554</v>
      </c>
      <c r="G1378" t="s">
        <v>3839</v>
      </c>
      <c r="H1378" t="s">
        <v>4642</v>
      </c>
      <c r="I1378" t="s">
        <v>1727</v>
      </c>
      <c r="J1378" t="s">
        <v>1245</v>
      </c>
      <c r="K1378" t="s">
        <v>408</v>
      </c>
      <c r="L1378">
        <v>0.87</v>
      </c>
      <c r="M1378" t="s">
        <v>6968</v>
      </c>
      <c r="N1378" t="s">
        <v>6969</v>
      </c>
      <c r="O1378" t="s">
        <v>6970</v>
      </c>
      <c r="P1378" t="s">
        <v>485</v>
      </c>
      <c r="Q1378" t="s">
        <v>6845</v>
      </c>
      <c r="R1378" t="s">
        <v>6846</v>
      </c>
      <c r="S1378" t="s">
        <v>2885</v>
      </c>
      <c r="T1378" t="s">
        <v>2886</v>
      </c>
    </row>
    <row r="1379" spans="1:20">
      <c r="A1379" s="241">
        <v>44001</v>
      </c>
      <c r="B1379" t="s">
        <v>6971</v>
      </c>
      <c r="C1379" t="s">
        <v>2821</v>
      </c>
      <c r="D1379" t="s">
        <v>3136</v>
      </c>
      <c r="E1379" t="s">
        <v>615</v>
      </c>
      <c r="F1379" t="s">
        <v>868</v>
      </c>
      <c r="G1379" t="s">
        <v>2043</v>
      </c>
      <c r="H1379" t="s">
        <v>1009</v>
      </c>
      <c r="I1379" t="s">
        <v>1427</v>
      </c>
      <c r="J1379" t="s">
        <v>1039</v>
      </c>
      <c r="K1379" t="s">
        <v>338</v>
      </c>
      <c r="L1379">
        <v>0.87</v>
      </c>
      <c r="M1379" t="s">
        <v>6972</v>
      </c>
      <c r="N1379" t="s">
        <v>6973</v>
      </c>
      <c r="O1379" t="s">
        <v>6974</v>
      </c>
      <c r="P1379" t="s">
        <v>485</v>
      </c>
      <c r="Q1379" t="s">
        <v>6845</v>
      </c>
      <c r="R1379" t="s">
        <v>6846</v>
      </c>
      <c r="S1379" t="s">
        <v>2885</v>
      </c>
      <c r="T1379" t="s">
        <v>2886</v>
      </c>
    </row>
    <row r="1380" spans="1:20">
      <c r="A1380" s="241">
        <v>44001</v>
      </c>
      <c r="B1380" t="s">
        <v>6975</v>
      </c>
      <c r="C1380" t="s">
        <v>3679</v>
      </c>
      <c r="D1380" t="s">
        <v>1367</v>
      </c>
      <c r="E1380" t="s">
        <v>615</v>
      </c>
      <c r="F1380" t="s">
        <v>2074</v>
      </c>
      <c r="G1380" t="s">
        <v>2034</v>
      </c>
      <c r="H1380" t="s">
        <v>2300</v>
      </c>
      <c r="I1380" t="s">
        <v>550</v>
      </c>
      <c r="J1380" t="s">
        <v>1039</v>
      </c>
      <c r="K1380" t="s">
        <v>327</v>
      </c>
      <c r="L1380">
        <v>0.87</v>
      </c>
      <c r="M1380" t="s">
        <v>6976</v>
      </c>
      <c r="N1380" t="s">
        <v>6977</v>
      </c>
      <c r="O1380" t="s">
        <v>6978</v>
      </c>
      <c r="P1380" t="s">
        <v>485</v>
      </c>
      <c r="Q1380" t="s">
        <v>6845</v>
      </c>
      <c r="R1380" t="s">
        <v>6846</v>
      </c>
      <c r="S1380" t="s">
        <v>2885</v>
      </c>
      <c r="T1380" t="s">
        <v>2886</v>
      </c>
    </row>
    <row r="1381" spans="1:20">
      <c r="A1381" s="241">
        <v>44001</v>
      </c>
      <c r="B1381" t="s">
        <v>6979</v>
      </c>
      <c r="C1381" t="s">
        <v>1176</v>
      </c>
      <c r="D1381" t="s">
        <v>3669</v>
      </c>
      <c r="E1381" t="s">
        <v>631</v>
      </c>
      <c r="F1381" t="s">
        <v>868</v>
      </c>
      <c r="G1381" t="s">
        <v>2053</v>
      </c>
      <c r="H1381" t="s">
        <v>531</v>
      </c>
      <c r="I1381" t="s">
        <v>560</v>
      </c>
      <c r="J1381" t="s">
        <v>1770</v>
      </c>
      <c r="K1381" t="s">
        <v>651</v>
      </c>
      <c r="L1381">
        <v>0.87</v>
      </c>
      <c r="M1381" t="s">
        <v>6980</v>
      </c>
      <c r="N1381" t="s">
        <v>6981</v>
      </c>
      <c r="O1381" t="s">
        <v>6982</v>
      </c>
      <c r="P1381" t="s">
        <v>485</v>
      </c>
      <c r="Q1381" t="s">
        <v>6845</v>
      </c>
      <c r="R1381" t="s">
        <v>6846</v>
      </c>
      <c r="S1381" t="s">
        <v>2885</v>
      </c>
      <c r="T1381" t="s">
        <v>2886</v>
      </c>
    </row>
    <row r="1382" spans="1:20">
      <c r="A1382" s="241">
        <v>44001</v>
      </c>
      <c r="B1382" t="s">
        <v>6983</v>
      </c>
      <c r="C1382" t="s">
        <v>6984</v>
      </c>
      <c r="D1382" t="s">
        <v>6985</v>
      </c>
      <c r="E1382" t="s">
        <v>5481</v>
      </c>
      <c r="F1382" t="s">
        <v>275</v>
      </c>
      <c r="G1382" t="s">
        <v>3160</v>
      </c>
      <c r="H1382" t="s">
        <v>1009</v>
      </c>
      <c r="I1382" t="s">
        <v>824</v>
      </c>
      <c r="J1382" t="s">
        <v>298</v>
      </c>
      <c r="K1382" t="s">
        <v>6986</v>
      </c>
      <c r="L1382">
        <v>0.87</v>
      </c>
      <c r="M1382" t="s">
        <v>6987</v>
      </c>
      <c r="N1382" t="s">
        <v>6988</v>
      </c>
      <c r="O1382" t="s">
        <v>6989</v>
      </c>
      <c r="P1382" t="s">
        <v>485</v>
      </c>
      <c r="Q1382" t="s">
        <v>6845</v>
      </c>
      <c r="R1382" t="s">
        <v>6846</v>
      </c>
      <c r="S1382" t="s">
        <v>2885</v>
      </c>
      <c r="T1382" t="s">
        <v>2886</v>
      </c>
    </row>
    <row r="1383" spans="1:20">
      <c r="A1383" s="241">
        <v>44001</v>
      </c>
      <c r="B1383" t="s">
        <v>6990</v>
      </c>
      <c r="C1383" t="s">
        <v>6985</v>
      </c>
      <c r="D1383" t="s">
        <v>5284</v>
      </c>
      <c r="E1383" t="s">
        <v>2821</v>
      </c>
      <c r="F1383" t="s">
        <v>822</v>
      </c>
      <c r="G1383" t="s">
        <v>777</v>
      </c>
      <c r="H1383" t="s">
        <v>1018</v>
      </c>
      <c r="I1383" t="s">
        <v>824</v>
      </c>
      <c r="J1383" t="s">
        <v>289</v>
      </c>
      <c r="K1383" t="s">
        <v>6918</v>
      </c>
      <c r="L1383">
        <v>0.87</v>
      </c>
      <c r="M1383" t="s">
        <v>6991</v>
      </c>
      <c r="N1383" t="s">
        <v>6992</v>
      </c>
      <c r="O1383" t="s">
        <v>6993</v>
      </c>
      <c r="P1383" t="s">
        <v>485</v>
      </c>
      <c r="Q1383" t="s">
        <v>6845</v>
      </c>
      <c r="R1383" t="s">
        <v>6846</v>
      </c>
      <c r="S1383" t="s">
        <v>2885</v>
      </c>
      <c r="T1383" t="s">
        <v>2886</v>
      </c>
    </row>
    <row r="1384" spans="1:20">
      <c r="A1384" s="241">
        <v>44001</v>
      </c>
      <c r="B1384" t="s">
        <v>6994</v>
      </c>
      <c r="C1384" t="s">
        <v>2448</v>
      </c>
      <c r="D1384" t="s">
        <v>1666</v>
      </c>
      <c r="E1384" t="s">
        <v>274</v>
      </c>
      <c r="F1384" t="s">
        <v>263</v>
      </c>
      <c r="G1384" t="s">
        <v>798</v>
      </c>
      <c r="H1384" t="s">
        <v>1426</v>
      </c>
      <c r="I1384" t="s">
        <v>1776</v>
      </c>
      <c r="J1384" t="s">
        <v>850</v>
      </c>
      <c r="K1384" t="s">
        <v>369</v>
      </c>
      <c r="L1384">
        <v>0.87</v>
      </c>
      <c r="M1384" t="s">
        <v>6995</v>
      </c>
      <c r="N1384" t="s">
        <v>6996</v>
      </c>
      <c r="O1384" t="s">
        <v>6997</v>
      </c>
      <c r="P1384" t="s">
        <v>485</v>
      </c>
      <c r="Q1384" t="s">
        <v>6845</v>
      </c>
      <c r="R1384" t="s">
        <v>6846</v>
      </c>
      <c r="S1384" t="s">
        <v>2885</v>
      </c>
      <c r="T1384" t="s">
        <v>2886</v>
      </c>
    </row>
    <row r="1385" spans="1:20">
      <c r="A1385" s="241">
        <v>44001</v>
      </c>
      <c r="B1385" t="s">
        <v>6998</v>
      </c>
      <c r="C1385" t="s">
        <v>1348</v>
      </c>
      <c r="D1385" t="s">
        <v>3669</v>
      </c>
      <c r="E1385" t="s">
        <v>423</v>
      </c>
      <c r="F1385" t="s">
        <v>275</v>
      </c>
      <c r="G1385" t="s">
        <v>1433</v>
      </c>
      <c r="H1385" t="s">
        <v>2324</v>
      </c>
      <c r="I1385" t="s">
        <v>278</v>
      </c>
      <c r="J1385" t="s">
        <v>298</v>
      </c>
      <c r="K1385" t="s">
        <v>408</v>
      </c>
      <c r="L1385">
        <v>0.87</v>
      </c>
      <c r="M1385" t="s">
        <v>6999</v>
      </c>
      <c r="N1385" t="s">
        <v>7000</v>
      </c>
      <c r="O1385" t="s">
        <v>7001</v>
      </c>
      <c r="P1385" t="s">
        <v>485</v>
      </c>
      <c r="Q1385" t="s">
        <v>6845</v>
      </c>
      <c r="R1385" t="s">
        <v>6846</v>
      </c>
      <c r="S1385" t="s">
        <v>2885</v>
      </c>
      <c r="T1385" t="s">
        <v>2886</v>
      </c>
    </row>
    <row r="1386" spans="1:20">
      <c r="A1386" s="241">
        <v>44001</v>
      </c>
      <c r="B1386" t="s">
        <v>7002</v>
      </c>
      <c r="C1386" t="s">
        <v>2644</v>
      </c>
      <c r="D1386" t="s">
        <v>3669</v>
      </c>
      <c r="E1386" t="s">
        <v>615</v>
      </c>
      <c r="F1386" t="s">
        <v>598</v>
      </c>
      <c r="G1386" t="s">
        <v>798</v>
      </c>
      <c r="H1386" t="s">
        <v>1746</v>
      </c>
      <c r="I1386" t="s">
        <v>1776</v>
      </c>
      <c r="J1386" t="s">
        <v>298</v>
      </c>
      <c r="K1386" t="s">
        <v>408</v>
      </c>
      <c r="L1386">
        <v>0.87</v>
      </c>
      <c r="M1386" t="s">
        <v>7003</v>
      </c>
      <c r="N1386" t="s">
        <v>7004</v>
      </c>
      <c r="O1386" t="s">
        <v>7005</v>
      </c>
      <c r="P1386" t="s">
        <v>485</v>
      </c>
      <c r="Q1386" t="s">
        <v>6845</v>
      </c>
      <c r="R1386" t="s">
        <v>6846</v>
      </c>
      <c r="S1386" t="s">
        <v>2885</v>
      </c>
      <c r="T1386" t="s">
        <v>2886</v>
      </c>
    </row>
    <row r="1387" spans="1:20">
      <c r="A1387" s="241">
        <v>44001</v>
      </c>
      <c r="B1387" t="s">
        <v>7006</v>
      </c>
      <c r="C1387" t="s">
        <v>2810</v>
      </c>
      <c r="D1387" t="s">
        <v>2626</v>
      </c>
      <c r="E1387" t="s">
        <v>442</v>
      </c>
      <c r="F1387" t="s">
        <v>855</v>
      </c>
      <c r="G1387" t="s">
        <v>1044</v>
      </c>
      <c r="H1387" t="s">
        <v>1388</v>
      </c>
      <c r="I1387" t="s">
        <v>288</v>
      </c>
      <c r="J1387" t="s">
        <v>620</v>
      </c>
      <c r="K1387" t="s">
        <v>722</v>
      </c>
      <c r="L1387">
        <v>0.87</v>
      </c>
      <c r="M1387" t="s">
        <v>7007</v>
      </c>
      <c r="N1387" t="s">
        <v>7008</v>
      </c>
      <c r="O1387" t="s">
        <v>7009</v>
      </c>
      <c r="P1387" t="s">
        <v>485</v>
      </c>
      <c r="Q1387" t="s">
        <v>6845</v>
      </c>
      <c r="R1387" t="s">
        <v>6846</v>
      </c>
      <c r="S1387" t="s">
        <v>2885</v>
      </c>
      <c r="T1387" t="s">
        <v>2886</v>
      </c>
    </row>
    <row r="1388" spans="1:20">
      <c r="A1388" s="241">
        <v>44001</v>
      </c>
      <c r="B1388" t="s">
        <v>7010</v>
      </c>
      <c r="C1388" t="s">
        <v>3831</v>
      </c>
      <c r="D1388" t="s">
        <v>3679</v>
      </c>
      <c r="E1388" t="s">
        <v>261</v>
      </c>
      <c r="F1388" t="s">
        <v>598</v>
      </c>
      <c r="G1388" t="s">
        <v>1442</v>
      </c>
      <c r="H1388" t="s">
        <v>1017</v>
      </c>
      <c r="I1388" t="s">
        <v>849</v>
      </c>
      <c r="J1388" t="s">
        <v>620</v>
      </c>
      <c r="K1388" t="s">
        <v>408</v>
      </c>
      <c r="L1388">
        <v>0.87</v>
      </c>
      <c r="M1388" t="s">
        <v>7011</v>
      </c>
      <c r="N1388" t="s">
        <v>7012</v>
      </c>
      <c r="O1388" t="s">
        <v>7013</v>
      </c>
      <c r="P1388" t="s">
        <v>485</v>
      </c>
      <c r="Q1388" t="s">
        <v>6845</v>
      </c>
      <c r="R1388" t="s">
        <v>6846</v>
      </c>
      <c r="S1388" t="s">
        <v>2885</v>
      </c>
      <c r="T1388" t="s">
        <v>2886</v>
      </c>
    </row>
    <row r="1389" spans="1:20">
      <c r="A1389" s="241">
        <v>44001</v>
      </c>
      <c r="B1389" t="s">
        <v>7014</v>
      </c>
      <c r="C1389" t="s">
        <v>2811</v>
      </c>
      <c r="D1389" t="s">
        <v>2810</v>
      </c>
      <c r="E1389" t="s">
        <v>237</v>
      </c>
      <c r="F1389" t="s">
        <v>285</v>
      </c>
      <c r="G1389" t="s">
        <v>210</v>
      </c>
      <c r="H1389" t="s">
        <v>287</v>
      </c>
      <c r="I1389" t="s">
        <v>849</v>
      </c>
      <c r="J1389" t="s">
        <v>620</v>
      </c>
      <c r="K1389" t="s">
        <v>428</v>
      </c>
      <c r="L1389">
        <v>0.87</v>
      </c>
      <c r="M1389" t="s">
        <v>7015</v>
      </c>
      <c r="N1389" t="s">
        <v>7016</v>
      </c>
      <c r="O1389" t="s">
        <v>7017</v>
      </c>
      <c r="P1389" t="s">
        <v>485</v>
      </c>
      <c r="Q1389" t="s">
        <v>6845</v>
      </c>
      <c r="R1389" t="s">
        <v>6846</v>
      </c>
      <c r="S1389" t="s">
        <v>2885</v>
      </c>
      <c r="T1389" t="s">
        <v>2886</v>
      </c>
    </row>
    <row r="1390" spans="1:20">
      <c r="A1390" s="241">
        <v>44001</v>
      </c>
      <c r="B1390" t="s">
        <v>7018</v>
      </c>
      <c r="C1390" t="s">
        <v>1666</v>
      </c>
      <c r="D1390" t="s">
        <v>1665</v>
      </c>
      <c r="E1390" t="s">
        <v>274</v>
      </c>
      <c r="F1390" t="s">
        <v>626</v>
      </c>
      <c r="G1390" t="s">
        <v>567</v>
      </c>
      <c r="H1390" t="s">
        <v>837</v>
      </c>
      <c r="I1390" t="s">
        <v>308</v>
      </c>
      <c r="J1390" t="s">
        <v>1092</v>
      </c>
      <c r="K1390" t="s">
        <v>428</v>
      </c>
      <c r="L1390">
        <v>0.87</v>
      </c>
      <c r="M1390" t="s">
        <v>7019</v>
      </c>
      <c r="N1390" t="s">
        <v>7020</v>
      </c>
      <c r="O1390" t="s">
        <v>7021</v>
      </c>
      <c r="P1390" t="s">
        <v>485</v>
      </c>
      <c r="Q1390" t="s">
        <v>6845</v>
      </c>
      <c r="R1390" t="s">
        <v>6846</v>
      </c>
      <c r="S1390" t="s">
        <v>2885</v>
      </c>
      <c r="T1390" t="s">
        <v>2886</v>
      </c>
    </row>
    <row r="1391" spans="1:20">
      <c r="A1391" s="241">
        <v>44001</v>
      </c>
      <c r="B1391" t="s">
        <v>7022</v>
      </c>
      <c r="C1391" t="s">
        <v>1176</v>
      </c>
      <c r="D1391" t="s">
        <v>3831</v>
      </c>
      <c r="E1391" t="s">
        <v>510</v>
      </c>
      <c r="F1391" t="s">
        <v>1591</v>
      </c>
      <c r="G1391" t="s">
        <v>296</v>
      </c>
      <c r="H1391" t="s">
        <v>585</v>
      </c>
      <c r="I1391" t="s">
        <v>1501</v>
      </c>
      <c r="J1391" t="s">
        <v>348</v>
      </c>
      <c r="K1391" t="s">
        <v>448</v>
      </c>
      <c r="L1391">
        <v>0.87</v>
      </c>
      <c r="M1391" t="s">
        <v>7023</v>
      </c>
      <c r="N1391" t="s">
        <v>7024</v>
      </c>
      <c r="O1391" t="s">
        <v>7025</v>
      </c>
      <c r="P1391" t="s">
        <v>485</v>
      </c>
      <c r="Q1391" t="s">
        <v>6845</v>
      </c>
      <c r="R1391" t="s">
        <v>6846</v>
      </c>
      <c r="S1391" t="s">
        <v>2885</v>
      </c>
      <c r="T1391" t="s">
        <v>2886</v>
      </c>
    </row>
    <row r="1392" spans="1:20">
      <c r="A1392" s="241">
        <v>44001</v>
      </c>
      <c r="B1392" t="s">
        <v>7026</v>
      </c>
      <c r="C1392" t="s">
        <v>2811</v>
      </c>
      <c r="D1392" t="s">
        <v>3831</v>
      </c>
      <c r="E1392" t="s">
        <v>261</v>
      </c>
      <c r="F1392" t="s">
        <v>2151</v>
      </c>
      <c r="G1392" t="s">
        <v>1263</v>
      </c>
      <c r="H1392" t="s">
        <v>2927</v>
      </c>
      <c r="I1392" t="s">
        <v>1494</v>
      </c>
      <c r="J1392" t="s">
        <v>1868</v>
      </c>
      <c r="K1392" t="s">
        <v>6918</v>
      </c>
      <c r="L1392">
        <v>0.87</v>
      </c>
      <c r="M1392" t="s">
        <v>7027</v>
      </c>
      <c r="N1392" t="s">
        <v>7028</v>
      </c>
      <c r="O1392" t="s">
        <v>7029</v>
      </c>
      <c r="P1392" t="s">
        <v>485</v>
      </c>
      <c r="Q1392" t="s">
        <v>6845</v>
      </c>
      <c r="R1392" t="s">
        <v>6846</v>
      </c>
      <c r="S1392" t="s">
        <v>2885</v>
      </c>
      <c r="T1392" t="s">
        <v>2886</v>
      </c>
    </row>
    <row r="1393" spans="1:20">
      <c r="A1393" s="241">
        <v>44001</v>
      </c>
      <c r="B1393" t="s">
        <v>7030</v>
      </c>
      <c r="C1393" t="s">
        <v>1176</v>
      </c>
      <c r="D1393" t="s">
        <v>2644</v>
      </c>
      <c r="E1393" t="s">
        <v>442</v>
      </c>
      <c r="F1393" t="s">
        <v>1109</v>
      </c>
      <c r="G1393" t="s">
        <v>2343</v>
      </c>
      <c r="H1393" t="s">
        <v>862</v>
      </c>
      <c r="I1393" t="s">
        <v>325</v>
      </c>
      <c r="J1393" t="s">
        <v>650</v>
      </c>
      <c r="K1393" t="s">
        <v>722</v>
      </c>
      <c r="L1393">
        <v>0.86</v>
      </c>
      <c r="M1393" t="s">
        <v>7031</v>
      </c>
      <c r="N1393" t="s">
        <v>7032</v>
      </c>
      <c r="O1393" t="s">
        <v>7033</v>
      </c>
      <c r="P1393" t="s">
        <v>485</v>
      </c>
      <c r="Q1393" t="s">
        <v>6845</v>
      </c>
      <c r="R1393" t="s">
        <v>6846</v>
      </c>
      <c r="S1393" t="s">
        <v>2885</v>
      </c>
      <c r="T1393" t="s">
        <v>2886</v>
      </c>
    </row>
    <row r="1394" spans="1:20">
      <c r="A1394" s="241">
        <v>44001</v>
      </c>
      <c r="B1394" t="s">
        <v>7034</v>
      </c>
      <c r="C1394" t="s">
        <v>2811</v>
      </c>
      <c r="D1394" t="s">
        <v>2644</v>
      </c>
      <c r="E1394" t="s">
        <v>249</v>
      </c>
      <c r="F1394" t="s">
        <v>639</v>
      </c>
      <c r="G1394" t="s">
        <v>607</v>
      </c>
      <c r="H1394" t="s">
        <v>316</v>
      </c>
      <c r="I1394" t="s">
        <v>1518</v>
      </c>
      <c r="J1394" t="s">
        <v>665</v>
      </c>
      <c r="K1394" t="s">
        <v>7035</v>
      </c>
      <c r="L1394">
        <v>0.86</v>
      </c>
      <c r="M1394" t="s">
        <v>7036</v>
      </c>
      <c r="N1394" t="s">
        <v>7037</v>
      </c>
      <c r="O1394" t="s">
        <v>7038</v>
      </c>
      <c r="P1394" t="s">
        <v>485</v>
      </c>
      <c r="Q1394" t="s">
        <v>6845</v>
      </c>
      <c r="R1394" t="s">
        <v>6846</v>
      </c>
      <c r="S1394" t="s">
        <v>2885</v>
      </c>
      <c r="T1394" t="s">
        <v>2886</v>
      </c>
    </row>
    <row r="1395" spans="1:20">
      <c r="A1395" s="241">
        <v>44001</v>
      </c>
      <c r="B1395" t="s">
        <v>7039</v>
      </c>
      <c r="C1395" t="s">
        <v>2811</v>
      </c>
      <c r="D1395" t="s">
        <v>2636</v>
      </c>
      <c r="E1395" t="s">
        <v>614</v>
      </c>
      <c r="F1395" t="s">
        <v>639</v>
      </c>
      <c r="G1395" t="s">
        <v>1081</v>
      </c>
      <c r="H1395" t="s">
        <v>2074</v>
      </c>
      <c r="I1395" t="s">
        <v>1518</v>
      </c>
      <c r="J1395" t="s">
        <v>665</v>
      </c>
      <c r="K1395" t="s">
        <v>6918</v>
      </c>
      <c r="L1395">
        <v>0.86</v>
      </c>
      <c r="M1395" t="s">
        <v>7040</v>
      </c>
      <c r="N1395" t="s">
        <v>7041</v>
      </c>
      <c r="O1395" t="s">
        <v>7042</v>
      </c>
      <c r="P1395" t="s">
        <v>485</v>
      </c>
      <c r="Q1395" t="s">
        <v>6845</v>
      </c>
      <c r="R1395" t="s">
        <v>6846</v>
      </c>
      <c r="S1395" t="s">
        <v>2885</v>
      </c>
      <c r="T1395" t="s">
        <v>2886</v>
      </c>
    </row>
    <row r="1396" spans="1:20">
      <c r="A1396" s="241">
        <v>44001</v>
      </c>
      <c r="B1396" t="s">
        <v>7043</v>
      </c>
      <c r="C1396" t="s">
        <v>1665</v>
      </c>
      <c r="D1396" t="s">
        <v>2644</v>
      </c>
      <c r="E1396" t="s">
        <v>614</v>
      </c>
      <c r="F1396" t="s">
        <v>633</v>
      </c>
      <c r="G1396" t="s">
        <v>3284</v>
      </c>
      <c r="H1396" t="s">
        <v>316</v>
      </c>
      <c r="I1396" t="s">
        <v>888</v>
      </c>
      <c r="J1396" t="s">
        <v>665</v>
      </c>
      <c r="K1396" t="s">
        <v>722</v>
      </c>
      <c r="L1396">
        <v>0.86</v>
      </c>
      <c r="M1396" t="s">
        <v>7044</v>
      </c>
      <c r="N1396" t="s">
        <v>7045</v>
      </c>
      <c r="O1396" t="s">
        <v>7046</v>
      </c>
      <c r="P1396" t="s">
        <v>485</v>
      </c>
      <c r="Q1396" t="s">
        <v>6845</v>
      </c>
      <c r="R1396" t="s">
        <v>6846</v>
      </c>
      <c r="S1396" t="s">
        <v>2885</v>
      </c>
      <c r="T1396" t="s">
        <v>2886</v>
      </c>
    </row>
    <row r="1397" spans="1:20">
      <c r="A1397" s="241">
        <v>44001</v>
      </c>
      <c r="B1397" t="s">
        <v>7047</v>
      </c>
      <c r="C1397" t="s">
        <v>1376</v>
      </c>
      <c r="D1397" t="s">
        <v>1377</v>
      </c>
      <c r="E1397" t="s">
        <v>274</v>
      </c>
      <c r="F1397" t="s">
        <v>887</v>
      </c>
      <c r="G1397" t="s">
        <v>2142</v>
      </c>
      <c r="H1397" t="s">
        <v>2074</v>
      </c>
      <c r="I1397" t="s">
        <v>357</v>
      </c>
      <c r="J1397" t="s">
        <v>368</v>
      </c>
      <c r="K1397" t="s">
        <v>6918</v>
      </c>
      <c r="L1397">
        <v>0.86</v>
      </c>
      <c r="M1397" t="s">
        <v>7048</v>
      </c>
      <c r="N1397" t="s">
        <v>7049</v>
      </c>
      <c r="O1397" t="s">
        <v>7050</v>
      </c>
      <c r="P1397" t="s">
        <v>485</v>
      </c>
      <c r="Q1397" t="s">
        <v>6845</v>
      </c>
      <c r="R1397" t="s">
        <v>6846</v>
      </c>
      <c r="S1397" t="s">
        <v>2885</v>
      </c>
      <c r="T1397" t="s">
        <v>2886</v>
      </c>
    </row>
    <row r="1398" spans="1:20">
      <c r="A1398" s="241">
        <v>44001</v>
      </c>
      <c r="B1398" t="s">
        <v>7051</v>
      </c>
      <c r="C1398" t="s">
        <v>1367</v>
      </c>
      <c r="D1398" t="s">
        <v>3831</v>
      </c>
      <c r="E1398" t="s">
        <v>237</v>
      </c>
      <c r="F1398" t="s">
        <v>454</v>
      </c>
      <c r="G1398" t="s">
        <v>1500</v>
      </c>
      <c r="H1398" t="s">
        <v>868</v>
      </c>
      <c r="I1398" t="s">
        <v>656</v>
      </c>
      <c r="J1398" t="s">
        <v>684</v>
      </c>
      <c r="K1398" t="s">
        <v>7052</v>
      </c>
      <c r="L1398">
        <v>0.86</v>
      </c>
      <c r="M1398" t="s">
        <v>7053</v>
      </c>
      <c r="N1398" t="s">
        <v>7054</v>
      </c>
      <c r="O1398" t="s">
        <v>7055</v>
      </c>
      <c r="P1398" t="s">
        <v>485</v>
      </c>
      <c r="Q1398" t="s">
        <v>6845</v>
      </c>
      <c r="R1398" t="s">
        <v>6846</v>
      </c>
      <c r="S1398" t="s">
        <v>2885</v>
      </c>
      <c r="T1398" t="s">
        <v>2886</v>
      </c>
    </row>
    <row r="1399" spans="1:20">
      <c r="A1399" s="241">
        <v>44001</v>
      </c>
      <c r="B1399" t="s">
        <v>7056</v>
      </c>
      <c r="C1399" t="s">
        <v>2636</v>
      </c>
      <c r="D1399" t="s">
        <v>488</v>
      </c>
      <c r="E1399" t="s">
        <v>274</v>
      </c>
      <c r="F1399" t="s">
        <v>354</v>
      </c>
      <c r="G1399" t="s">
        <v>1292</v>
      </c>
      <c r="H1399" t="s">
        <v>868</v>
      </c>
      <c r="I1399" t="s">
        <v>1523</v>
      </c>
      <c r="J1399" t="s">
        <v>684</v>
      </c>
      <c r="K1399" t="s">
        <v>5949</v>
      </c>
      <c r="L1399">
        <v>0.86</v>
      </c>
      <c r="M1399" t="s">
        <v>7057</v>
      </c>
      <c r="N1399" t="s">
        <v>7058</v>
      </c>
      <c r="O1399" t="s">
        <v>7059</v>
      </c>
      <c r="P1399" t="s">
        <v>485</v>
      </c>
      <c r="Q1399" t="s">
        <v>6845</v>
      </c>
      <c r="R1399" t="s">
        <v>6846</v>
      </c>
      <c r="S1399" t="s">
        <v>2885</v>
      </c>
      <c r="T1399" t="s">
        <v>2886</v>
      </c>
    </row>
    <row r="1400" spans="1:20">
      <c r="A1400" s="241">
        <v>44001</v>
      </c>
      <c r="B1400" t="s">
        <v>7060</v>
      </c>
      <c r="C1400" t="s">
        <v>2644</v>
      </c>
      <c r="D1400" t="s">
        <v>1367</v>
      </c>
      <c r="E1400" t="s">
        <v>442</v>
      </c>
      <c r="F1400" t="s">
        <v>1541</v>
      </c>
      <c r="G1400" t="s">
        <v>1841</v>
      </c>
      <c r="H1400" t="s">
        <v>1056</v>
      </c>
      <c r="I1400" t="s">
        <v>1563</v>
      </c>
      <c r="J1400" t="s">
        <v>1141</v>
      </c>
      <c r="K1400" t="s">
        <v>7052</v>
      </c>
      <c r="L1400">
        <v>0.86</v>
      </c>
      <c r="M1400" t="s">
        <v>7061</v>
      </c>
      <c r="N1400" t="s">
        <v>7062</v>
      </c>
      <c r="O1400" t="s">
        <v>7063</v>
      </c>
      <c r="P1400" t="s">
        <v>485</v>
      </c>
      <c r="Q1400" t="s">
        <v>6845</v>
      </c>
      <c r="R1400" t="s">
        <v>6846</v>
      </c>
      <c r="S1400" t="s">
        <v>2885</v>
      </c>
      <c r="T1400" t="s">
        <v>2886</v>
      </c>
    </row>
    <row r="1401" spans="1:20">
      <c r="A1401" s="241">
        <v>44001</v>
      </c>
      <c r="B1401" t="s">
        <v>7064</v>
      </c>
      <c r="C1401" t="s">
        <v>2811</v>
      </c>
      <c r="D1401" t="s">
        <v>1367</v>
      </c>
      <c r="E1401" t="s">
        <v>294</v>
      </c>
      <c r="F1401" t="s">
        <v>689</v>
      </c>
      <c r="G1401" t="s">
        <v>1292</v>
      </c>
      <c r="H1401" t="s">
        <v>649</v>
      </c>
      <c r="I1401" t="s">
        <v>1134</v>
      </c>
      <c r="J1401" t="s">
        <v>919</v>
      </c>
      <c r="K1401" t="s">
        <v>7065</v>
      </c>
      <c r="L1401">
        <v>0.86</v>
      </c>
      <c r="M1401" t="s">
        <v>7066</v>
      </c>
      <c r="N1401" t="s">
        <v>7067</v>
      </c>
      <c r="O1401" t="s">
        <v>7068</v>
      </c>
      <c r="P1401" t="s">
        <v>485</v>
      </c>
      <c r="Q1401" t="s">
        <v>6845</v>
      </c>
      <c r="R1401" t="s">
        <v>6846</v>
      </c>
      <c r="S1401" t="s">
        <v>2885</v>
      </c>
      <c r="T1401" t="s">
        <v>2886</v>
      </c>
    </row>
    <row r="1402" spans="1:20">
      <c r="A1402" s="241">
        <v>44001</v>
      </c>
      <c r="B1402" t="s">
        <v>7069</v>
      </c>
      <c r="C1402" t="s">
        <v>2811</v>
      </c>
      <c r="D1402" t="s">
        <v>2810</v>
      </c>
      <c r="E1402" t="s">
        <v>625</v>
      </c>
      <c r="F1402" t="s">
        <v>1561</v>
      </c>
      <c r="G1402" t="s">
        <v>648</v>
      </c>
      <c r="H1402" t="s">
        <v>1262</v>
      </c>
      <c r="I1402" t="s">
        <v>1134</v>
      </c>
      <c r="J1402" t="s">
        <v>919</v>
      </c>
      <c r="K1402" t="s">
        <v>7065</v>
      </c>
      <c r="L1402">
        <v>0.86</v>
      </c>
      <c r="M1402" t="s">
        <v>7070</v>
      </c>
      <c r="N1402" t="s">
        <v>7071</v>
      </c>
      <c r="O1402" t="s">
        <v>7072</v>
      </c>
      <c r="P1402" t="s">
        <v>485</v>
      </c>
      <c r="Q1402" t="s">
        <v>6845</v>
      </c>
      <c r="R1402" t="s">
        <v>6846</v>
      </c>
      <c r="S1402" t="s">
        <v>2885</v>
      </c>
      <c r="T1402" t="s">
        <v>2886</v>
      </c>
    </row>
    <row r="1403" spans="1:20">
      <c r="A1403" s="241">
        <v>44001</v>
      </c>
      <c r="B1403" t="s">
        <v>7073</v>
      </c>
      <c r="C1403" t="s">
        <v>2448</v>
      </c>
      <c r="D1403" t="s">
        <v>1986</v>
      </c>
      <c r="E1403" t="s">
        <v>442</v>
      </c>
      <c r="F1403" t="s">
        <v>917</v>
      </c>
      <c r="G1403" t="s">
        <v>2177</v>
      </c>
      <c r="H1403" t="s">
        <v>598</v>
      </c>
      <c r="I1403" t="s">
        <v>690</v>
      </c>
      <c r="J1403" t="s">
        <v>1304</v>
      </c>
      <c r="K1403" t="s">
        <v>7065</v>
      </c>
      <c r="L1403">
        <v>0.86</v>
      </c>
      <c r="M1403" t="s">
        <v>7074</v>
      </c>
      <c r="N1403" t="s">
        <v>7075</v>
      </c>
      <c r="O1403" t="s">
        <v>7076</v>
      </c>
      <c r="P1403" t="s">
        <v>485</v>
      </c>
      <c r="Q1403" t="s">
        <v>6845</v>
      </c>
      <c r="R1403" t="s">
        <v>6846</v>
      </c>
      <c r="S1403" t="s">
        <v>2885</v>
      </c>
      <c r="T1403" t="s">
        <v>2886</v>
      </c>
    </row>
    <row r="1404" spans="1:20">
      <c r="A1404" s="241">
        <v>44001</v>
      </c>
      <c r="B1404" t="s">
        <v>7077</v>
      </c>
      <c r="C1404" t="s">
        <v>1176</v>
      </c>
      <c r="D1404" t="s">
        <v>2644</v>
      </c>
      <c r="E1404" t="s">
        <v>261</v>
      </c>
      <c r="F1404" t="s">
        <v>1561</v>
      </c>
      <c r="G1404" t="s">
        <v>2774</v>
      </c>
      <c r="H1404" t="s">
        <v>682</v>
      </c>
      <c r="I1404" t="s">
        <v>1140</v>
      </c>
      <c r="J1404" t="s">
        <v>954</v>
      </c>
      <c r="K1404" t="s">
        <v>7078</v>
      </c>
      <c r="L1404">
        <v>0.86</v>
      </c>
      <c r="M1404" t="s">
        <v>7079</v>
      </c>
      <c r="N1404" t="s">
        <v>7080</v>
      </c>
      <c r="O1404" t="s">
        <v>7081</v>
      </c>
      <c r="P1404" t="s">
        <v>485</v>
      </c>
      <c r="Q1404" t="s">
        <v>6845</v>
      </c>
      <c r="R1404" t="s">
        <v>6846</v>
      </c>
      <c r="S1404" t="s">
        <v>2885</v>
      </c>
      <c r="T1404" t="s">
        <v>2886</v>
      </c>
    </row>
    <row r="1405" spans="1:20">
      <c r="A1405" s="241">
        <v>44001</v>
      </c>
      <c r="B1405" t="s">
        <v>7082</v>
      </c>
      <c r="C1405" t="s">
        <v>3679</v>
      </c>
      <c r="D1405" t="s">
        <v>1666</v>
      </c>
      <c r="E1405" t="s">
        <v>224</v>
      </c>
      <c r="F1405" t="s">
        <v>662</v>
      </c>
      <c r="G1405" t="s">
        <v>2177</v>
      </c>
      <c r="H1405" t="s">
        <v>682</v>
      </c>
      <c r="I1405" t="s">
        <v>698</v>
      </c>
      <c r="J1405" t="s">
        <v>940</v>
      </c>
      <c r="K1405" t="s">
        <v>7083</v>
      </c>
      <c r="L1405">
        <v>0.86</v>
      </c>
      <c r="M1405" t="s">
        <v>7084</v>
      </c>
      <c r="N1405" t="s">
        <v>7085</v>
      </c>
      <c r="O1405" t="s">
        <v>7086</v>
      </c>
      <c r="P1405" t="s">
        <v>485</v>
      </c>
      <c r="Q1405" t="s">
        <v>6845</v>
      </c>
      <c r="R1405" t="s">
        <v>6846</v>
      </c>
      <c r="S1405" t="s">
        <v>2885</v>
      </c>
      <c r="T1405" t="s">
        <v>2886</v>
      </c>
    </row>
    <row r="1406" spans="1:20">
      <c r="A1406" s="241">
        <v>44001</v>
      </c>
      <c r="B1406" t="s">
        <v>7087</v>
      </c>
      <c r="C1406" t="s">
        <v>1666</v>
      </c>
      <c r="D1406" t="s">
        <v>2644</v>
      </c>
      <c r="E1406" t="s">
        <v>442</v>
      </c>
      <c r="F1406" t="s">
        <v>904</v>
      </c>
      <c r="G1406" t="s">
        <v>1590</v>
      </c>
      <c r="H1406" t="s">
        <v>395</v>
      </c>
      <c r="I1406" t="s">
        <v>406</v>
      </c>
      <c r="J1406" t="s">
        <v>1159</v>
      </c>
      <c r="K1406" t="s">
        <v>7088</v>
      </c>
      <c r="L1406">
        <v>0.86</v>
      </c>
      <c r="M1406" t="s">
        <v>7089</v>
      </c>
      <c r="N1406" t="s">
        <v>7090</v>
      </c>
      <c r="O1406" t="s">
        <v>7091</v>
      </c>
      <c r="P1406" t="s">
        <v>485</v>
      </c>
      <c r="Q1406" t="s">
        <v>6845</v>
      </c>
      <c r="R1406" t="s">
        <v>6846</v>
      </c>
      <c r="S1406" t="s">
        <v>2885</v>
      </c>
      <c r="T1406" t="s">
        <v>2886</v>
      </c>
    </row>
    <row r="1407" spans="1:20">
      <c r="A1407" s="241">
        <v>44001</v>
      </c>
      <c r="B1407" t="s">
        <v>7092</v>
      </c>
      <c r="C1407" t="s">
        <v>2431</v>
      </c>
      <c r="D1407" t="s">
        <v>2810</v>
      </c>
      <c r="E1407" t="s">
        <v>615</v>
      </c>
      <c r="F1407" t="s">
        <v>1303</v>
      </c>
      <c r="G1407" t="s">
        <v>918</v>
      </c>
      <c r="H1407" t="s">
        <v>405</v>
      </c>
      <c r="I1407" t="s">
        <v>939</v>
      </c>
      <c r="J1407" t="s">
        <v>6929</v>
      </c>
      <c r="K1407" t="s">
        <v>7093</v>
      </c>
      <c r="L1407">
        <v>0.86</v>
      </c>
      <c r="M1407" t="s">
        <v>7094</v>
      </c>
      <c r="N1407" t="s">
        <v>7095</v>
      </c>
      <c r="O1407" t="s">
        <v>7096</v>
      </c>
      <c r="P1407" t="s">
        <v>485</v>
      </c>
      <c r="Q1407" t="s">
        <v>6845</v>
      </c>
      <c r="R1407" t="s">
        <v>6846</v>
      </c>
      <c r="S1407" t="s">
        <v>2885</v>
      </c>
      <c r="T1407" t="s">
        <v>2886</v>
      </c>
    </row>
    <row r="1408" spans="1:20">
      <c r="A1408" s="241">
        <v>44001</v>
      </c>
      <c r="B1408" t="s">
        <v>7097</v>
      </c>
      <c r="C1408" t="s">
        <v>1176</v>
      </c>
      <c r="D1408" t="s">
        <v>2626</v>
      </c>
      <c r="E1408" t="s">
        <v>207</v>
      </c>
      <c r="F1408" t="s">
        <v>952</v>
      </c>
      <c r="G1408" t="s">
        <v>1568</v>
      </c>
      <c r="H1408" t="s">
        <v>1511</v>
      </c>
      <c r="I1408" t="s">
        <v>446</v>
      </c>
      <c r="J1408" t="s">
        <v>7098</v>
      </c>
      <c r="K1408" t="s">
        <v>5414</v>
      </c>
      <c r="L1408">
        <v>0.86</v>
      </c>
      <c r="M1408" t="s">
        <v>7099</v>
      </c>
      <c r="N1408" t="s">
        <v>7100</v>
      </c>
      <c r="O1408" t="s">
        <v>7101</v>
      </c>
      <c r="P1408" t="s">
        <v>485</v>
      </c>
      <c r="Q1408" t="s">
        <v>6845</v>
      </c>
      <c r="R1408" t="s">
        <v>6846</v>
      </c>
      <c r="S1408" t="s">
        <v>2885</v>
      </c>
      <c r="T1408" t="s">
        <v>2886</v>
      </c>
    </row>
    <row r="1409" spans="1:20">
      <c r="A1409" s="241">
        <v>44001</v>
      </c>
      <c r="B1409" t="s">
        <v>7102</v>
      </c>
      <c r="C1409" t="s">
        <v>2636</v>
      </c>
      <c r="D1409" t="s">
        <v>3669</v>
      </c>
      <c r="E1409" t="s">
        <v>237</v>
      </c>
      <c r="F1409" t="s">
        <v>403</v>
      </c>
      <c r="G1409" t="s">
        <v>1610</v>
      </c>
      <c r="H1409" t="s">
        <v>1591</v>
      </c>
      <c r="I1409" t="s">
        <v>1165</v>
      </c>
      <c r="J1409" t="s">
        <v>6929</v>
      </c>
      <c r="K1409" t="s">
        <v>5414</v>
      </c>
      <c r="L1409">
        <v>0.86</v>
      </c>
      <c r="M1409" t="s">
        <v>7103</v>
      </c>
      <c r="N1409" t="s">
        <v>7104</v>
      </c>
      <c r="O1409" t="s">
        <v>7105</v>
      </c>
      <c r="P1409" t="s">
        <v>485</v>
      </c>
      <c r="Q1409" t="s">
        <v>6845</v>
      </c>
      <c r="R1409" t="s">
        <v>6846</v>
      </c>
      <c r="S1409" t="s">
        <v>2885</v>
      </c>
      <c r="T1409" t="s">
        <v>2886</v>
      </c>
    </row>
    <row r="1410" spans="1:20">
      <c r="A1410" s="241">
        <v>44001</v>
      </c>
      <c r="B1410" t="s">
        <v>7106</v>
      </c>
      <c r="C1410" t="s">
        <v>2811</v>
      </c>
      <c r="D1410" t="s">
        <v>2810</v>
      </c>
      <c r="E1410" t="s">
        <v>442</v>
      </c>
      <c r="F1410" t="s">
        <v>1177</v>
      </c>
      <c r="G1410" t="s">
        <v>705</v>
      </c>
      <c r="H1410" t="s">
        <v>435</v>
      </c>
      <c r="I1410" t="s">
        <v>1631</v>
      </c>
      <c r="J1410" t="s">
        <v>6923</v>
      </c>
      <c r="K1410" t="s">
        <v>7078</v>
      </c>
      <c r="L1410">
        <v>0.86</v>
      </c>
      <c r="M1410" t="s">
        <v>7107</v>
      </c>
      <c r="N1410" t="s">
        <v>7108</v>
      </c>
      <c r="O1410" t="s">
        <v>7109</v>
      </c>
      <c r="P1410" t="s">
        <v>485</v>
      </c>
      <c r="Q1410" t="s">
        <v>6845</v>
      </c>
      <c r="R1410" t="s">
        <v>6846</v>
      </c>
      <c r="S1410" t="s">
        <v>2885</v>
      </c>
      <c r="T1410" t="s">
        <v>2886</v>
      </c>
    </row>
    <row r="1411" spans="1:20">
      <c r="A1411" s="241">
        <v>44001</v>
      </c>
      <c r="B1411" t="s">
        <v>7110</v>
      </c>
      <c r="C1411" t="s">
        <v>1666</v>
      </c>
      <c r="D1411" t="s">
        <v>2644</v>
      </c>
      <c r="E1411" t="s">
        <v>207</v>
      </c>
      <c r="F1411" t="s">
        <v>1945</v>
      </c>
      <c r="G1411" t="s">
        <v>925</v>
      </c>
      <c r="H1411" t="s">
        <v>7111</v>
      </c>
      <c r="I1411" t="s">
        <v>4171</v>
      </c>
      <c r="J1411" t="s">
        <v>3530</v>
      </c>
      <c r="K1411" t="s">
        <v>4177</v>
      </c>
      <c r="L1411">
        <v>0.86</v>
      </c>
      <c r="M1411" t="s">
        <v>7112</v>
      </c>
      <c r="N1411" t="s">
        <v>7113</v>
      </c>
      <c r="O1411" t="s">
        <v>7114</v>
      </c>
      <c r="P1411" t="s">
        <v>485</v>
      </c>
      <c r="Q1411" t="s">
        <v>6845</v>
      </c>
      <c r="R1411" t="s">
        <v>6846</v>
      </c>
      <c r="S1411" t="s">
        <v>2885</v>
      </c>
      <c r="T1411" t="s">
        <v>2886</v>
      </c>
    </row>
    <row r="1412" spans="1:20">
      <c r="A1412" s="241">
        <v>44001</v>
      </c>
      <c r="B1412" t="s">
        <v>7115</v>
      </c>
      <c r="C1412" t="s">
        <v>7116</v>
      </c>
      <c r="D1412" t="s">
        <v>7117</v>
      </c>
      <c r="E1412" t="s">
        <v>736</v>
      </c>
      <c r="F1412" t="s">
        <v>3127</v>
      </c>
      <c r="G1412" t="s">
        <v>477</v>
      </c>
      <c r="H1412" t="s">
        <v>2822</v>
      </c>
      <c r="I1412" t="s">
        <v>7118</v>
      </c>
      <c r="J1412" t="s">
        <v>7119</v>
      </c>
      <c r="K1412" t="s">
        <v>4349</v>
      </c>
      <c r="L1412">
        <v>0.89</v>
      </c>
      <c r="M1412" t="s">
        <v>7120</v>
      </c>
      <c r="N1412" t="s">
        <v>7121</v>
      </c>
      <c r="O1412" t="s">
        <v>7122</v>
      </c>
      <c r="P1412" t="s">
        <v>485</v>
      </c>
      <c r="Q1412" t="s">
        <v>6845</v>
      </c>
      <c r="R1412" t="s">
        <v>6846</v>
      </c>
      <c r="S1412" t="s">
        <v>2885</v>
      </c>
      <c r="T1412" t="s">
        <v>2886</v>
      </c>
    </row>
    <row r="1413" spans="1:20">
      <c r="A1413" s="241">
        <v>44001</v>
      </c>
      <c r="B1413" t="s">
        <v>7123</v>
      </c>
      <c r="C1413" t="s">
        <v>7124</v>
      </c>
      <c r="D1413" t="s">
        <v>7125</v>
      </c>
      <c r="E1413" t="s">
        <v>1195</v>
      </c>
      <c r="F1413" t="s">
        <v>1667</v>
      </c>
      <c r="G1413" t="s">
        <v>1656</v>
      </c>
      <c r="H1413" t="s">
        <v>7126</v>
      </c>
      <c r="I1413" t="s">
        <v>3978</v>
      </c>
      <c r="J1413" t="s">
        <v>1988</v>
      </c>
      <c r="K1413" t="s">
        <v>5476</v>
      </c>
      <c r="L1413">
        <v>0.9</v>
      </c>
      <c r="M1413" t="s">
        <v>7127</v>
      </c>
      <c r="N1413" t="s">
        <v>7128</v>
      </c>
      <c r="O1413" t="s">
        <v>7129</v>
      </c>
      <c r="P1413" t="s">
        <v>485</v>
      </c>
      <c r="Q1413" t="s">
        <v>6845</v>
      </c>
      <c r="R1413" t="s">
        <v>6846</v>
      </c>
      <c r="S1413" t="s">
        <v>2885</v>
      </c>
      <c r="T1413" t="s">
        <v>2886</v>
      </c>
    </row>
    <row r="1414" spans="1:20">
      <c r="A1414" s="241">
        <v>44001</v>
      </c>
      <c r="B1414" t="s">
        <v>7130</v>
      </c>
      <c r="C1414" t="s">
        <v>7131</v>
      </c>
      <c r="D1414" t="s">
        <v>7132</v>
      </c>
      <c r="E1414" t="s">
        <v>747</v>
      </c>
      <c r="F1414" t="s">
        <v>972</v>
      </c>
      <c r="G1414" t="s">
        <v>7133</v>
      </c>
      <c r="H1414" t="s">
        <v>7134</v>
      </c>
      <c r="I1414" t="s">
        <v>7135</v>
      </c>
      <c r="J1414" t="s">
        <v>993</v>
      </c>
      <c r="K1414" t="s">
        <v>985</v>
      </c>
      <c r="L1414">
        <v>0.89</v>
      </c>
      <c r="M1414" t="s">
        <v>7136</v>
      </c>
      <c r="N1414" t="s">
        <v>7137</v>
      </c>
      <c r="O1414" t="s">
        <v>7138</v>
      </c>
      <c r="P1414" t="s">
        <v>485</v>
      </c>
      <c r="Q1414" t="s">
        <v>6845</v>
      </c>
      <c r="R1414" t="s">
        <v>6846</v>
      </c>
      <c r="S1414" t="s">
        <v>2885</v>
      </c>
      <c r="T1414" t="s">
        <v>2886</v>
      </c>
    </row>
    <row r="1415" spans="1:20">
      <c r="A1415" s="241">
        <v>44001</v>
      </c>
      <c r="B1415" t="s">
        <v>7139</v>
      </c>
      <c r="C1415" t="s">
        <v>2431</v>
      </c>
      <c r="D1415" t="s">
        <v>3831</v>
      </c>
      <c r="E1415" t="s">
        <v>261</v>
      </c>
      <c r="F1415" t="s">
        <v>2300</v>
      </c>
      <c r="G1415" t="s">
        <v>7140</v>
      </c>
      <c r="H1415" t="s">
        <v>7141</v>
      </c>
      <c r="I1415" t="s">
        <v>1001</v>
      </c>
      <c r="J1415" t="s">
        <v>6715</v>
      </c>
      <c r="K1415" t="s">
        <v>256</v>
      </c>
      <c r="L1415">
        <v>0.87</v>
      </c>
      <c r="M1415" t="s">
        <v>7142</v>
      </c>
      <c r="N1415" t="s">
        <v>7143</v>
      </c>
      <c r="O1415" t="s">
        <v>7144</v>
      </c>
      <c r="P1415" t="s">
        <v>485</v>
      </c>
      <c r="Q1415" t="s">
        <v>6845</v>
      </c>
      <c r="R1415" t="s">
        <v>6846</v>
      </c>
      <c r="S1415" t="s">
        <v>2885</v>
      </c>
      <c r="T1415" t="s">
        <v>2886</v>
      </c>
    </row>
    <row r="1416" spans="1:20">
      <c r="A1416" s="241">
        <v>44001</v>
      </c>
      <c r="B1416" t="s">
        <v>7145</v>
      </c>
      <c r="C1416" t="s">
        <v>3669</v>
      </c>
      <c r="D1416" t="s">
        <v>2644</v>
      </c>
      <c r="E1416" t="s">
        <v>236</v>
      </c>
      <c r="F1416" t="s">
        <v>1677</v>
      </c>
      <c r="G1416" t="s">
        <v>2004</v>
      </c>
      <c r="H1416" t="s">
        <v>6714</v>
      </c>
      <c r="I1416" t="s">
        <v>1010</v>
      </c>
      <c r="J1416" t="s">
        <v>1233</v>
      </c>
      <c r="K1416" t="s">
        <v>651</v>
      </c>
      <c r="L1416">
        <v>0.87</v>
      </c>
      <c r="M1416" t="s">
        <v>7146</v>
      </c>
      <c r="N1416" t="s">
        <v>7147</v>
      </c>
      <c r="O1416" t="s">
        <v>7148</v>
      </c>
      <c r="P1416" t="s">
        <v>485</v>
      </c>
      <c r="Q1416" t="s">
        <v>6845</v>
      </c>
      <c r="R1416" t="s">
        <v>6846</v>
      </c>
      <c r="S1416" t="s">
        <v>2885</v>
      </c>
      <c r="T1416" t="s">
        <v>2886</v>
      </c>
    </row>
    <row r="1417" spans="1:20">
      <c r="A1417" s="241">
        <v>44001</v>
      </c>
      <c r="B1417" t="s">
        <v>7149</v>
      </c>
      <c r="C1417" t="s">
        <v>2811</v>
      </c>
      <c r="D1417" t="s">
        <v>1666</v>
      </c>
      <c r="E1417" t="s">
        <v>249</v>
      </c>
      <c r="F1417" t="s">
        <v>253</v>
      </c>
      <c r="G1417" t="s">
        <v>3160</v>
      </c>
      <c r="H1417" t="s">
        <v>1000</v>
      </c>
      <c r="I1417" t="s">
        <v>2024</v>
      </c>
      <c r="J1417" t="s">
        <v>543</v>
      </c>
      <c r="K1417" t="s">
        <v>327</v>
      </c>
      <c r="L1417">
        <v>0.87</v>
      </c>
      <c r="M1417" t="s">
        <v>7150</v>
      </c>
      <c r="N1417" t="s">
        <v>7151</v>
      </c>
      <c r="O1417" t="s">
        <v>7152</v>
      </c>
      <c r="P1417" t="s">
        <v>485</v>
      </c>
      <c r="Q1417" t="s">
        <v>6845</v>
      </c>
      <c r="R1417" t="s">
        <v>6846</v>
      </c>
      <c r="S1417" t="s">
        <v>2885</v>
      </c>
      <c r="T1417" t="s">
        <v>2886</v>
      </c>
    </row>
    <row r="1418" spans="1:20">
      <c r="A1418" s="241">
        <v>44001</v>
      </c>
      <c r="B1418" t="s">
        <v>7153</v>
      </c>
      <c r="C1418" t="s">
        <v>2811</v>
      </c>
      <c r="D1418" t="s">
        <v>1665</v>
      </c>
      <c r="E1418" t="s">
        <v>274</v>
      </c>
      <c r="F1418" t="s">
        <v>1478</v>
      </c>
      <c r="G1418" t="s">
        <v>511</v>
      </c>
      <c r="H1418" t="s">
        <v>1000</v>
      </c>
      <c r="I1418" t="s">
        <v>1226</v>
      </c>
      <c r="J1418" t="s">
        <v>1240</v>
      </c>
      <c r="K1418" t="s">
        <v>349</v>
      </c>
      <c r="L1418">
        <v>0.87</v>
      </c>
      <c r="M1418" t="s">
        <v>7154</v>
      </c>
      <c r="N1418" t="s">
        <v>7155</v>
      </c>
      <c r="O1418" t="s">
        <v>7156</v>
      </c>
      <c r="P1418" t="s">
        <v>485</v>
      </c>
      <c r="Q1418" t="s">
        <v>6845</v>
      </c>
      <c r="R1418" t="s">
        <v>6846</v>
      </c>
      <c r="S1418" t="s">
        <v>2885</v>
      </c>
      <c r="T1418" t="s">
        <v>2886</v>
      </c>
    </row>
    <row r="1419" spans="1:20">
      <c r="A1419" s="241">
        <v>44001</v>
      </c>
      <c r="B1419" t="s">
        <v>7157</v>
      </c>
      <c r="C1419" t="s">
        <v>2448</v>
      </c>
      <c r="D1419" t="s">
        <v>2626</v>
      </c>
      <c r="E1419" t="s">
        <v>207</v>
      </c>
      <c r="F1419" t="s">
        <v>585</v>
      </c>
      <c r="G1419" t="s">
        <v>3839</v>
      </c>
      <c r="H1419" t="s">
        <v>512</v>
      </c>
      <c r="I1419" t="s">
        <v>1232</v>
      </c>
      <c r="J1419" t="s">
        <v>2881</v>
      </c>
      <c r="K1419" t="s">
        <v>651</v>
      </c>
      <c r="L1419">
        <v>0.87</v>
      </c>
      <c r="M1419" t="s">
        <v>7158</v>
      </c>
      <c r="N1419" t="s">
        <v>7159</v>
      </c>
      <c r="O1419" t="s">
        <v>7160</v>
      </c>
      <c r="P1419" t="s">
        <v>485</v>
      </c>
      <c r="Q1419" t="s">
        <v>6845</v>
      </c>
      <c r="R1419" t="s">
        <v>6846</v>
      </c>
      <c r="S1419" t="s">
        <v>2885</v>
      </c>
      <c r="T1419" t="s">
        <v>2886</v>
      </c>
    </row>
    <row r="1420" spans="1:20">
      <c r="A1420" s="241">
        <v>44001</v>
      </c>
      <c r="B1420" t="s">
        <v>7161</v>
      </c>
      <c r="C1420" t="s">
        <v>1376</v>
      </c>
      <c r="D1420" t="s">
        <v>3669</v>
      </c>
      <c r="E1420" t="s">
        <v>423</v>
      </c>
      <c r="F1420" t="s">
        <v>1274</v>
      </c>
      <c r="G1420" t="s">
        <v>2034</v>
      </c>
      <c r="H1420" t="s">
        <v>2017</v>
      </c>
      <c r="I1420" t="s">
        <v>1727</v>
      </c>
      <c r="J1420" t="s">
        <v>1039</v>
      </c>
      <c r="K1420" t="s">
        <v>666</v>
      </c>
      <c r="L1420">
        <v>0.87</v>
      </c>
      <c r="M1420" t="s">
        <v>7162</v>
      </c>
      <c r="N1420" t="s">
        <v>7163</v>
      </c>
      <c r="O1420" t="s">
        <v>7164</v>
      </c>
      <c r="P1420" t="s">
        <v>485</v>
      </c>
      <c r="Q1420" t="s">
        <v>6845</v>
      </c>
      <c r="R1420" t="s">
        <v>6846</v>
      </c>
      <c r="S1420" t="s">
        <v>2885</v>
      </c>
      <c r="T1420" t="s">
        <v>2886</v>
      </c>
    </row>
    <row r="1421" spans="1:20">
      <c r="A1421" s="241">
        <v>44001</v>
      </c>
      <c r="B1421" t="s">
        <v>7165</v>
      </c>
      <c r="C1421" t="s">
        <v>3831</v>
      </c>
      <c r="D1421" t="s">
        <v>2626</v>
      </c>
      <c r="E1421" t="s">
        <v>249</v>
      </c>
      <c r="F1421" t="s">
        <v>608</v>
      </c>
      <c r="G1421" t="s">
        <v>530</v>
      </c>
      <c r="H1421" t="s">
        <v>1009</v>
      </c>
      <c r="I1421" t="s">
        <v>212</v>
      </c>
      <c r="J1421" t="s">
        <v>243</v>
      </c>
      <c r="K1421" t="s">
        <v>349</v>
      </c>
      <c r="L1421">
        <v>0.87</v>
      </c>
      <c r="M1421" t="s">
        <v>7166</v>
      </c>
      <c r="N1421" t="s">
        <v>7167</v>
      </c>
      <c r="O1421" t="s">
        <v>7168</v>
      </c>
      <c r="P1421" t="s">
        <v>485</v>
      </c>
      <c r="Q1421" t="s">
        <v>6845</v>
      </c>
      <c r="R1421" t="s">
        <v>6846</v>
      </c>
      <c r="S1421" t="s">
        <v>2885</v>
      </c>
      <c r="T1421" t="s">
        <v>2886</v>
      </c>
    </row>
    <row r="1422" spans="1:20">
      <c r="A1422" s="241">
        <v>44001</v>
      </c>
      <c r="B1422" t="s">
        <v>7169</v>
      </c>
      <c r="C1422" t="s">
        <v>1665</v>
      </c>
      <c r="D1422" t="s">
        <v>1666</v>
      </c>
      <c r="E1422" t="s">
        <v>274</v>
      </c>
      <c r="F1422" t="s">
        <v>822</v>
      </c>
      <c r="G1422" t="s">
        <v>2291</v>
      </c>
      <c r="H1422" t="s">
        <v>2305</v>
      </c>
      <c r="I1422" t="s">
        <v>560</v>
      </c>
      <c r="J1422" t="s">
        <v>255</v>
      </c>
      <c r="K1422" t="s">
        <v>700</v>
      </c>
      <c r="L1422">
        <v>0.87</v>
      </c>
      <c r="M1422" t="s">
        <v>7170</v>
      </c>
      <c r="N1422" t="s">
        <v>7171</v>
      </c>
      <c r="O1422" t="s">
        <v>7172</v>
      </c>
      <c r="P1422" t="s">
        <v>485</v>
      </c>
      <c r="Q1422" t="s">
        <v>6845</v>
      </c>
      <c r="R1422" t="s">
        <v>6846</v>
      </c>
      <c r="S1422" t="s">
        <v>2885</v>
      </c>
      <c r="T1422" t="s">
        <v>2886</v>
      </c>
    </row>
    <row r="1423" spans="1:20">
      <c r="A1423" s="241">
        <v>44001</v>
      </c>
      <c r="B1423" t="s">
        <v>7173</v>
      </c>
      <c r="C1423" t="s">
        <v>2448</v>
      </c>
      <c r="D1423" t="s">
        <v>3136</v>
      </c>
      <c r="E1423" t="s">
        <v>206</v>
      </c>
      <c r="F1423" t="s">
        <v>239</v>
      </c>
      <c r="G1423" t="s">
        <v>1411</v>
      </c>
      <c r="H1423" t="s">
        <v>815</v>
      </c>
      <c r="I1423" t="s">
        <v>229</v>
      </c>
      <c r="J1423" t="s">
        <v>267</v>
      </c>
      <c r="K1423" t="s">
        <v>408</v>
      </c>
      <c r="L1423">
        <v>0.87</v>
      </c>
      <c r="M1423" t="s">
        <v>7174</v>
      </c>
      <c r="N1423" t="s">
        <v>7175</v>
      </c>
      <c r="O1423" t="s">
        <v>7176</v>
      </c>
      <c r="P1423" t="s">
        <v>485</v>
      </c>
      <c r="Q1423" t="s">
        <v>6845</v>
      </c>
      <c r="R1423" t="s">
        <v>6846</v>
      </c>
      <c r="S1423" t="s">
        <v>2885</v>
      </c>
      <c r="T1423" t="s">
        <v>2886</v>
      </c>
    </row>
    <row r="1424" spans="1:20">
      <c r="A1424" s="241">
        <v>44001</v>
      </c>
      <c r="B1424" t="s">
        <v>7177</v>
      </c>
      <c r="C1424" t="s">
        <v>1348</v>
      </c>
      <c r="D1424" t="s">
        <v>2821</v>
      </c>
      <c r="E1424" t="s">
        <v>249</v>
      </c>
      <c r="F1424" t="s">
        <v>346</v>
      </c>
      <c r="G1424" t="s">
        <v>1037</v>
      </c>
      <c r="H1424" t="s">
        <v>531</v>
      </c>
      <c r="I1424" t="s">
        <v>254</v>
      </c>
      <c r="J1424" t="s">
        <v>267</v>
      </c>
      <c r="K1424" t="s">
        <v>359</v>
      </c>
      <c r="L1424">
        <v>0.87</v>
      </c>
      <c r="M1424" t="s">
        <v>7178</v>
      </c>
      <c r="N1424" t="s">
        <v>7179</v>
      </c>
      <c r="O1424" t="s">
        <v>7180</v>
      </c>
      <c r="P1424" t="s">
        <v>485</v>
      </c>
      <c r="Q1424" t="s">
        <v>6845</v>
      </c>
      <c r="R1424" t="s">
        <v>6846</v>
      </c>
      <c r="S1424" t="s">
        <v>2885</v>
      </c>
      <c r="T1424" t="s">
        <v>2886</v>
      </c>
    </row>
    <row r="1425" spans="1:20">
      <c r="A1425" s="241">
        <v>44001</v>
      </c>
      <c r="B1425" t="s">
        <v>7181</v>
      </c>
      <c r="C1425" t="s">
        <v>2636</v>
      </c>
      <c r="D1425" t="s">
        <v>3831</v>
      </c>
      <c r="E1425" t="s">
        <v>237</v>
      </c>
      <c r="F1425" t="s">
        <v>590</v>
      </c>
      <c r="G1425" t="s">
        <v>814</v>
      </c>
      <c r="H1425" t="s">
        <v>241</v>
      </c>
      <c r="I1425" t="s">
        <v>1468</v>
      </c>
      <c r="J1425" t="s">
        <v>1812</v>
      </c>
      <c r="K1425" t="s">
        <v>428</v>
      </c>
      <c r="L1425">
        <v>0.87</v>
      </c>
      <c r="M1425" t="s">
        <v>7182</v>
      </c>
      <c r="N1425" t="s">
        <v>7183</v>
      </c>
      <c r="O1425" t="s">
        <v>7184</v>
      </c>
      <c r="P1425" t="s">
        <v>485</v>
      </c>
      <c r="Q1425" t="s">
        <v>6845</v>
      </c>
      <c r="R1425" t="s">
        <v>6846</v>
      </c>
      <c r="S1425" t="s">
        <v>2885</v>
      </c>
      <c r="T1425" t="s">
        <v>2886</v>
      </c>
    </row>
    <row r="1426" spans="1:20">
      <c r="A1426" s="241">
        <v>44001</v>
      </c>
      <c r="B1426" t="s">
        <v>7185</v>
      </c>
      <c r="C1426" t="s">
        <v>2448</v>
      </c>
      <c r="D1426" t="s">
        <v>3831</v>
      </c>
      <c r="E1426" t="s">
        <v>207</v>
      </c>
      <c r="F1426" t="s">
        <v>1080</v>
      </c>
      <c r="G1426" t="s">
        <v>227</v>
      </c>
      <c r="H1426" t="s">
        <v>1017</v>
      </c>
      <c r="I1426" t="s">
        <v>863</v>
      </c>
      <c r="J1426" t="s">
        <v>1092</v>
      </c>
      <c r="K1426" t="s">
        <v>408</v>
      </c>
      <c r="L1426">
        <v>0.87</v>
      </c>
      <c r="M1426" t="s">
        <v>7186</v>
      </c>
      <c r="N1426" t="s">
        <v>7187</v>
      </c>
      <c r="O1426" t="s">
        <v>7188</v>
      </c>
      <c r="P1426" t="s">
        <v>485</v>
      </c>
      <c r="Q1426" t="s">
        <v>6845</v>
      </c>
      <c r="R1426" t="s">
        <v>6846</v>
      </c>
      <c r="S1426" t="s">
        <v>2885</v>
      </c>
      <c r="T1426" t="s">
        <v>2886</v>
      </c>
    </row>
    <row r="1427" spans="1:20">
      <c r="A1427" s="241">
        <v>44001</v>
      </c>
      <c r="B1427" t="s">
        <v>7189</v>
      </c>
      <c r="C1427" t="s">
        <v>2626</v>
      </c>
      <c r="D1427" t="s">
        <v>2448</v>
      </c>
      <c r="E1427" t="s">
        <v>224</v>
      </c>
      <c r="F1427" t="s">
        <v>385</v>
      </c>
      <c r="G1427" t="s">
        <v>814</v>
      </c>
      <c r="H1427" t="s">
        <v>1017</v>
      </c>
      <c r="I1427" t="s">
        <v>297</v>
      </c>
      <c r="J1427" t="s">
        <v>870</v>
      </c>
      <c r="K1427" t="s">
        <v>457</v>
      </c>
      <c r="L1427">
        <v>0.87</v>
      </c>
      <c r="M1427" t="s">
        <v>7190</v>
      </c>
      <c r="N1427" t="s">
        <v>7191</v>
      </c>
      <c r="O1427" t="s">
        <v>7192</v>
      </c>
      <c r="P1427" t="s">
        <v>485</v>
      </c>
      <c r="Q1427" t="s">
        <v>6845</v>
      </c>
      <c r="R1427" t="s">
        <v>6846</v>
      </c>
      <c r="S1427" t="s">
        <v>2885</v>
      </c>
      <c r="T1427" t="s">
        <v>2886</v>
      </c>
    </row>
    <row r="1428" spans="1:20">
      <c r="A1428" s="241">
        <v>44001</v>
      </c>
      <c r="B1428" t="s">
        <v>7193</v>
      </c>
      <c r="C1428" t="s">
        <v>1665</v>
      </c>
      <c r="D1428" t="s">
        <v>2431</v>
      </c>
      <c r="E1428" t="s">
        <v>614</v>
      </c>
      <c r="F1428" t="s">
        <v>682</v>
      </c>
      <c r="G1428" t="s">
        <v>2343</v>
      </c>
      <c r="H1428" t="s">
        <v>3554</v>
      </c>
      <c r="I1428" t="s">
        <v>317</v>
      </c>
      <c r="J1428" t="s">
        <v>640</v>
      </c>
      <c r="K1428" t="s">
        <v>448</v>
      </c>
      <c r="L1428">
        <v>0.87</v>
      </c>
      <c r="M1428" t="s">
        <v>7194</v>
      </c>
      <c r="N1428" t="s">
        <v>7195</v>
      </c>
      <c r="O1428" t="s">
        <v>7196</v>
      </c>
      <c r="P1428" t="s">
        <v>485</v>
      </c>
      <c r="Q1428" t="s">
        <v>6845</v>
      </c>
      <c r="R1428" t="s">
        <v>6846</v>
      </c>
      <c r="S1428" t="s">
        <v>2885</v>
      </c>
      <c r="T1428" t="s">
        <v>2886</v>
      </c>
    </row>
    <row r="1429" spans="1:20">
      <c r="A1429" s="241">
        <v>44001</v>
      </c>
      <c r="B1429" t="s">
        <v>7197</v>
      </c>
      <c r="C1429" t="s">
        <v>1348</v>
      </c>
      <c r="D1429" t="s">
        <v>3669</v>
      </c>
      <c r="E1429" t="s">
        <v>224</v>
      </c>
      <c r="F1429" t="s">
        <v>855</v>
      </c>
      <c r="G1429" t="s">
        <v>2343</v>
      </c>
      <c r="H1429" t="s">
        <v>253</v>
      </c>
      <c r="I1429" t="s">
        <v>1082</v>
      </c>
      <c r="J1429" t="s">
        <v>1506</v>
      </c>
      <c r="K1429" t="s">
        <v>7052</v>
      </c>
      <c r="L1429">
        <v>0.87</v>
      </c>
      <c r="M1429" t="s">
        <v>7198</v>
      </c>
      <c r="N1429" t="s">
        <v>7199</v>
      </c>
      <c r="O1429" t="s">
        <v>7200</v>
      </c>
      <c r="P1429" t="s">
        <v>485</v>
      </c>
      <c r="Q1429" t="s">
        <v>6845</v>
      </c>
      <c r="R1429" t="s">
        <v>6846</v>
      </c>
      <c r="S1429" t="s">
        <v>2885</v>
      </c>
      <c r="T1429" t="s">
        <v>2886</v>
      </c>
    </row>
    <row r="1430" spans="1:20">
      <c r="A1430" s="241">
        <v>44001</v>
      </c>
      <c r="B1430" t="s">
        <v>7201</v>
      </c>
      <c r="C1430" t="s">
        <v>1348</v>
      </c>
      <c r="D1430" t="s">
        <v>2821</v>
      </c>
      <c r="E1430" t="s">
        <v>249</v>
      </c>
      <c r="F1430" t="s">
        <v>1147</v>
      </c>
      <c r="G1430" t="s">
        <v>2142</v>
      </c>
      <c r="H1430" t="s">
        <v>529</v>
      </c>
      <c r="I1430" t="s">
        <v>1842</v>
      </c>
      <c r="J1430" t="s">
        <v>650</v>
      </c>
      <c r="K1430" t="s">
        <v>6918</v>
      </c>
      <c r="L1430">
        <v>0.87</v>
      </c>
      <c r="M1430" t="s">
        <v>7202</v>
      </c>
      <c r="N1430" t="s">
        <v>7203</v>
      </c>
      <c r="O1430" t="s">
        <v>7204</v>
      </c>
      <c r="P1430" t="s">
        <v>485</v>
      </c>
      <c r="Q1430" t="s">
        <v>6845</v>
      </c>
      <c r="R1430" t="s">
        <v>6846</v>
      </c>
      <c r="S1430" t="s">
        <v>2885</v>
      </c>
      <c r="T1430" t="s">
        <v>2886</v>
      </c>
    </row>
    <row r="1431" spans="1:20">
      <c r="A1431" s="241">
        <v>44001</v>
      </c>
      <c r="B1431" t="s">
        <v>7205</v>
      </c>
      <c r="C1431" t="s">
        <v>2644</v>
      </c>
      <c r="D1431" t="s">
        <v>2626</v>
      </c>
      <c r="E1431" t="s">
        <v>274</v>
      </c>
      <c r="F1431" t="s">
        <v>405</v>
      </c>
      <c r="G1431" t="s">
        <v>315</v>
      </c>
      <c r="H1431" t="s">
        <v>600</v>
      </c>
      <c r="I1431" t="s">
        <v>347</v>
      </c>
      <c r="J1431" t="s">
        <v>657</v>
      </c>
      <c r="K1431" t="s">
        <v>6918</v>
      </c>
      <c r="L1431">
        <v>0.87</v>
      </c>
      <c r="M1431" t="s">
        <v>7206</v>
      </c>
      <c r="N1431" t="s">
        <v>7207</v>
      </c>
      <c r="O1431" t="s">
        <v>7208</v>
      </c>
      <c r="P1431" t="s">
        <v>485</v>
      </c>
      <c r="Q1431" t="s">
        <v>6845</v>
      </c>
      <c r="R1431" t="s">
        <v>6846</v>
      </c>
      <c r="S1431" t="s">
        <v>2885</v>
      </c>
      <c r="T1431" t="s">
        <v>2886</v>
      </c>
    </row>
    <row r="1432" spans="1:20">
      <c r="A1432" s="241">
        <v>44001</v>
      </c>
      <c r="B1432" t="s">
        <v>7209</v>
      </c>
      <c r="C1432" t="s">
        <v>2644</v>
      </c>
      <c r="D1432" t="s">
        <v>3831</v>
      </c>
      <c r="E1432" t="s">
        <v>423</v>
      </c>
      <c r="F1432" t="s">
        <v>405</v>
      </c>
      <c r="G1432" t="s">
        <v>2142</v>
      </c>
      <c r="H1432" t="s">
        <v>346</v>
      </c>
      <c r="I1432" t="s">
        <v>347</v>
      </c>
      <c r="J1432" t="s">
        <v>657</v>
      </c>
      <c r="K1432" t="s">
        <v>7052</v>
      </c>
      <c r="L1432">
        <v>0.87</v>
      </c>
      <c r="M1432" t="s">
        <v>7210</v>
      </c>
      <c r="N1432" t="s">
        <v>7211</v>
      </c>
      <c r="O1432" t="s">
        <v>7212</v>
      </c>
      <c r="P1432" t="s">
        <v>485</v>
      </c>
      <c r="Q1432" t="s">
        <v>6845</v>
      </c>
      <c r="R1432" t="s">
        <v>6846</v>
      </c>
      <c r="S1432" t="s">
        <v>2885</v>
      </c>
      <c r="T1432" t="s">
        <v>2886</v>
      </c>
    </row>
    <row r="1433" spans="1:20">
      <c r="A1433" s="241">
        <v>44001</v>
      </c>
      <c r="B1433" t="s">
        <v>7213</v>
      </c>
      <c r="C1433" t="s">
        <v>2811</v>
      </c>
      <c r="D1433" t="s">
        <v>2626</v>
      </c>
      <c r="E1433" t="s">
        <v>423</v>
      </c>
      <c r="F1433" t="s">
        <v>435</v>
      </c>
      <c r="G1433" t="s">
        <v>1292</v>
      </c>
      <c r="H1433" t="s">
        <v>2074</v>
      </c>
      <c r="I1433" t="s">
        <v>1859</v>
      </c>
      <c r="J1433" t="s">
        <v>1128</v>
      </c>
      <c r="K1433" t="s">
        <v>7052</v>
      </c>
      <c r="L1433">
        <v>0.86</v>
      </c>
      <c r="M1433" t="s">
        <v>7214</v>
      </c>
      <c r="N1433" t="s">
        <v>7215</v>
      </c>
      <c r="O1433" t="s">
        <v>7216</v>
      </c>
      <c r="P1433" t="s">
        <v>485</v>
      </c>
      <c r="Q1433" t="s">
        <v>6845</v>
      </c>
      <c r="R1433" t="s">
        <v>6846</v>
      </c>
      <c r="S1433" t="s">
        <v>2885</v>
      </c>
      <c r="T1433" t="s">
        <v>2886</v>
      </c>
    </row>
    <row r="1434" spans="1:20">
      <c r="A1434" s="241">
        <v>44001</v>
      </c>
      <c r="B1434" t="s">
        <v>7217</v>
      </c>
      <c r="C1434" t="s">
        <v>2644</v>
      </c>
      <c r="D1434" t="s">
        <v>1348</v>
      </c>
      <c r="E1434" t="s">
        <v>294</v>
      </c>
      <c r="F1434" t="s">
        <v>445</v>
      </c>
      <c r="G1434" t="s">
        <v>2160</v>
      </c>
      <c r="H1434" t="s">
        <v>608</v>
      </c>
      <c r="I1434" t="s">
        <v>1523</v>
      </c>
      <c r="J1434" t="s">
        <v>684</v>
      </c>
      <c r="K1434" t="s">
        <v>7065</v>
      </c>
      <c r="L1434">
        <v>0.86</v>
      </c>
      <c r="M1434" t="s">
        <v>7218</v>
      </c>
      <c r="N1434" t="s">
        <v>7219</v>
      </c>
      <c r="O1434" t="s">
        <v>7220</v>
      </c>
      <c r="P1434" t="s">
        <v>485</v>
      </c>
      <c r="Q1434" t="s">
        <v>6845</v>
      </c>
      <c r="R1434" t="s">
        <v>6846</v>
      </c>
      <c r="S1434" t="s">
        <v>2885</v>
      </c>
      <c r="T1434" t="s">
        <v>2886</v>
      </c>
    </row>
    <row r="1435" spans="1:20">
      <c r="A1435" s="241">
        <v>44001</v>
      </c>
      <c r="B1435" t="s">
        <v>7221</v>
      </c>
      <c r="C1435" t="s">
        <v>2644</v>
      </c>
      <c r="D1435" t="s">
        <v>2810</v>
      </c>
      <c r="E1435" t="s">
        <v>442</v>
      </c>
      <c r="F1435" t="s">
        <v>887</v>
      </c>
      <c r="G1435" t="s">
        <v>1500</v>
      </c>
      <c r="H1435" t="s">
        <v>275</v>
      </c>
      <c r="I1435" t="s">
        <v>1547</v>
      </c>
      <c r="J1435" t="s">
        <v>691</v>
      </c>
      <c r="K1435" t="s">
        <v>7065</v>
      </c>
      <c r="L1435">
        <v>0.86</v>
      </c>
      <c r="M1435" t="s">
        <v>7222</v>
      </c>
      <c r="N1435" t="s">
        <v>7223</v>
      </c>
      <c r="O1435" t="s">
        <v>7224</v>
      </c>
      <c r="P1435" t="s">
        <v>485</v>
      </c>
      <c r="Q1435" t="s">
        <v>6845</v>
      </c>
      <c r="R1435" t="s">
        <v>6846</v>
      </c>
      <c r="S1435" t="s">
        <v>2885</v>
      </c>
      <c r="T1435" t="s">
        <v>2886</v>
      </c>
    </row>
    <row r="1436" spans="1:20">
      <c r="A1436" s="241">
        <v>44001</v>
      </c>
      <c r="B1436" t="s">
        <v>7225</v>
      </c>
      <c r="C1436" t="s">
        <v>2644</v>
      </c>
      <c r="D1436" t="s">
        <v>1377</v>
      </c>
      <c r="E1436" t="s">
        <v>207</v>
      </c>
      <c r="F1436" t="s">
        <v>393</v>
      </c>
      <c r="G1436" t="s">
        <v>1512</v>
      </c>
      <c r="H1436" t="s">
        <v>263</v>
      </c>
      <c r="I1436" t="s">
        <v>683</v>
      </c>
      <c r="J1436" t="s">
        <v>919</v>
      </c>
      <c r="K1436" t="s">
        <v>6924</v>
      </c>
      <c r="L1436">
        <v>0.86</v>
      </c>
      <c r="M1436" t="s">
        <v>7226</v>
      </c>
      <c r="N1436" t="s">
        <v>7227</v>
      </c>
      <c r="O1436" t="s">
        <v>7228</v>
      </c>
      <c r="P1436" t="s">
        <v>485</v>
      </c>
      <c r="Q1436" t="s">
        <v>6845</v>
      </c>
      <c r="R1436" t="s">
        <v>6846</v>
      </c>
      <c r="S1436" t="s">
        <v>2885</v>
      </c>
      <c r="T1436" t="s">
        <v>2886</v>
      </c>
    </row>
    <row r="1437" spans="1:20">
      <c r="A1437" s="241">
        <v>44001</v>
      </c>
      <c r="B1437" t="s">
        <v>7229</v>
      </c>
      <c r="C1437" t="s">
        <v>3831</v>
      </c>
      <c r="D1437" t="s">
        <v>1377</v>
      </c>
      <c r="E1437" t="s">
        <v>274</v>
      </c>
      <c r="F1437" t="s">
        <v>924</v>
      </c>
      <c r="G1437" t="s">
        <v>1104</v>
      </c>
      <c r="H1437" t="s">
        <v>275</v>
      </c>
      <c r="I1437" t="s">
        <v>396</v>
      </c>
      <c r="J1437" t="s">
        <v>1304</v>
      </c>
      <c r="K1437" t="s">
        <v>6924</v>
      </c>
      <c r="L1437">
        <v>0.86</v>
      </c>
      <c r="M1437" t="s">
        <v>7230</v>
      </c>
      <c r="N1437" t="s">
        <v>7231</v>
      </c>
      <c r="O1437" t="s">
        <v>7232</v>
      </c>
      <c r="P1437" t="s">
        <v>485</v>
      </c>
      <c r="Q1437" t="s">
        <v>6845</v>
      </c>
      <c r="R1437" t="s">
        <v>6846</v>
      </c>
      <c r="S1437" t="s">
        <v>2885</v>
      </c>
      <c r="T1437" t="s">
        <v>2886</v>
      </c>
    </row>
    <row r="1438" spans="1:20">
      <c r="A1438" s="241">
        <v>44001</v>
      </c>
      <c r="B1438" t="s">
        <v>7233</v>
      </c>
      <c r="C1438" t="s">
        <v>2811</v>
      </c>
      <c r="D1438" t="s">
        <v>1367</v>
      </c>
      <c r="E1438" t="s">
        <v>294</v>
      </c>
      <c r="F1438" t="s">
        <v>1303</v>
      </c>
      <c r="G1438" t="s">
        <v>1122</v>
      </c>
      <c r="H1438" t="s">
        <v>285</v>
      </c>
      <c r="I1438" t="s">
        <v>406</v>
      </c>
      <c r="J1438" t="s">
        <v>437</v>
      </c>
      <c r="K1438" t="s">
        <v>6924</v>
      </c>
      <c r="L1438">
        <v>0.86</v>
      </c>
      <c r="M1438" t="s">
        <v>7234</v>
      </c>
      <c r="N1438" t="s">
        <v>7235</v>
      </c>
      <c r="O1438" t="s">
        <v>7236</v>
      </c>
      <c r="P1438" t="s">
        <v>485</v>
      </c>
      <c r="Q1438" t="s">
        <v>6845</v>
      </c>
      <c r="R1438" t="s">
        <v>6846</v>
      </c>
      <c r="S1438" t="s">
        <v>2885</v>
      </c>
      <c r="T1438" t="s">
        <v>2886</v>
      </c>
    </row>
    <row r="1439" spans="1:20">
      <c r="A1439" s="241">
        <v>44001</v>
      </c>
      <c r="B1439" t="s">
        <v>7237</v>
      </c>
      <c r="C1439" t="s">
        <v>1665</v>
      </c>
      <c r="D1439" t="s">
        <v>1367</v>
      </c>
      <c r="E1439" t="s">
        <v>237</v>
      </c>
      <c r="F1439" t="s">
        <v>917</v>
      </c>
      <c r="G1439" t="s">
        <v>663</v>
      </c>
      <c r="H1439" t="s">
        <v>385</v>
      </c>
      <c r="I1439" t="s">
        <v>1579</v>
      </c>
      <c r="J1439" t="s">
        <v>417</v>
      </c>
      <c r="K1439" t="s">
        <v>7083</v>
      </c>
      <c r="L1439">
        <v>0.86</v>
      </c>
      <c r="M1439" t="s">
        <v>7238</v>
      </c>
      <c r="N1439" t="s">
        <v>7239</v>
      </c>
      <c r="O1439" t="s">
        <v>7240</v>
      </c>
      <c r="P1439" t="s">
        <v>485</v>
      </c>
      <c r="Q1439" t="s">
        <v>6845</v>
      </c>
      <c r="R1439" t="s">
        <v>6846</v>
      </c>
      <c r="S1439" t="s">
        <v>2885</v>
      </c>
      <c r="T1439" t="s">
        <v>2886</v>
      </c>
    </row>
    <row r="1440" spans="1:20">
      <c r="A1440" s="241">
        <v>44001</v>
      </c>
      <c r="B1440" t="s">
        <v>7241</v>
      </c>
      <c r="C1440" t="s">
        <v>2821</v>
      </c>
      <c r="D1440" t="s">
        <v>1377</v>
      </c>
      <c r="E1440" t="s">
        <v>249</v>
      </c>
      <c r="F1440" t="s">
        <v>1164</v>
      </c>
      <c r="G1440" t="s">
        <v>910</v>
      </c>
      <c r="H1440" t="s">
        <v>395</v>
      </c>
      <c r="I1440" t="s">
        <v>939</v>
      </c>
      <c r="J1440" t="s">
        <v>7242</v>
      </c>
      <c r="K1440" t="s">
        <v>7078</v>
      </c>
      <c r="L1440">
        <v>0.86</v>
      </c>
      <c r="M1440" t="s">
        <v>7243</v>
      </c>
      <c r="N1440" t="s">
        <v>7244</v>
      </c>
      <c r="O1440" t="s">
        <v>7245</v>
      </c>
      <c r="P1440" t="s">
        <v>485</v>
      </c>
      <c r="Q1440" t="s">
        <v>6845</v>
      </c>
      <c r="R1440" t="s">
        <v>6846</v>
      </c>
      <c r="S1440" t="s">
        <v>2885</v>
      </c>
      <c r="T1440" t="s">
        <v>2886</v>
      </c>
    </row>
    <row r="1441" spans="1:20">
      <c r="A1441" s="241">
        <v>44001</v>
      </c>
      <c r="B1441" t="s">
        <v>7246</v>
      </c>
      <c r="C1441" t="s">
        <v>2810</v>
      </c>
      <c r="D1441" t="s">
        <v>2626</v>
      </c>
      <c r="E1441" t="s">
        <v>237</v>
      </c>
      <c r="F1441" t="s">
        <v>718</v>
      </c>
      <c r="G1441" t="s">
        <v>705</v>
      </c>
      <c r="H1441" t="s">
        <v>305</v>
      </c>
      <c r="I1441" t="s">
        <v>1631</v>
      </c>
      <c r="J1441" t="s">
        <v>7247</v>
      </c>
      <c r="K1441" t="s">
        <v>7248</v>
      </c>
      <c r="L1441">
        <v>0.86</v>
      </c>
      <c r="M1441" t="s">
        <v>7249</v>
      </c>
      <c r="N1441" t="s">
        <v>7250</v>
      </c>
      <c r="O1441" t="s">
        <v>7251</v>
      </c>
      <c r="P1441" t="s">
        <v>485</v>
      </c>
      <c r="Q1441" t="s">
        <v>6845</v>
      </c>
      <c r="R1441" t="s">
        <v>6846</v>
      </c>
      <c r="S1441" t="s">
        <v>2885</v>
      </c>
      <c r="T1441" t="s">
        <v>2886</v>
      </c>
    </row>
    <row r="1442" spans="1:20">
      <c r="A1442" s="241">
        <v>44001</v>
      </c>
      <c r="B1442" t="s">
        <v>7252</v>
      </c>
      <c r="C1442" t="s">
        <v>2636</v>
      </c>
      <c r="D1442" t="s">
        <v>5481</v>
      </c>
      <c r="E1442" t="s">
        <v>237</v>
      </c>
      <c r="F1442" t="s">
        <v>3077</v>
      </c>
      <c r="G1442" t="s">
        <v>425</v>
      </c>
      <c r="H1442" t="s">
        <v>1574</v>
      </c>
      <c r="I1442" t="s">
        <v>3807</v>
      </c>
      <c r="J1442" t="s">
        <v>7253</v>
      </c>
      <c r="K1442" t="s">
        <v>7248</v>
      </c>
      <c r="L1442">
        <v>0.86</v>
      </c>
      <c r="M1442" t="s">
        <v>7254</v>
      </c>
      <c r="N1442" t="s">
        <v>7255</v>
      </c>
      <c r="O1442" t="s">
        <v>7256</v>
      </c>
      <c r="P1442" t="s">
        <v>485</v>
      </c>
      <c r="Q1442" t="s">
        <v>6845</v>
      </c>
      <c r="R1442" t="s">
        <v>6846</v>
      </c>
      <c r="S1442" t="s">
        <v>2885</v>
      </c>
      <c r="T1442" t="s">
        <v>2886</v>
      </c>
    </row>
    <row r="1443" spans="1:20">
      <c r="A1443" s="241">
        <v>44001</v>
      </c>
      <c r="B1443" t="s">
        <v>7257</v>
      </c>
      <c r="C1443" t="s">
        <v>2448</v>
      </c>
      <c r="D1443" t="s">
        <v>7258</v>
      </c>
      <c r="E1443" t="s">
        <v>3679</v>
      </c>
      <c r="F1443" t="s">
        <v>3077</v>
      </c>
      <c r="G1443" t="s">
        <v>7259</v>
      </c>
      <c r="H1443" t="s">
        <v>739</v>
      </c>
      <c r="I1443" t="s">
        <v>7260</v>
      </c>
      <c r="J1443" t="s">
        <v>7261</v>
      </c>
      <c r="K1443" t="s">
        <v>7262</v>
      </c>
      <c r="L1443">
        <v>0.88</v>
      </c>
      <c r="M1443" t="s">
        <v>7263</v>
      </c>
      <c r="N1443" t="s">
        <v>7264</v>
      </c>
      <c r="O1443" t="s">
        <v>7265</v>
      </c>
      <c r="P1443" t="s">
        <v>485</v>
      </c>
      <c r="Q1443" t="s">
        <v>6845</v>
      </c>
      <c r="R1443" t="s">
        <v>6846</v>
      </c>
      <c r="S1443" t="s">
        <v>2885</v>
      </c>
      <c r="T1443" t="s">
        <v>2886</v>
      </c>
    </row>
    <row r="1444" spans="1:20">
      <c r="A1444" s="241">
        <v>44001</v>
      </c>
      <c r="B1444" t="s">
        <v>7266</v>
      </c>
      <c r="C1444" t="s">
        <v>7267</v>
      </c>
      <c r="D1444" t="s">
        <v>6985</v>
      </c>
      <c r="E1444" t="s">
        <v>747</v>
      </c>
      <c r="F1444" t="s">
        <v>1647</v>
      </c>
      <c r="G1444" t="s">
        <v>3137</v>
      </c>
      <c r="H1444" t="s">
        <v>758</v>
      </c>
      <c r="I1444" t="s">
        <v>6829</v>
      </c>
      <c r="J1444" t="s">
        <v>7268</v>
      </c>
      <c r="K1444" t="s">
        <v>7269</v>
      </c>
      <c r="L1444">
        <v>0.89</v>
      </c>
      <c r="M1444" t="s">
        <v>7270</v>
      </c>
      <c r="N1444" t="s">
        <v>7271</v>
      </c>
      <c r="O1444" t="s">
        <v>7272</v>
      </c>
      <c r="P1444" t="s">
        <v>485</v>
      </c>
      <c r="Q1444" t="s">
        <v>6845</v>
      </c>
      <c r="R1444" t="s">
        <v>6846</v>
      </c>
      <c r="S1444" t="s">
        <v>2885</v>
      </c>
      <c r="T1444" t="s">
        <v>2886</v>
      </c>
    </row>
    <row r="1445" spans="1:20">
      <c r="A1445" s="241">
        <v>44001</v>
      </c>
      <c r="B1445" t="s">
        <v>7273</v>
      </c>
      <c r="C1445" t="s">
        <v>7267</v>
      </c>
      <c r="D1445" t="s">
        <v>7125</v>
      </c>
      <c r="E1445" t="s">
        <v>959</v>
      </c>
      <c r="F1445" t="s">
        <v>3120</v>
      </c>
      <c r="G1445" t="s">
        <v>490</v>
      </c>
      <c r="H1445" t="s">
        <v>7274</v>
      </c>
      <c r="I1445" t="s">
        <v>1198</v>
      </c>
      <c r="J1445" t="s">
        <v>7275</v>
      </c>
      <c r="K1445" t="s">
        <v>1362</v>
      </c>
      <c r="L1445">
        <v>0.89</v>
      </c>
      <c r="M1445" t="s">
        <v>7276</v>
      </c>
      <c r="N1445" t="s">
        <v>7277</v>
      </c>
      <c r="O1445" t="s">
        <v>7278</v>
      </c>
      <c r="P1445" t="s">
        <v>485</v>
      </c>
      <c r="Q1445" t="s">
        <v>6845</v>
      </c>
      <c r="R1445" t="s">
        <v>6846</v>
      </c>
      <c r="S1445" t="s">
        <v>2885</v>
      </c>
      <c r="T1445" t="s">
        <v>2886</v>
      </c>
    </row>
    <row r="1446" spans="1:20">
      <c r="A1446" s="241">
        <v>44001</v>
      </c>
      <c r="B1446" t="s">
        <v>7279</v>
      </c>
      <c r="C1446" t="s">
        <v>7280</v>
      </c>
      <c r="D1446" t="s">
        <v>7281</v>
      </c>
      <c r="E1446" t="s">
        <v>463</v>
      </c>
      <c r="F1446" t="s">
        <v>7282</v>
      </c>
      <c r="G1446" t="s">
        <v>7283</v>
      </c>
      <c r="H1446" t="s">
        <v>7274</v>
      </c>
      <c r="I1446" t="s">
        <v>5482</v>
      </c>
      <c r="J1446" t="s">
        <v>4628</v>
      </c>
      <c r="K1446" t="s">
        <v>761</v>
      </c>
      <c r="L1446">
        <v>0.89</v>
      </c>
      <c r="M1446" t="s">
        <v>7284</v>
      </c>
      <c r="N1446" t="s">
        <v>7285</v>
      </c>
      <c r="O1446" t="s">
        <v>7286</v>
      </c>
      <c r="P1446" t="s">
        <v>485</v>
      </c>
      <c r="Q1446" t="s">
        <v>6845</v>
      </c>
      <c r="R1446" t="s">
        <v>6846</v>
      </c>
      <c r="S1446" t="s">
        <v>2885</v>
      </c>
      <c r="T1446" t="s">
        <v>2886</v>
      </c>
    </row>
    <row r="1447" spans="1:20">
      <c r="A1447" s="241">
        <v>44001</v>
      </c>
      <c r="B1447" t="s">
        <v>7287</v>
      </c>
      <c r="C1447" t="s">
        <v>747</v>
      </c>
      <c r="D1447" t="s">
        <v>3669</v>
      </c>
      <c r="E1447" t="s">
        <v>1877</v>
      </c>
      <c r="F1447" t="s">
        <v>7288</v>
      </c>
      <c r="G1447" t="s">
        <v>937</v>
      </c>
      <c r="H1447" t="s">
        <v>7289</v>
      </c>
      <c r="I1447" t="s">
        <v>7290</v>
      </c>
      <c r="J1447" t="s">
        <v>7291</v>
      </c>
      <c r="K1447" t="s">
        <v>7292</v>
      </c>
      <c r="L1447">
        <v>0.87</v>
      </c>
      <c r="M1447" t="s">
        <v>7293</v>
      </c>
      <c r="N1447" t="s">
        <v>7294</v>
      </c>
      <c r="O1447" t="s">
        <v>7295</v>
      </c>
      <c r="P1447" t="s">
        <v>485</v>
      </c>
      <c r="Q1447" t="s">
        <v>6845</v>
      </c>
      <c r="R1447" t="s">
        <v>6846</v>
      </c>
      <c r="S1447" t="s">
        <v>2885</v>
      </c>
      <c r="T1447" t="s">
        <v>2886</v>
      </c>
    </row>
    <row r="1448" spans="1:20">
      <c r="A1448" s="241">
        <v>44001</v>
      </c>
      <c r="B1448" t="s">
        <v>7296</v>
      </c>
      <c r="C1448" t="s">
        <v>2636</v>
      </c>
      <c r="D1448" t="s">
        <v>3669</v>
      </c>
      <c r="E1448" t="s">
        <v>645</v>
      </c>
      <c r="F1448" t="s">
        <v>209</v>
      </c>
      <c r="G1448" t="s">
        <v>2023</v>
      </c>
      <c r="H1448" t="s">
        <v>7297</v>
      </c>
      <c r="I1448" t="s">
        <v>1019</v>
      </c>
      <c r="J1448" t="s">
        <v>2044</v>
      </c>
      <c r="K1448" t="s">
        <v>651</v>
      </c>
      <c r="L1448">
        <v>0.87</v>
      </c>
      <c r="M1448" t="s">
        <v>7298</v>
      </c>
      <c r="N1448" t="s">
        <v>7299</v>
      </c>
      <c r="O1448" t="s">
        <v>7300</v>
      </c>
      <c r="P1448" t="s">
        <v>485</v>
      </c>
      <c r="Q1448" t="s">
        <v>6845</v>
      </c>
      <c r="R1448" t="s">
        <v>6846</v>
      </c>
      <c r="S1448" t="s">
        <v>2885</v>
      </c>
      <c r="T1448" t="s">
        <v>2886</v>
      </c>
    </row>
    <row r="1449" spans="1:20">
      <c r="A1449" s="241">
        <v>44001</v>
      </c>
      <c r="B1449" t="s">
        <v>7301</v>
      </c>
      <c r="C1449" t="s">
        <v>1666</v>
      </c>
      <c r="D1449" t="s">
        <v>1176</v>
      </c>
      <c r="E1449" t="s">
        <v>614</v>
      </c>
      <c r="F1449" t="s">
        <v>209</v>
      </c>
      <c r="G1449" t="s">
        <v>1715</v>
      </c>
      <c r="H1449" t="s">
        <v>1679</v>
      </c>
      <c r="I1449" t="s">
        <v>532</v>
      </c>
      <c r="J1449" t="s">
        <v>1240</v>
      </c>
      <c r="K1449" t="s">
        <v>651</v>
      </c>
      <c r="L1449">
        <v>0.87</v>
      </c>
      <c r="M1449" t="s">
        <v>7302</v>
      </c>
      <c r="N1449" t="s">
        <v>7303</v>
      </c>
      <c r="O1449" t="s">
        <v>7304</v>
      </c>
      <c r="P1449" t="s">
        <v>485</v>
      </c>
      <c r="Q1449" t="s">
        <v>6845</v>
      </c>
      <c r="R1449" t="s">
        <v>6846</v>
      </c>
      <c r="S1449" t="s">
        <v>2885</v>
      </c>
      <c r="T1449" t="s">
        <v>2886</v>
      </c>
    </row>
    <row r="1450" spans="1:20">
      <c r="A1450" s="241">
        <v>44001</v>
      </c>
      <c r="B1450" t="s">
        <v>7305</v>
      </c>
      <c r="C1450" t="s">
        <v>2644</v>
      </c>
      <c r="D1450" t="s">
        <v>1367</v>
      </c>
      <c r="E1450" t="s">
        <v>442</v>
      </c>
      <c r="F1450" t="s">
        <v>1478</v>
      </c>
      <c r="G1450" t="s">
        <v>2043</v>
      </c>
      <c r="H1450" t="s">
        <v>2300</v>
      </c>
      <c r="I1450" t="s">
        <v>1427</v>
      </c>
      <c r="J1450" t="s">
        <v>807</v>
      </c>
      <c r="K1450" t="s">
        <v>651</v>
      </c>
      <c r="L1450">
        <v>0.87</v>
      </c>
      <c r="M1450" t="s">
        <v>7306</v>
      </c>
      <c r="N1450" t="s">
        <v>7307</v>
      </c>
      <c r="O1450" t="s">
        <v>7308</v>
      </c>
      <c r="P1450" t="s">
        <v>485</v>
      </c>
      <c r="Q1450" t="s">
        <v>6845</v>
      </c>
      <c r="R1450" t="s">
        <v>6846</v>
      </c>
      <c r="S1450" t="s">
        <v>2885</v>
      </c>
      <c r="T1450" t="s">
        <v>2886</v>
      </c>
    </row>
    <row r="1451" spans="1:20">
      <c r="A1451" s="241">
        <v>44001</v>
      </c>
      <c r="B1451" t="s">
        <v>7309</v>
      </c>
      <c r="C1451" t="s">
        <v>2626</v>
      </c>
      <c r="D1451" t="s">
        <v>2811</v>
      </c>
      <c r="E1451" t="s">
        <v>712</v>
      </c>
      <c r="F1451" t="s">
        <v>226</v>
      </c>
      <c r="G1451" t="s">
        <v>520</v>
      </c>
      <c r="H1451" t="s">
        <v>2005</v>
      </c>
      <c r="I1451" t="s">
        <v>1421</v>
      </c>
      <c r="J1451" t="s">
        <v>807</v>
      </c>
      <c r="K1451" t="s">
        <v>338</v>
      </c>
      <c r="L1451">
        <v>0.87</v>
      </c>
      <c r="M1451" t="s">
        <v>7310</v>
      </c>
      <c r="N1451" t="s">
        <v>7311</v>
      </c>
      <c r="O1451" t="s">
        <v>7312</v>
      </c>
      <c r="P1451" t="s">
        <v>485</v>
      </c>
      <c r="Q1451" t="s">
        <v>6845</v>
      </c>
      <c r="R1451" t="s">
        <v>6846</v>
      </c>
      <c r="S1451" t="s">
        <v>2885</v>
      </c>
      <c r="T1451" t="s">
        <v>2886</v>
      </c>
    </row>
    <row r="1452" spans="1:20">
      <c r="A1452" s="241">
        <v>44001</v>
      </c>
      <c r="B1452" t="s">
        <v>7313</v>
      </c>
      <c r="C1452" t="s">
        <v>2811</v>
      </c>
      <c r="D1452" t="s">
        <v>3136</v>
      </c>
      <c r="E1452" t="s">
        <v>274</v>
      </c>
      <c r="F1452" t="s">
        <v>239</v>
      </c>
      <c r="G1452" t="s">
        <v>540</v>
      </c>
      <c r="H1452" t="s">
        <v>1697</v>
      </c>
      <c r="I1452" t="s">
        <v>806</v>
      </c>
      <c r="J1452" t="s">
        <v>1770</v>
      </c>
      <c r="K1452" t="s">
        <v>327</v>
      </c>
      <c r="L1452">
        <v>0.87</v>
      </c>
      <c r="M1452" t="s">
        <v>7314</v>
      </c>
      <c r="N1452" t="s">
        <v>7315</v>
      </c>
      <c r="O1452" t="s">
        <v>7316</v>
      </c>
      <c r="P1452" t="s">
        <v>485</v>
      </c>
      <c r="Q1452" t="s">
        <v>6845</v>
      </c>
      <c r="R1452" t="s">
        <v>6846</v>
      </c>
      <c r="S1452" t="s">
        <v>2885</v>
      </c>
      <c r="T1452" t="s">
        <v>2886</v>
      </c>
    </row>
    <row r="1453" spans="1:20">
      <c r="A1453" s="241">
        <v>44001</v>
      </c>
      <c r="B1453" t="s">
        <v>7317</v>
      </c>
      <c r="C1453" t="s">
        <v>1367</v>
      </c>
      <c r="D1453" t="s">
        <v>3679</v>
      </c>
      <c r="E1453" t="s">
        <v>442</v>
      </c>
      <c r="F1453" t="s">
        <v>584</v>
      </c>
      <c r="G1453" t="s">
        <v>548</v>
      </c>
      <c r="H1453" t="s">
        <v>2305</v>
      </c>
      <c r="I1453" t="s">
        <v>242</v>
      </c>
      <c r="J1453" t="s">
        <v>255</v>
      </c>
      <c r="K1453" t="s">
        <v>349</v>
      </c>
      <c r="L1453">
        <v>0.87</v>
      </c>
      <c r="M1453" t="s">
        <v>7318</v>
      </c>
      <c r="N1453" t="s">
        <v>7319</v>
      </c>
      <c r="O1453" t="s">
        <v>7320</v>
      </c>
      <c r="P1453" t="s">
        <v>485</v>
      </c>
      <c r="Q1453" t="s">
        <v>6845</v>
      </c>
      <c r="R1453" t="s">
        <v>6846</v>
      </c>
      <c r="S1453" t="s">
        <v>2885</v>
      </c>
      <c r="T1453" t="s">
        <v>2886</v>
      </c>
    </row>
    <row r="1454" spans="1:20">
      <c r="A1454" s="241">
        <v>44001</v>
      </c>
      <c r="B1454" t="s">
        <v>7321</v>
      </c>
      <c r="C1454" t="s">
        <v>3831</v>
      </c>
      <c r="D1454" t="s">
        <v>1377</v>
      </c>
      <c r="E1454" t="s">
        <v>1079</v>
      </c>
      <c r="F1454" t="s">
        <v>576</v>
      </c>
      <c r="G1454" t="s">
        <v>792</v>
      </c>
      <c r="H1454" t="s">
        <v>815</v>
      </c>
      <c r="I1454" t="s">
        <v>254</v>
      </c>
      <c r="J1454" t="s">
        <v>1786</v>
      </c>
      <c r="K1454" t="s">
        <v>666</v>
      </c>
      <c r="L1454">
        <v>0.87</v>
      </c>
      <c r="M1454" t="s">
        <v>7322</v>
      </c>
      <c r="N1454" t="s">
        <v>7323</v>
      </c>
      <c r="O1454" t="s">
        <v>7324</v>
      </c>
      <c r="P1454" t="s">
        <v>485</v>
      </c>
      <c r="Q1454" t="s">
        <v>6845</v>
      </c>
      <c r="R1454" t="s">
        <v>6846</v>
      </c>
      <c r="S1454" t="s">
        <v>2885</v>
      </c>
      <c r="T1454" t="s">
        <v>2886</v>
      </c>
    </row>
    <row r="1455" spans="1:20">
      <c r="A1455" s="241">
        <v>44001</v>
      </c>
      <c r="B1455" t="s">
        <v>7325</v>
      </c>
      <c r="C1455" t="s">
        <v>2626</v>
      </c>
      <c r="D1455" t="s">
        <v>3136</v>
      </c>
      <c r="E1455" t="s">
        <v>712</v>
      </c>
      <c r="F1455" t="s">
        <v>584</v>
      </c>
      <c r="G1455" t="s">
        <v>804</v>
      </c>
      <c r="H1455" t="s">
        <v>1426</v>
      </c>
      <c r="I1455" t="s">
        <v>2329</v>
      </c>
      <c r="J1455" t="s">
        <v>1063</v>
      </c>
      <c r="K1455" t="s">
        <v>666</v>
      </c>
      <c r="L1455">
        <v>0.87</v>
      </c>
      <c r="M1455" t="s">
        <v>7326</v>
      </c>
      <c r="N1455" t="s">
        <v>7327</v>
      </c>
      <c r="O1455" t="s">
        <v>7328</v>
      </c>
      <c r="P1455" t="s">
        <v>485</v>
      </c>
      <c r="Q1455" t="s">
        <v>6845</v>
      </c>
      <c r="R1455" t="s">
        <v>6846</v>
      </c>
      <c r="S1455" t="s">
        <v>2885</v>
      </c>
      <c r="T1455" t="s">
        <v>2886</v>
      </c>
    </row>
    <row r="1456" spans="1:20">
      <c r="A1456" s="241">
        <v>44001</v>
      </c>
      <c r="B1456" t="s">
        <v>7329</v>
      </c>
      <c r="C1456" t="s">
        <v>3831</v>
      </c>
      <c r="D1456" t="s">
        <v>475</v>
      </c>
      <c r="E1456" t="s">
        <v>614</v>
      </c>
      <c r="F1456" t="s">
        <v>1056</v>
      </c>
      <c r="G1456" t="s">
        <v>567</v>
      </c>
      <c r="H1456" t="s">
        <v>1038</v>
      </c>
      <c r="I1456" t="s">
        <v>838</v>
      </c>
      <c r="J1456" t="s">
        <v>298</v>
      </c>
      <c r="K1456" t="s">
        <v>369</v>
      </c>
      <c r="L1456">
        <v>0.87</v>
      </c>
      <c r="M1456" t="s">
        <v>7330</v>
      </c>
      <c r="N1456" t="s">
        <v>7331</v>
      </c>
      <c r="O1456" t="s">
        <v>7332</v>
      </c>
      <c r="P1456" t="s">
        <v>485</v>
      </c>
      <c r="Q1456" t="s">
        <v>6845</v>
      </c>
      <c r="R1456" t="s">
        <v>6846</v>
      </c>
      <c r="S1456" t="s">
        <v>2885</v>
      </c>
      <c r="T1456" t="s">
        <v>2886</v>
      </c>
    </row>
    <row r="1457" spans="1:20">
      <c r="A1457" s="241">
        <v>44001</v>
      </c>
      <c r="B1457" t="s">
        <v>7333</v>
      </c>
      <c r="C1457" t="s">
        <v>2811</v>
      </c>
      <c r="D1457" t="s">
        <v>3679</v>
      </c>
      <c r="E1457" t="s">
        <v>614</v>
      </c>
      <c r="F1457" t="s">
        <v>835</v>
      </c>
      <c r="G1457" t="s">
        <v>240</v>
      </c>
      <c r="H1457" t="s">
        <v>2315</v>
      </c>
      <c r="I1457" t="s">
        <v>838</v>
      </c>
      <c r="J1457" t="s">
        <v>298</v>
      </c>
      <c r="K1457" t="s">
        <v>369</v>
      </c>
      <c r="L1457">
        <v>0.87</v>
      </c>
      <c r="M1457" t="s">
        <v>7334</v>
      </c>
      <c r="N1457" t="s">
        <v>7335</v>
      </c>
      <c r="O1457" t="s">
        <v>7336</v>
      </c>
      <c r="P1457" t="s">
        <v>485</v>
      </c>
      <c r="Q1457" t="s">
        <v>6845</v>
      </c>
      <c r="R1457" t="s">
        <v>6846</v>
      </c>
      <c r="S1457" t="s">
        <v>2885</v>
      </c>
      <c r="T1457" t="s">
        <v>2886</v>
      </c>
    </row>
    <row r="1458" spans="1:20">
      <c r="A1458" s="241">
        <v>44001</v>
      </c>
      <c r="B1458" t="s">
        <v>7337</v>
      </c>
      <c r="C1458" t="s">
        <v>2810</v>
      </c>
      <c r="D1458" t="s">
        <v>3679</v>
      </c>
      <c r="E1458" t="s">
        <v>294</v>
      </c>
      <c r="F1458" t="s">
        <v>1467</v>
      </c>
      <c r="G1458" t="s">
        <v>1044</v>
      </c>
      <c r="H1458" t="s">
        <v>805</v>
      </c>
      <c r="I1458" t="s">
        <v>1468</v>
      </c>
      <c r="J1458" t="s">
        <v>601</v>
      </c>
      <c r="K1458" t="s">
        <v>700</v>
      </c>
      <c r="L1458">
        <v>0.87</v>
      </c>
      <c r="M1458" t="s">
        <v>7338</v>
      </c>
      <c r="N1458" t="s">
        <v>7339</v>
      </c>
      <c r="O1458" t="s">
        <v>7340</v>
      </c>
      <c r="P1458" t="s">
        <v>485</v>
      </c>
      <c r="Q1458" t="s">
        <v>6845</v>
      </c>
      <c r="R1458" t="s">
        <v>6846</v>
      </c>
      <c r="S1458" t="s">
        <v>2885</v>
      </c>
      <c r="T1458" t="s">
        <v>2886</v>
      </c>
    </row>
    <row r="1459" spans="1:20">
      <c r="A1459" s="241">
        <v>44001</v>
      </c>
      <c r="B1459" t="s">
        <v>7341</v>
      </c>
      <c r="C1459" t="s">
        <v>1176</v>
      </c>
      <c r="D1459" t="s">
        <v>3679</v>
      </c>
      <c r="E1459" t="s">
        <v>671</v>
      </c>
      <c r="F1459" t="s">
        <v>1552</v>
      </c>
      <c r="G1459" t="s">
        <v>1775</v>
      </c>
      <c r="H1459" t="s">
        <v>287</v>
      </c>
      <c r="I1459" t="s">
        <v>863</v>
      </c>
      <c r="J1459" t="s">
        <v>870</v>
      </c>
      <c r="K1459" t="s">
        <v>359</v>
      </c>
      <c r="L1459">
        <v>0.86</v>
      </c>
      <c r="M1459" t="s">
        <v>7342</v>
      </c>
      <c r="N1459" t="s">
        <v>7343</v>
      </c>
      <c r="O1459" t="s">
        <v>7344</v>
      </c>
      <c r="P1459" t="s">
        <v>485</v>
      </c>
      <c r="Q1459" t="s">
        <v>6845</v>
      </c>
      <c r="R1459" t="s">
        <v>6846</v>
      </c>
      <c r="S1459" t="s">
        <v>2885</v>
      </c>
      <c r="T1459" t="s">
        <v>2886</v>
      </c>
    </row>
    <row r="1460" spans="1:20">
      <c r="A1460" s="241">
        <v>44001</v>
      </c>
      <c r="B1460" t="s">
        <v>7345</v>
      </c>
      <c r="C1460" t="s">
        <v>5481</v>
      </c>
      <c r="D1460" t="s">
        <v>1176</v>
      </c>
      <c r="E1460" t="s">
        <v>712</v>
      </c>
      <c r="F1460" t="s">
        <v>1817</v>
      </c>
      <c r="G1460" t="s">
        <v>286</v>
      </c>
      <c r="H1460" t="s">
        <v>265</v>
      </c>
      <c r="I1460" t="s">
        <v>1082</v>
      </c>
      <c r="J1460" t="s">
        <v>1827</v>
      </c>
      <c r="K1460" t="s">
        <v>428</v>
      </c>
      <c r="L1460">
        <v>0.87</v>
      </c>
      <c r="M1460" t="s">
        <v>7346</v>
      </c>
      <c r="N1460" t="s">
        <v>7347</v>
      </c>
      <c r="O1460" t="s">
        <v>7348</v>
      </c>
      <c r="P1460" t="s">
        <v>485</v>
      </c>
      <c r="Q1460" t="s">
        <v>6845</v>
      </c>
      <c r="R1460" t="s">
        <v>6846</v>
      </c>
      <c r="S1460" t="s">
        <v>2885</v>
      </c>
      <c r="T1460" t="s">
        <v>2886</v>
      </c>
    </row>
    <row r="1461" spans="1:20">
      <c r="A1461" s="241">
        <v>44001</v>
      </c>
      <c r="B1461" t="s">
        <v>7349</v>
      </c>
      <c r="C1461" t="s">
        <v>2810</v>
      </c>
      <c r="D1461" t="s">
        <v>1986</v>
      </c>
      <c r="E1461" t="s">
        <v>712</v>
      </c>
      <c r="F1461" t="s">
        <v>426</v>
      </c>
      <c r="G1461" t="s">
        <v>591</v>
      </c>
      <c r="H1461" t="s">
        <v>2927</v>
      </c>
      <c r="I1461" t="s">
        <v>325</v>
      </c>
      <c r="J1461" t="s">
        <v>348</v>
      </c>
      <c r="K1461" t="s">
        <v>369</v>
      </c>
      <c r="L1461">
        <v>0.86</v>
      </c>
      <c r="M1461" t="s">
        <v>7350</v>
      </c>
      <c r="N1461" t="s">
        <v>7351</v>
      </c>
      <c r="O1461" t="s">
        <v>7352</v>
      </c>
      <c r="P1461" t="s">
        <v>485</v>
      </c>
      <c r="Q1461" t="s">
        <v>6845</v>
      </c>
      <c r="R1461" t="s">
        <v>6846</v>
      </c>
      <c r="S1461" t="s">
        <v>2885</v>
      </c>
      <c r="T1461" t="s">
        <v>2886</v>
      </c>
    </row>
    <row r="1462" spans="1:20">
      <c r="A1462" s="241">
        <v>44001</v>
      </c>
      <c r="B1462" t="s">
        <v>7353</v>
      </c>
      <c r="C1462" t="s">
        <v>1377</v>
      </c>
      <c r="D1462" t="s">
        <v>3679</v>
      </c>
      <c r="E1462" t="s">
        <v>392</v>
      </c>
      <c r="F1462" t="s">
        <v>706</v>
      </c>
      <c r="G1462" t="s">
        <v>856</v>
      </c>
      <c r="H1462" t="s">
        <v>2927</v>
      </c>
      <c r="I1462" t="s">
        <v>1842</v>
      </c>
      <c r="J1462" t="s">
        <v>337</v>
      </c>
      <c r="K1462" t="s">
        <v>408</v>
      </c>
      <c r="L1462">
        <v>0.86</v>
      </c>
      <c r="M1462" t="s">
        <v>7354</v>
      </c>
      <c r="N1462" t="s">
        <v>7355</v>
      </c>
      <c r="O1462" t="s">
        <v>7356</v>
      </c>
      <c r="P1462" t="s">
        <v>485</v>
      </c>
      <c r="Q1462" t="s">
        <v>6845</v>
      </c>
      <c r="R1462" t="s">
        <v>6846</v>
      </c>
      <c r="S1462" t="s">
        <v>2885</v>
      </c>
      <c r="T1462" t="s">
        <v>2886</v>
      </c>
    </row>
    <row r="1463" spans="1:20">
      <c r="A1463" s="241">
        <v>44001</v>
      </c>
      <c r="B1463" t="s">
        <v>7357</v>
      </c>
      <c r="C1463" t="s">
        <v>1986</v>
      </c>
      <c r="D1463" t="s">
        <v>3679</v>
      </c>
      <c r="E1463" t="s">
        <v>671</v>
      </c>
      <c r="F1463" t="s">
        <v>1493</v>
      </c>
      <c r="G1463" t="s">
        <v>1477</v>
      </c>
      <c r="H1463" t="s">
        <v>1255</v>
      </c>
      <c r="I1463" t="s">
        <v>882</v>
      </c>
      <c r="J1463" t="s">
        <v>1116</v>
      </c>
      <c r="K1463" t="s">
        <v>457</v>
      </c>
      <c r="L1463">
        <v>0.86</v>
      </c>
      <c r="M1463" t="s">
        <v>7358</v>
      </c>
      <c r="N1463" t="s">
        <v>7359</v>
      </c>
      <c r="O1463" t="s">
        <v>7360</v>
      </c>
      <c r="P1463" t="s">
        <v>485</v>
      </c>
      <c r="Q1463" t="s">
        <v>6845</v>
      </c>
      <c r="R1463" t="s">
        <v>6846</v>
      </c>
      <c r="S1463" t="s">
        <v>2885</v>
      </c>
      <c r="T1463" t="s">
        <v>2886</v>
      </c>
    </row>
    <row r="1464" spans="1:20">
      <c r="A1464" s="241">
        <v>44001</v>
      </c>
      <c r="B1464" t="s">
        <v>7361</v>
      </c>
      <c r="C1464" t="s">
        <v>488</v>
      </c>
      <c r="D1464" t="s">
        <v>3136</v>
      </c>
      <c r="E1464" t="s">
        <v>1079</v>
      </c>
      <c r="F1464" t="s">
        <v>354</v>
      </c>
      <c r="G1464" t="s">
        <v>1292</v>
      </c>
      <c r="H1464" t="s">
        <v>226</v>
      </c>
      <c r="I1464" t="s">
        <v>357</v>
      </c>
      <c r="J1464" t="s">
        <v>1116</v>
      </c>
      <c r="K1464" t="s">
        <v>369</v>
      </c>
      <c r="L1464">
        <v>0.86</v>
      </c>
      <c r="M1464" t="s">
        <v>7362</v>
      </c>
      <c r="N1464" t="s">
        <v>7363</v>
      </c>
      <c r="O1464" t="s">
        <v>7364</v>
      </c>
      <c r="P1464" t="s">
        <v>485</v>
      </c>
      <c r="Q1464" t="s">
        <v>6845</v>
      </c>
      <c r="R1464" t="s">
        <v>6846</v>
      </c>
      <c r="S1464" t="s">
        <v>2885</v>
      </c>
      <c r="T1464" t="s">
        <v>2886</v>
      </c>
    </row>
    <row r="1465" spans="1:20">
      <c r="A1465" s="241">
        <v>44001</v>
      </c>
      <c r="B1465" t="s">
        <v>7365</v>
      </c>
      <c r="C1465" t="s">
        <v>3136</v>
      </c>
      <c r="D1465" t="s">
        <v>488</v>
      </c>
      <c r="E1465" t="s">
        <v>679</v>
      </c>
      <c r="F1465" t="s">
        <v>374</v>
      </c>
      <c r="G1465" t="s">
        <v>334</v>
      </c>
      <c r="H1465" t="s">
        <v>813</v>
      </c>
      <c r="I1465" t="s">
        <v>1859</v>
      </c>
      <c r="J1465" t="s">
        <v>368</v>
      </c>
      <c r="K1465" t="s">
        <v>722</v>
      </c>
      <c r="L1465">
        <v>0.86</v>
      </c>
      <c r="M1465" t="s">
        <v>7366</v>
      </c>
      <c r="N1465" t="s">
        <v>7367</v>
      </c>
      <c r="O1465" t="s">
        <v>7368</v>
      </c>
      <c r="P1465" t="s">
        <v>485</v>
      </c>
      <c r="Q1465" t="s">
        <v>6845</v>
      </c>
      <c r="R1465" t="s">
        <v>6846</v>
      </c>
      <c r="S1465" t="s">
        <v>2885</v>
      </c>
      <c r="T1465" t="s">
        <v>2886</v>
      </c>
    </row>
    <row r="1466" spans="1:20">
      <c r="A1466" s="241">
        <v>44001</v>
      </c>
      <c r="B1466" t="s">
        <v>7369</v>
      </c>
      <c r="C1466" t="s">
        <v>1986</v>
      </c>
      <c r="D1466" t="s">
        <v>488</v>
      </c>
      <c r="E1466" t="s">
        <v>1139</v>
      </c>
      <c r="F1466" t="s">
        <v>662</v>
      </c>
      <c r="G1466" t="s">
        <v>365</v>
      </c>
      <c r="H1466" t="s">
        <v>335</v>
      </c>
      <c r="I1466" t="s">
        <v>376</v>
      </c>
      <c r="J1466" t="s">
        <v>684</v>
      </c>
      <c r="K1466" t="s">
        <v>428</v>
      </c>
      <c r="L1466">
        <v>0.86</v>
      </c>
      <c r="M1466" t="s">
        <v>7370</v>
      </c>
      <c r="N1466" t="s">
        <v>7371</v>
      </c>
      <c r="O1466" t="s">
        <v>7372</v>
      </c>
      <c r="P1466" t="s">
        <v>485</v>
      </c>
      <c r="Q1466" t="s">
        <v>6845</v>
      </c>
      <c r="R1466" t="s">
        <v>6846</v>
      </c>
      <c r="S1466" t="s">
        <v>2885</v>
      </c>
      <c r="T1466" t="s">
        <v>2886</v>
      </c>
    </row>
    <row r="1467" spans="1:20">
      <c r="A1467" s="241">
        <v>44001</v>
      </c>
      <c r="B1467" t="s">
        <v>7373</v>
      </c>
      <c r="C1467" t="s">
        <v>3679</v>
      </c>
      <c r="D1467" t="s">
        <v>5481</v>
      </c>
      <c r="E1467" t="s">
        <v>671</v>
      </c>
      <c r="F1467" t="s">
        <v>1536</v>
      </c>
      <c r="G1467" t="s">
        <v>2177</v>
      </c>
      <c r="H1467" t="s">
        <v>566</v>
      </c>
      <c r="I1467" t="s">
        <v>1547</v>
      </c>
      <c r="J1467" t="s">
        <v>1298</v>
      </c>
      <c r="K1467" t="s">
        <v>722</v>
      </c>
      <c r="L1467">
        <v>0.86</v>
      </c>
      <c r="M1467" t="s">
        <v>7374</v>
      </c>
      <c r="N1467" t="s">
        <v>7375</v>
      </c>
      <c r="O1467" t="s">
        <v>7376</v>
      </c>
      <c r="P1467" t="s">
        <v>485</v>
      </c>
      <c r="Q1467" t="s">
        <v>6845</v>
      </c>
      <c r="R1467" t="s">
        <v>6846</v>
      </c>
      <c r="S1467" t="s">
        <v>2885</v>
      </c>
      <c r="T1467" t="s">
        <v>2886</v>
      </c>
    </row>
    <row r="1468" spans="1:20">
      <c r="A1468" s="241">
        <v>44001</v>
      </c>
      <c r="B1468" t="s">
        <v>7377</v>
      </c>
      <c r="C1468" t="s">
        <v>3679</v>
      </c>
      <c r="D1468" t="s">
        <v>1877</v>
      </c>
      <c r="E1468" t="s">
        <v>712</v>
      </c>
      <c r="F1468" t="s">
        <v>662</v>
      </c>
      <c r="G1468" t="s">
        <v>1104</v>
      </c>
      <c r="H1468" t="s">
        <v>1769</v>
      </c>
      <c r="I1468" t="s">
        <v>674</v>
      </c>
      <c r="J1468" t="s">
        <v>691</v>
      </c>
      <c r="K1468" t="s">
        <v>7052</v>
      </c>
      <c r="L1468">
        <v>0.86</v>
      </c>
      <c r="M1468" t="s">
        <v>7378</v>
      </c>
      <c r="N1468" t="s">
        <v>7379</v>
      </c>
      <c r="O1468" t="s">
        <v>7380</v>
      </c>
      <c r="P1468" t="s">
        <v>485</v>
      </c>
      <c r="Q1468" t="s">
        <v>6845</v>
      </c>
      <c r="R1468" t="s">
        <v>6846</v>
      </c>
      <c r="S1468" t="s">
        <v>2885</v>
      </c>
      <c r="T1468" t="s">
        <v>2886</v>
      </c>
    </row>
    <row r="1469" spans="1:20">
      <c r="A1469" s="241">
        <v>44001</v>
      </c>
      <c r="B1469" t="s">
        <v>7381</v>
      </c>
      <c r="C1469" t="s">
        <v>3136</v>
      </c>
      <c r="D1469" t="s">
        <v>3679</v>
      </c>
      <c r="E1469" t="s">
        <v>631</v>
      </c>
      <c r="F1469" t="s">
        <v>1882</v>
      </c>
      <c r="G1469" t="s">
        <v>1115</v>
      </c>
      <c r="H1469" t="s">
        <v>1050</v>
      </c>
      <c r="I1469" t="s">
        <v>386</v>
      </c>
      <c r="J1469" t="s">
        <v>1141</v>
      </c>
      <c r="K1469" t="s">
        <v>7065</v>
      </c>
      <c r="L1469">
        <v>0.86</v>
      </c>
      <c r="M1469" t="s">
        <v>7382</v>
      </c>
      <c r="N1469" t="s">
        <v>7383</v>
      </c>
      <c r="O1469" t="s">
        <v>7384</v>
      </c>
      <c r="P1469" t="s">
        <v>485</v>
      </c>
      <c r="Q1469" t="s">
        <v>6845</v>
      </c>
      <c r="R1469" t="s">
        <v>6846</v>
      </c>
      <c r="S1469" t="s">
        <v>2885</v>
      </c>
      <c r="T1469" t="s">
        <v>2886</v>
      </c>
    </row>
    <row r="1470" spans="1:20">
      <c r="A1470" s="241">
        <v>44001</v>
      </c>
      <c r="B1470" t="s">
        <v>7385</v>
      </c>
      <c r="C1470" t="s">
        <v>3669</v>
      </c>
      <c r="D1470" t="s">
        <v>1877</v>
      </c>
      <c r="E1470" t="s">
        <v>2478</v>
      </c>
      <c r="F1470" t="s">
        <v>1882</v>
      </c>
      <c r="G1470" t="s">
        <v>663</v>
      </c>
      <c r="H1470" t="s">
        <v>385</v>
      </c>
      <c r="I1470" t="s">
        <v>1134</v>
      </c>
      <c r="J1470" t="s">
        <v>699</v>
      </c>
      <c r="K1470" t="s">
        <v>6918</v>
      </c>
      <c r="L1470">
        <v>0.86</v>
      </c>
      <c r="M1470" t="s">
        <v>7386</v>
      </c>
      <c r="N1470" t="s">
        <v>7387</v>
      </c>
      <c r="O1470" t="s">
        <v>7388</v>
      </c>
      <c r="P1470" t="s">
        <v>485</v>
      </c>
      <c r="Q1470" t="s">
        <v>6845</v>
      </c>
      <c r="R1470" t="s">
        <v>6846</v>
      </c>
      <c r="S1470" t="s">
        <v>2885</v>
      </c>
      <c r="T1470" t="s">
        <v>2886</v>
      </c>
    </row>
    <row r="1471" spans="1:20">
      <c r="A1471" s="241">
        <v>44001</v>
      </c>
      <c r="B1471" t="s">
        <v>7389</v>
      </c>
      <c r="C1471" t="s">
        <v>3136</v>
      </c>
      <c r="D1471" t="s">
        <v>1196</v>
      </c>
      <c r="E1471" t="s">
        <v>614</v>
      </c>
      <c r="F1471" t="s">
        <v>393</v>
      </c>
      <c r="G1471" t="s">
        <v>681</v>
      </c>
      <c r="H1471" t="s">
        <v>616</v>
      </c>
      <c r="I1471" t="s">
        <v>1579</v>
      </c>
      <c r="J1471" t="s">
        <v>1304</v>
      </c>
      <c r="K1471" t="s">
        <v>7052</v>
      </c>
      <c r="L1471">
        <v>0.86</v>
      </c>
      <c r="M1471" t="s">
        <v>7390</v>
      </c>
      <c r="N1471" t="s">
        <v>7391</v>
      </c>
      <c r="O1471" t="s">
        <v>7392</v>
      </c>
      <c r="P1471" t="s">
        <v>485</v>
      </c>
      <c r="Q1471" t="s">
        <v>6845</v>
      </c>
      <c r="R1471" t="s">
        <v>6846</v>
      </c>
      <c r="S1471" t="s">
        <v>2885</v>
      </c>
      <c r="T1471" t="s">
        <v>2886</v>
      </c>
    </row>
    <row r="1472" spans="1:20">
      <c r="A1472" s="241">
        <v>44001</v>
      </c>
      <c r="B1472" t="s">
        <v>7393</v>
      </c>
      <c r="C1472" t="s">
        <v>1986</v>
      </c>
      <c r="D1472" t="s">
        <v>1877</v>
      </c>
      <c r="E1472" t="s">
        <v>712</v>
      </c>
      <c r="F1472" t="s">
        <v>413</v>
      </c>
      <c r="G1472" t="s">
        <v>910</v>
      </c>
      <c r="H1472" t="s">
        <v>1546</v>
      </c>
      <c r="I1472" t="s">
        <v>1923</v>
      </c>
      <c r="J1472" t="s">
        <v>437</v>
      </c>
      <c r="K1472" t="s">
        <v>7035</v>
      </c>
      <c r="L1472">
        <v>0.86</v>
      </c>
      <c r="M1472" t="s">
        <v>7394</v>
      </c>
      <c r="N1472" t="s">
        <v>7395</v>
      </c>
      <c r="O1472" t="s">
        <v>7396</v>
      </c>
      <c r="P1472" t="s">
        <v>485</v>
      </c>
      <c r="Q1472" t="s">
        <v>6845</v>
      </c>
      <c r="R1472" t="s">
        <v>6846</v>
      </c>
      <c r="S1472" t="s">
        <v>2885</v>
      </c>
      <c r="T1472" t="s">
        <v>2886</v>
      </c>
    </row>
    <row r="1473" spans="1:20">
      <c r="A1473" s="241">
        <v>44001</v>
      </c>
      <c r="B1473" t="s">
        <v>7397</v>
      </c>
      <c r="C1473" t="s">
        <v>1986</v>
      </c>
      <c r="D1473" t="s">
        <v>488</v>
      </c>
      <c r="E1473" t="s">
        <v>1139</v>
      </c>
      <c r="F1473" t="s">
        <v>1882</v>
      </c>
      <c r="G1473" t="s">
        <v>1610</v>
      </c>
      <c r="H1473" t="s">
        <v>395</v>
      </c>
      <c r="I1473" t="s">
        <v>406</v>
      </c>
      <c r="J1473" t="s">
        <v>417</v>
      </c>
      <c r="K1473" t="s">
        <v>6918</v>
      </c>
      <c r="L1473">
        <v>0.86</v>
      </c>
      <c r="M1473" t="s">
        <v>7398</v>
      </c>
      <c r="N1473" t="s">
        <v>7399</v>
      </c>
      <c r="O1473" t="s">
        <v>7400</v>
      </c>
      <c r="P1473" t="s">
        <v>485</v>
      </c>
      <c r="Q1473" t="s">
        <v>6845</v>
      </c>
      <c r="R1473" t="s">
        <v>6846</v>
      </c>
      <c r="S1473" t="s">
        <v>2885</v>
      </c>
      <c r="T1473" t="s">
        <v>2886</v>
      </c>
    </row>
    <row r="1474" spans="1:20">
      <c r="A1474" s="241">
        <v>44001</v>
      </c>
      <c r="B1474" t="s">
        <v>7401</v>
      </c>
      <c r="C1474" t="s">
        <v>5481</v>
      </c>
      <c r="D1474" t="s">
        <v>5481</v>
      </c>
      <c r="E1474" t="s">
        <v>671</v>
      </c>
      <c r="F1474" t="s">
        <v>917</v>
      </c>
      <c r="G1474" t="s">
        <v>1605</v>
      </c>
      <c r="H1474" t="s">
        <v>1574</v>
      </c>
      <c r="I1474" t="s">
        <v>427</v>
      </c>
      <c r="J1474" t="s">
        <v>954</v>
      </c>
      <c r="K1474" t="s">
        <v>7052</v>
      </c>
      <c r="L1474">
        <v>0.86</v>
      </c>
      <c r="M1474" t="s">
        <v>7402</v>
      </c>
      <c r="N1474" t="s">
        <v>7403</v>
      </c>
      <c r="O1474" t="s">
        <v>7404</v>
      </c>
      <c r="P1474" t="s">
        <v>485</v>
      </c>
      <c r="Q1474" t="s">
        <v>6845</v>
      </c>
      <c r="R1474" t="s">
        <v>6846</v>
      </c>
      <c r="S1474" t="s">
        <v>2885</v>
      </c>
      <c r="T1474" t="s">
        <v>2886</v>
      </c>
    </row>
    <row r="1475" spans="1:20">
      <c r="A1475" s="241">
        <v>44001</v>
      </c>
      <c r="B1475" t="s">
        <v>7405</v>
      </c>
      <c r="C1475" t="s">
        <v>3136</v>
      </c>
      <c r="D1475" t="s">
        <v>262</v>
      </c>
      <c r="E1475" t="s">
        <v>712</v>
      </c>
      <c r="F1475" t="s">
        <v>909</v>
      </c>
      <c r="G1475" t="s">
        <v>925</v>
      </c>
      <c r="H1475" t="s">
        <v>1591</v>
      </c>
      <c r="I1475" t="s">
        <v>416</v>
      </c>
      <c r="J1475" t="s">
        <v>1159</v>
      </c>
      <c r="K1475" t="s">
        <v>7052</v>
      </c>
      <c r="L1475">
        <v>0.86</v>
      </c>
      <c r="M1475" t="s">
        <v>7406</v>
      </c>
      <c r="N1475" t="s">
        <v>7407</v>
      </c>
      <c r="O1475" t="s">
        <v>7408</v>
      </c>
      <c r="P1475" t="s">
        <v>485</v>
      </c>
      <c r="Q1475" t="s">
        <v>6845</v>
      </c>
      <c r="R1475" t="s">
        <v>6846</v>
      </c>
      <c r="S1475" t="s">
        <v>2885</v>
      </c>
      <c r="T1475" t="s">
        <v>2886</v>
      </c>
    </row>
    <row r="1476" spans="1:20">
      <c r="A1476" s="241">
        <v>44001</v>
      </c>
      <c r="B1476" t="s">
        <v>7409</v>
      </c>
      <c r="C1476" t="s">
        <v>1877</v>
      </c>
      <c r="D1476" t="s">
        <v>1196</v>
      </c>
      <c r="E1476" t="s">
        <v>442</v>
      </c>
      <c r="F1476" t="s">
        <v>909</v>
      </c>
      <c r="G1476" t="s">
        <v>938</v>
      </c>
      <c r="H1476" t="s">
        <v>1591</v>
      </c>
      <c r="I1476" t="s">
        <v>436</v>
      </c>
      <c r="J1476" t="s">
        <v>447</v>
      </c>
      <c r="K1476" t="s">
        <v>7083</v>
      </c>
      <c r="L1476">
        <v>0.86</v>
      </c>
      <c r="M1476" t="s">
        <v>7410</v>
      </c>
      <c r="N1476" t="s">
        <v>7411</v>
      </c>
      <c r="O1476" t="s">
        <v>7412</v>
      </c>
      <c r="P1476" t="s">
        <v>485</v>
      </c>
      <c r="Q1476" t="s">
        <v>6845</v>
      </c>
      <c r="R1476" t="s">
        <v>6846</v>
      </c>
      <c r="S1476" t="s">
        <v>2885</v>
      </c>
      <c r="T1476" t="s">
        <v>2886</v>
      </c>
    </row>
    <row r="1477" spans="1:20">
      <c r="A1477" s="241">
        <v>44001</v>
      </c>
      <c r="B1477" t="s">
        <v>7413</v>
      </c>
      <c r="C1477" t="s">
        <v>1367</v>
      </c>
      <c r="D1477" t="s">
        <v>3679</v>
      </c>
      <c r="E1477" t="s">
        <v>631</v>
      </c>
      <c r="F1477" t="s">
        <v>924</v>
      </c>
      <c r="G1477" t="s">
        <v>414</v>
      </c>
      <c r="H1477" t="s">
        <v>1591</v>
      </c>
      <c r="I1477" t="s">
        <v>1158</v>
      </c>
      <c r="J1477" t="s">
        <v>1171</v>
      </c>
      <c r="K1477" t="s">
        <v>6924</v>
      </c>
      <c r="L1477">
        <v>0.86</v>
      </c>
      <c r="M1477" t="s">
        <v>7414</v>
      </c>
      <c r="N1477" t="s">
        <v>7415</v>
      </c>
      <c r="O1477" t="s">
        <v>7416</v>
      </c>
      <c r="P1477" t="s">
        <v>485</v>
      </c>
      <c r="Q1477" t="s">
        <v>6845</v>
      </c>
      <c r="R1477" t="s">
        <v>6846</v>
      </c>
      <c r="S1477" t="s">
        <v>2885</v>
      </c>
      <c r="T1477" t="s">
        <v>2886</v>
      </c>
    </row>
    <row r="1478" spans="1:20">
      <c r="A1478" s="241">
        <v>44001</v>
      </c>
      <c r="B1478" t="s">
        <v>7417</v>
      </c>
      <c r="C1478" t="s">
        <v>2821</v>
      </c>
      <c r="D1478" t="s">
        <v>3136</v>
      </c>
      <c r="E1478" t="s">
        <v>679</v>
      </c>
      <c r="F1478" t="s">
        <v>403</v>
      </c>
      <c r="G1478" t="s">
        <v>414</v>
      </c>
      <c r="H1478" t="s">
        <v>445</v>
      </c>
      <c r="I1478" t="s">
        <v>721</v>
      </c>
      <c r="J1478" t="s">
        <v>5779</v>
      </c>
      <c r="K1478" t="s">
        <v>5949</v>
      </c>
      <c r="L1478">
        <v>0.86</v>
      </c>
      <c r="M1478" t="s">
        <v>7418</v>
      </c>
      <c r="N1478" t="s">
        <v>7419</v>
      </c>
      <c r="O1478" t="s">
        <v>7420</v>
      </c>
      <c r="P1478" t="s">
        <v>485</v>
      </c>
      <c r="Q1478" t="s">
        <v>6845</v>
      </c>
      <c r="R1478" t="s">
        <v>6846</v>
      </c>
      <c r="S1478" t="s">
        <v>2885</v>
      </c>
      <c r="T1478" t="s">
        <v>2886</v>
      </c>
    </row>
    <row r="1479" spans="1:20">
      <c r="A1479" s="241">
        <v>44001</v>
      </c>
      <c r="B1479" t="s">
        <v>7421</v>
      </c>
      <c r="C1479" t="s">
        <v>1176</v>
      </c>
      <c r="D1479" t="s">
        <v>1877</v>
      </c>
      <c r="E1479" t="s">
        <v>625</v>
      </c>
      <c r="F1479" t="s">
        <v>952</v>
      </c>
      <c r="G1479" t="s">
        <v>1157</v>
      </c>
      <c r="H1479" t="s">
        <v>706</v>
      </c>
      <c r="I1479" t="s">
        <v>947</v>
      </c>
      <c r="J1479" t="s">
        <v>6929</v>
      </c>
      <c r="K1479" t="s">
        <v>7083</v>
      </c>
      <c r="L1479">
        <v>0.86</v>
      </c>
      <c r="M1479" t="s">
        <v>7422</v>
      </c>
      <c r="N1479" t="s">
        <v>7423</v>
      </c>
      <c r="O1479" t="s">
        <v>7424</v>
      </c>
      <c r="P1479" t="s">
        <v>485</v>
      </c>
      <c r="Q1479" t="s">
        <v>6845</v>
      </c>
      <c r="R1479" t="s">
        <v>6846</v>
      </c>
      <c r="S1479" t="s">
        <v>2885</v>
      </c>
      <c r="T1479" t="s">
        <v>2886</v>
      </c>
    </row>
    <row r="1480" spans="1:20">
      <c r="A1480" s="241">
        <v>44001</v>
      </c>
      <c r="B1480" t="s">
        <v>7425</v>
      </c>
      <c r="C1480" t="s">
        <v>487</v>
      </c>
      <c r="D1480" t="s">
        <v>6942</v>
      </c>
      <c r="E1480" t="s">
        <v>2626</v>
      </c>
      <c r="F1480" t="s">
        <v>6596</v>
      </c>
      <c r="G1480" t="s">
        <v>4346</v>
      </c>
      <c r="H1480" t="s">
        <v>980</v>
      </c>
      <c r="I1480" t="s">
        <v>7426</v>
      </c>
      <c r="J1480" t="s">
        <v>7427</v>
      </c>
      <c r="K1480" t="s">
        <v>7428</v>
      </c>
      <c r="L1480">
        <v>0.89</v>
      </c>
      <c r="M1480" t="s">
        <v>7429</v>
      </c>
      <c r="N1480" t="s">
        <v>7430</v>
      </c>
      <c r="O1480" t="s">
        <v>7431</v>
      </c>
      <c r="P1480" t="s">
        <v>485</v>
      </c>
      <c r="Q1480" t="s">
        <v>6845</v>
      </c>
      <c r="R1480" t="s">
        <v>6846</v>
      </c>
      <c r="S1480" t="s">
        <v>2885</v>
      </c>
      <c r="T1480" t="s">
        <v>2886</v>
      </c>
    </row>
    <row r="1481" spans="1:20">
      <c r="A1481" s="241">
        <v>44001</v>
      </c>
      <c r="B1481" t="s">
        <v>7432</v>
      </c>
      <c r="C1481" t="s">
        <v>6950</v>
      </c>
      <c r="D1481" t="s">
        <v>6985</v>
      </c>
      <c r="E1481" t="s">
        <v>1348</v>
      </c>
      <c r="F1481" t="s">
        <v>1968</v>
      </c>
      <c r="G1481" t="s">
        <v>971</v>
      </c>
      <c r="H1481" t="s">
        <v>3681</v>
      </c>
      <c r="I1481" t="s">
        <v>3139</v>
      </c>
      <c r="J1481" t="s">
        <v>5488</v>
      </c>
      <c r="K1481" t="s">
        <v>7433</v>
      </c>
      <c r="L1481">
        <v>0.89</v>
      </c>
      <c r="M1481" t="s">
        <v>7434</v>
      </c>
      <c r="N1481" t="s">
        <v>7435</v>
      </c>
      <c r="O1481" t="s">
        <v>7436</v>
      </c>
      <c r="P1481" t="s">
        <v>485</v>
      </c>
      <c r="Q1481" t="s">
        <v>6845</v>
      </c>
      <c r="R1481" t="s">
        <v>6846</v>
      </c>
      <c r="S1481" t="s">
        <v>2885</v>
      </c>
      <c r="T1481" t="s">
        <v>2886</v>
      </c>
    </row>
    <row r="1482" spans="1:20">
      <c r="A1482" s="241">
        <v>44001</v>
      </c>
      <c r="B1482" t="s">
        <v>7437</v>
      </c>
      <c r="C1482" t="s">
        <v>6942</v>
      </c>
      <c r="D1482" t="s">
        <v>7125</v>
      </c>
      <c r="E1482" t="s">
        <v>499</v>
      </c>
      <c r="F1482" t="s">
        <v>766</v>
      </c>
      <c r="G1482" t="s">
        <v>1206</v>
      </c>
      <c r="H1482" t="s">
        <v>991</v>
      </c>
      <c r="I1482" t="s">
        <v>3129</v>
      </c>
      <c r="J1482" t="s">
        <v>6587</v>
      </c>
      <c r="K1482" t="s">
        <v>1650</v>
      </c>
      <c r="L1482">
        <v>0.89</v>
      </c>
      <c r="M1482" t="s">
        <v>7438</v>
      </c>
      <c r="N1482" t="s">
        <v>7439</v>
      </c>
      <c r="O1482" t="s">
        <v>7440</v>
      </c>
      <c r="P1482" t="s">
        <v>485</v>
      </c>
      <c r="Q1482" t="s">
        <v>6845</v>
      </c>
      <c r="R1482" t="s">
        <v>6846</v>
      </c>
      <c r="S1482" t="s">
        <v>2885</v>
      </c>
      <c r="T1482" t="s">
        <v>2886</v>
      </c>
    </row>
    <row r="1483" spans="1:20">
      <c r="A1483" s="241">
        <v>44001</v>
      </c>
      <c r="B1483" t="s">
        <v>7441</v>
      </c>
      <c r="C1483" t="s">
        <v>7116</v>
      </c>
      <c r="D1483" t="s">
        <v>7442</v>
      </c>
      <c r="E1483" t="s">
        <v>747</v>
      </c>
      <c r="F1483" t="s">
        <v>5468</v>
      </c>
      <c r="G1483" t="s">
        <v>7443</v>
      </c>
      <c r="H1483" t="s">
        <v>7444</v>
      </c>
      <c r="I1483" t="s">
        <v>5482</v>
      </c>
      <c r="J1483" t="s">
        <v>6823</v>
      </c>
      <c r="K1483" t="s">
        <v>4358</v>
      </c>
      <c r="L1483">
        <v>0.89</v>
      </c>
      <c r="M1483" t="s">
        <v>7445</v>
      </c>
      <c r="N1483" t="s">
        <v>7446</v>
      </c>
      <c r="O1483" t="s">
        <v>7447</v>
      </c>
      <c r="P1483" t="s">
        <v>485</v>
      </c>
      <c r="Q1483" t="s">
        <v>6845</v>
      </c>
      <c r="R1483" t="s">
        <v>6846</v>
      </c>
      <c r="S1483" t="s">
        <v>2885</v>
      </c>
      <c r="T1483" t="s">
        <v>2886</v>
      </c>
    </row>
    <row r="1484" spans="1:20">
      <c r="A1484" s="241">
        <v>44001</v>
      </c>
      <c r="B1484" t="s">
        <v>7448</v>
      </c>
      <c r="C1484" t="s">
        <v>1666</v>
      </c>
      <c r="D1484" t="s">
        <v>2626</v>
      </c>
      <c r="E1484" t="s">
        <v>614</v>
      </c>
      <c r="F1484" t="s">
        <v>1390</v>
      </c>
      <c r="G1484" t="s">
        <v>7449</v>
      </c>
      <c r="H1484" t="s">
        <v>4376</v>
      </c>
      <c r="I1484" t="s">
        <v>3840</v>
      </c>
      <c r="J1484" t="s">
        <v>1681</v>
      </c>
      <c r="K1484" t="s">
        <v>214</v>
      </c>
      <c r="L1484">
        <v>0.87</v>
      </c>
      <c r="M1484" t="s">
        <v>7450</v>
      </c>
      <c r="N1484" t="s">
        <v>7451</v>
      </c>
      <c r="O1484" t="s">
        <v>7452</v>
      </c>
      <c r="P1484" t="s">
        <v>485</v>
      </c>
      <c r="Q1484" t="s">
        <v>6845</v>
      </c>
      <c r="R1484" t="s">
        <v>6846</v>
      </c>
      <c r="S1484" t="s">
        <v>2885</v>
      </c>
      <c r="T1484" t="s">
        <v>2886</v>
      </c>
    </row>
    <row r="1485" spans="1:20">
      <c r="A1485" s="241">
        <v>44001</v>
      </c>
      <c r="B1485" t="s">
        <v>7453</v>
      </c>
      <c r="C1485" t="s">
        <v>2644</v>
      </c>
      <c r="D1485" t="s">
        <v>2811</v>
      </c>
      <c r="E1485" t="s">
        <v>1079</v>
      </c>
      <c r="F1485" t="s">
        <v>3554</v>
      </c>
      <c r="G1485" t="s">
        <v>1389</v>
      </c>
      <c r="H1485" t="s">
        <v>1225</v>
      </c>
      <c r="I1485" t="s">
        <v>1232</v>
      </c>
      <c r="J1485" t="s">
        <v>1240</v>
      </c>
      <c r="K1485" t="s">
        <v>280</v>
      </c>
      <c r="L1485">
        <v>0.87</v>
      </c>
      <c r="M1485" t="s">
        <v>7454</v>
      </c>
      <c r="N1485" t="s">
        <v>7455</v>
      </c>
      <c r="O1485" t="s">
        <v>7456</v>
      </c>
      <c r="P1485" t="s">
        <v>485</v>
      </c>
      <c r="Q1485" t="s">
        <v>6845</v>
      </c>
      <c r="R1485" t="s">
        <v>6846</v>
      </c>
      <c r="S1485" t="s">
        <v>2885</v>
      </c>
      <c r="T1485" t="s">
        <v>2886</v>
      </c>
    </row>
    <row r="1486" spans="1:20">
      <c r="A1486" s="241">
        <v>44001</v>
      </c>
      <c r="B1486" t="s">
        <v>7457</v>
      </c>
      <c r="C1486" t="s">
        <v>3831</v>
      </c>
      <c r="D1486" t="s">
        <v>2821</v>
      </c>
      <c r="E1486" t="s">
        <v>237</v>
      </c>
      <c r="F1486" t="s">
        <v>1057</v>
      </c>
      <c r="G1486" t="s">
        <v>2463</v>
      </c>
      <c r="H1486" t="s">
        <v>2456</v>
      </c>
      <c r="I1486" t="s">
        <v>1226</v>
      </c>
      <c r="J1486" t="s">
        <v>1428</v>
      </c>
      <c r="K1486" t="s">
        <v>338</v>
      </c>
      <c r="L1486">
        <v>0.87</v>
      </c>
      <c r="M1486" t="s">
        <v>7458</v>
      </c>
      <c r="N1486" t="s">
        <v>7459</v>
      </c>
      <c r="O1486" t="s">
        <v>7460</v>
      </c>
      <c r="P1486" t="s">
        <v>485</v>
      </c>
      <c r="Q1486" t="s">
        <v>6845</v>
      </c>
      <c r="R1486" t="s">
        <v>6846</v>
      </c>
      <c r="S1486" t="s">
        <v>2885</v>
      </c>
      <c r="T1486" t="s">
        <v>2886</v>
      </c>
    </row>
    <row r="1487" spans="1:20">
      <c r="A1487" s="241">
        <v>44001</v>
      </c>
      <c r="B1487" t="s">
        <v>7461</v>
      </c>
      <c r="C1487" t="s">
        <v>1665</v>
      </c>
      <c r="D1487" t="s">
        <v>1176</v>
      </c>
      <c r="E1487" t="s">
        <v>442</v>
      </c>
      <c r="F1487" t="s">
        <v>862</v>
      </c>
      <c r="G1487" t="s">
        <v>1398</v>
      </c>
      <c r="H1487" t="s">
        <v>531</v>
      </c>
      <c r="I1487" t="s">
        <v>1747</v>
      </c>
      <c r="J1487" t="s">
        <v>243</v>
      </c>
      <c r="K1487" t="s">
        <v>338</v>
      </c>
      <c r="L1487">
        <v>0.87</v>
      </c>
      <c r="M1487" t="s">
        <v>7462</v>
      </c>
      <c r="N1487" t="s">
        <v>7463</v>
      </c>
      <c r="O1487" t="s">
        <v>7464</v>
      </c>
      <c r="P1487" t="s">
        <v>485</v>
      </c>
      <c r="Q1487" t="s">
        <v>6845</v>
      </c>
      <c r="R1487" t="s">
        <v>6846</v>
      </c>
      <c r="S1487" t="s">
        <v>2885</v>
      </c>
      <c r="T1487" t="s">
        <v>2886</v>
      </c>
    </row>
    <row r="1488" spans="1:20">
      <c r="A1488" s="241">
        <v>44001</v>
      </c>
      <c r="B1488" t="s">
        <v>7465</v>
      </c>
      <c r="C1488" t="s">
        <v>1176</v>
      </c>
      <c r="D1488" t="s">
        <v>1176</v>
      </c>
      <c r="E1488" t="s">
        <v>423</v>
      </c>
      <c r="F1488" t="s">
        <v>1478</v>
      </c>
      <c r="G1488" t="s">
        <v>2291</v>
      </c>
      <c r="H1488" t="s">
        <v>2305</v>
      </c>
      <c r="I1488" t="s">
        <v>1747</v>
      </c>
      <c r="J1488" t="s">
        <v>243</v>
      </c>
      <c r="K1488" t="s">
        <v>651</v>
      </c>
      <c r="L1488">
        <v>0.87</v>
      </c>
      <c r="M1488" t="s">
        <v>7466</v>
      </c>
      <c r="N1488" t="s">
        <v>7467</v>
      </c>
      <c r="O1488" t="s">
        <v>7468</v>
      </c>
      <c r="P1488" t="s">
        <v>485</v>
      </c>
      <c r="Q1488" t="s">
        <v>6845</v>
      </c>
      <c r="R1488" t="s">
        <v>6846</v>
      </c>
      <c r="S1488" t="s">
        <v>2885</v>
      </c>
      <c r="T1488" t="s">
        <v>2886</v>
      </c>
    </row>
    <row r="1489" spans="1:20">
      <c r="A1489" s="241">
        <v>44001</v>
      </c>
      <c r="B1489" t="s">
        <v>7469</v>
      </c>
      <c r="C1489" t="s">
        <v>3831</v>
      </c>
      <c r="D1489" t="s">
        <v>2448</v>
      </c>
      <c r="E1489" t="s">
        <v>614</v>
      </c>
      <c r="F1489" t="s">
        <v>862</v>
      </c>
      <c r="G1489" t="s">
        <v>2080</v>
      </c>
      <c r="H1489" t="s">
        <v>1257</v>
      </c>
      <c r="I1489" t="s">
        <v>824</v>
      </c>
      <c r="J1489" t="s">
        <v>1786</v>
      </c>
      <c r="K1489" t="s">
        <v>349</v>
      </c>
      <c r="L1489">
        <v>0.87</v>
      </c>
      <c r="M1489" t="s">
        <v>7470</v>
      </c>
      <c r="N1489" t="s">
        <v>7471</v>
      </c>
      <c r="O1489" t="s">
        <v>7472</v>
      </c>
      <c r="P1489" t="s">
        <v>485</v>
      </c>
      <c r="Q1489" t="s">
        <v>6845</v>
      </c>
      <c r="R1489" t="s">
        <v>6846</v>
      </c>
      <c r="S1489" t="s">
        <v>2885</v>
      </c>
      <c r="T1489" t="s">
        <v>2886</v>
      </c>
    </row>
    <row r="1490" spans="1:20">
      <c r="A1490" s="241">
        <v>44001</v>
      </c>
      <c r="B1490" t="s">
        <v>7473</v>
      </c>
      <c r="C1490" t="s">
        <v>2810</v>
      </c>
      <c r="D1490" t="s">
        <v>2626</v>
      </c>
      <c r="E1490" t="s">
        <v>274</v>
      </c>
      <c r="F1490" t="s">
        <v>1478</v>
      </c>
      <c r="G1490" t="s">
        <v>1745</v>
      </c>
      <c r="H1490" t="s">
        <v>1051</v>
      </c>
      <c r="I1490" t="s">
        <v>229</v>
      </c>
      <c r="J1490" t="s">
        <v>578</v>
      </c>
      <c r="K1490" t="s">
        <v>349</v>
      </c>
      <c r="L1490">
        <v>0.87</v>
      </c>
      <c r="M1490" t="s">
        <v>7474</v>
      </c>
      <c r="N1490" t="s">
        <v>7475</v>
      </c>
      <c r="O1490" t="s">
        <v>7476</v>
      </c>
      <c r="P1490" t="s">
        <v>485</v>
      </c>
      <c r="Q1490" t="s">
        <v>6845</v>
      </c>
      <c r="R1490" t="s">
        <v>6846</v>
      </c>
      <c r="S1490" t="s">
        <v>2885</v>
      </c>
      <c r="T1490" t="s">
        <v>2886</v>
      </c>
    </row>
    <row r="1491" spans="1:20">
      <c r="A1491" s="241">
        <v>44001</v>
      </c>
      <c r="B1491" t="s">
        <v>7477</v>
      </c>
      <c r="C1491" t="s">
        <v>1176</v>
      </c>
      <c r="D1491" t="s">
        <v>1377</v>
      </c>
      <c r="E1491" t="s">
        <v>249</v>
      </c>
      <c r="F1491" t="s">
        <v>566</v>
      </c>
      <c r="G1491" t="s">
        <v>240</v>
      </c>
      <c r="H1491" t="s">
        <v>568</v>
      </c>
      <c r="I1491" t="s">
        <v>838</v>
      </c>
      <c r="J1491" t="s">
        <v>850</v>
      </c>
      <c r="K1491" t="s">
        <v>349</v>
      </c>
      <c r="L1491">
        <v>0.87</v>
      </c>
      <c r="M1491" t="s">
        <v>7478</v>
      </c>
      <c r="N1491" t="s">
        <v>7479</v>
      </c>
      <c r="O1491" t="s">
        <v>7480</v>
      </c>
      <c r="P1491" t="s">
        <v>485</v>
      </c>
      <c r="Q1491" t="s">
        <v>6845</v>
      </c>
      <c r="R1491" t="s">
        <v>6846</v>
      </c>
      <c r="S1491" t="s">
        <v>2885</v>
      </c>
      <c r="T1491" t="s">
        <v>2886</v>
      </c>
    </row>
    <row r="1492" spans="1:20">
      <c r="A1492" s="241">
        <v>44001</v>
      </c>
      <c r="B1492" t="s">
        <v>7481</v>
      </c>
      <c r="C1492" t="s">
        <v>2626</v>
      </c>
      <c r="D1492" t="s">
        <v>2811</v>
      </c>
      <c r="E1492" t="s">
        <v>294</v>
      </c>
      <c r="F1492" t="s">
        <v>275</v>
      </c>
      <c r="G1492" t="s">
        <v>227</v>
      </c>
      <c r="H1492" t="s">
        <v>585</v>
      </c>
      <c r="I1492" t="s">
        <v>849</v>
      </c>
      <c r="J1492" t="s">
        <v>620</v>
      </c>
      <c r="K1492" t="s">
        <v>428</v>
      </c>
      <c r="L1492">
        <v>0.87</v>
      </c>
      <c r="M1492" t="s">
        <v>7482</v>
      </c>
      <c r="N1492" t="s">
        <v>7483</v>
      </c>
      <c r="O1492" t="s">
        <v>7484</v>
      </c>
      <c r="P1492" t="s">
        <v>485</v>
      </c>
      <c r="Q1492" t="s">
        <v>6845</v>
      </c>
      <c r="R1492" t="s">
        <v>6846</v>
      </c>
      <c r="S1492" t="s">
        <v>2885</v>
      </c>
      <c r="T1492" t="s">
        <v>2886</v>
      </c>
    </row>
    <row r="1493" spans="1:20">
      <c r="A1493" s="241">
        <v>44001</v>
      </c>
      <c r="B1493" t="s">
        <v>7485</v>
      </c>
      <c r="C1493" t="s">
        <v>1666</v>
      </c>
      <c r="D1493" t="s">
        <v>1176</v>
      </c>
      <c r="E1493" t="s">
        <v>423</v>
      </c>
      <c r="F1493" t="s">
        <v>855</v>
      </c>
      <c r="G1493" t="s">
        <v>558</v>
      </c>
      <c r="H1493" t="s">
        <v>1453</v>
      </c>
      <c r="I1493" t="s">
        <v>308</v>
      </c>
      <c r="J1493" t="s">
        <v>318</v>
      </c>
      <c r="K1493" t="s">
        <v>408</v>
      </c>
      <c r="L1493">
        <v>0.87</v>
      </c>
      <c r="M1493" t="s">
        <v>7486</v>
      </c>
      <c r="N1493" t="s">
        <v>7487</v>
      </c>
      <c r="O1493" t="s">
        <v>7488</v>
      </c>
      <c r="P1493" t="s">
        <v>485</v>
      </c>
      <c r="Q1493" t="s">
        <v>6845</v>
      </c>
      <c r="R1493" t="s">
        <v>6846</v>
      </c>
      <c r="S1493" t="s">
        <v>2885</v>
      </c>
      <c r="T1493" t="s">
        <v>2886</v>
      </c>
    </row>
    <row r="1494" spans="1:20">
      <c r="A1494" s="241">
        <v>44001</v>
      </c>
      <c r="B1494" t="s">
        <v>7489</v>
      </c>
      <c r="C1494" t="s">
        <v>2626</v>
      </c>
      <c r="D1494" t="s">
        <v>2821</v>
      </c>
      <c r="E1494" t="s">
        <v>249</v>
      </c>
      <c r="F1494" t="s">
        <v>616</v>
      </c>
      <c r="G1494" t="s">
        <v>1263</v>
      </c>
      <c r="H1494" t="s">
        <v>585</v>
      </c>
      <c r="I1494" t="s">
        <v>1811</v>
      </c>
      <c r="J1494" t="s">
        <v>634</v>
      </c>
      <c r="K1494" t="s">
        <v>457</v>
      </c>
      <c r="L1494">
        <v>0.87</v>
      </c>
      <c r="M1494" t="s">
        <v>7490</v>
      </c>
      <c r="N1494" t="s">
        <v>7491</v>
      </c>
      <c r="O1494" t="s">
        <v>7492</v>
      </c>
      <c r="P1494" t="s">
        <v>485</v>
      </c>
      <c r="Q1494" t="s">
        <v>6845</v>
      </c>
      <c r="R1494" t="s">
        <v>6846</v>
      </c>
      <c r="S1494" t="s">
        <v>2885</v>
      </c>
      <c r="T1494" t="s">
        <v>2886</v>
      </c>
    </row>
    <row r="1495" spans="1:20">
      <c r="A1495" s="241">
        <v>44001</v>
      </c>
      <c r="B1495" t="s">
        <v>7493</v>
      </c>
      <c r="C1495" t="s">
        <v>2626</v>
      </c>
      <c r="D1495" t="s">
        <v>2810</v>
      </c>
      <c r="E1495" t="s">
        <v>274</v>
      </c>
      <c r="F1495" t="s">
        <v>2151</v>
      </c>
      <c r="G1495" t="s">
        <v>2343</v>
      </c>
      <c r="H1495" t="s">
        <v>539</v>
      </c>
      <c r="I1495" t="s">
        <v>1501</v>
      </c>
      <c r="J1495" t="s">
        <v>2372</v>
      </c>
      <c r="K1495" t="s">
        <v>7035</v>
      </c>
      <c r="L1495">
        <v>0.87</v>
      </c>
      <c r="M1495" t="s">
        <v>7494</v>
      </c>
      <c r="N1495" t="s">
        <v>7495</v>
      </c>
      <c r="O1495" t="s">
        <v>7496</v>
      </c>
      <c r="P1495" t="s">
        <v>485</v>
      </c>
      <c r="Q1495" t="s">
        <v>6845</v>
      </c>
      <c r="R1495" t="s">
        <v>6846</v>
      </c>
      <c r="S1495" t="s">
        <v>2885</v>
      </c>
      <c r="T1495" t="s">
        <v>2886</v>
      </c>
    </row>
    <row r="1496" spans="1:20">
      <c r="A1496" s="241">
        <v>44001</v>
      </c>
      <c r="B1496" t="s">
        <v>7497</v>
      </c>
      <c r="C1496" t="s">
        <v>2626</v>
      </c>
      <c r="D1496" t="s">
        <v>1666</v>
      </c>
      <c r="E1496" t="s">
        <v>261</v>
      </c>
      <c r="F1496" t="s">
        <v>1080</v>
      </c>
      <c r="G1496" t="s">
        <v>1081</v>
      </c>
      <c r="H1496" t="s">
        <v>862</v>
      </c>
      <c r="I1496" t="s">
        <v>1842</v>
      </c>
      <c r="J1496" t="s">
        <v>2372</v>
      </c>
      <c r="K1496" t="s">
        <v>722</v>
      </c>
      <c r="L1496">
        <v>0.87</v>
      </c>
      <c r="M1496" t="s">
        <v>7498</v>
      </c>
      <c r="N1496" t="s">
        <v>7499</v>
      </c>
      <c r="O1496" t="s">
        <v>7500</v>
      </c>
      <c r="P1496" t="s">
        <v>485</v>
      </c>
      <c r="Q1496" t="s">
        <v>6845</v>
      </c>
      <c r="R1496" t="s">
        <v>6846</v>
      </c>
      <c r="S1496" t="s">
        <v>2885</v>
      </c>
      <c r="T1496" t="s">
        <v>2886</v>
      </c>
    </row>
    <row r="1497" spans="1:20">
      <c r="A1497" s="241">
        <v>44001</v>
      </c>
      <c r="B1497" t="s">
        <v>7501</v>
      </c>
      <c r="C1497" t="s">
        <v>2626</v>
      </c>
      <c r="D1497" t="s">
        <v>2810</v>
      </c>
      <c r="E1497" t="s">
        <v>237</v>
      </c>
      <c r="F1497" t="s">
        <v>295</v>
      </c>
      <c r="G1497" t="s">
        <v>334</v>
      </c>
      <c r="H1497" t="s">
        <v>600</v>
      </c>
      <c r="I1497" t="s">
        <v>336</v>
      </c>
      <c r="J1497" t="s">
        <v>1116</v>
      </c>
      <c r="K1497" t="s">
        <v>448</v>
      </c>
      <c r="L1497">
        <v>0.86</v>
      </c>
      <c r="M1497" t="s">
        <v>7502</v>
      </c>
      <c r="N1497" t="s">
        <v>7503</v>
      </c>
      <c r="O1497" t="s">
        <v>7504</v>
      </c>
      <c r="P1497" t="s">
        <v>485</v>
      </c>
      <c r="Q1497" t="s">
        <v>6845</v>
      </c>
      <c r="R1497" t="s">
        <v>6846</v>
      </c>
      <c r="S1497" t="s">
        <v>2885</v>
      </c>
      <c r="T1497" t="s">
        <v>2886</v>
      </c>
    </row>
    <row r="1498" spans="1:20">
      <c r="A1498" s="241">
        <v>44001</v>
      </c>
      <c r="B1498" t="s">
        <v>7505</v>
      </c>
      <c r="C1498" t="s">
        <v>2810</v>
      </c>
      <c r="D1498" t="s">
        <v>2626</v>
      </c>
      <c r="E1498" t="s">
        <v>261</v>
      </c>
      <c r="F1498" t="s">
        <v>706</v>
      </c>
      <c r="G1498" t="s">
        <v>1500</v>
      </c>
      <c r="H1498" t="s">
        <v>239</v>
      </c>
      <c r="I1498" t="s">
        <v>888</v>
      </c>
      <c r="J1498" t="s">
        <v>368</v>
      </c>
      <c r="K1498" t="s">
        <v>7035</v>
      </c>
      <c r="L1498">
        <v>0.86</v>
      </c>
      <c r="M1498" t="s">
        <v>7506</v>
      </c>
      <c r="N1498" t="s">
        <v>7507</v>
      </c>
      <c r="O1498" t="s">
        <v>7508</v>
      </c>
      <c r="P1498" t="s">
        <v>485</v>
      </c>
      <c r="Q1498" t="s">
        <v>6845</v>
      </c>
      <c r="R1498" t="s">
        <v>6846</v>
      </c>
      <c r="S1498" t="s">
        <v>2885</v>
      </c>
      <c r="T1498" t="s">
        <v>2886</v>
      </c>
    </row>
    <row r="1499" spans="1:20">
      <c r="A1499" s="241">
        <v>44001</v>
      </c>
      <c r="B1499" t="s">
        <v>7509</v>
      </c>
      <c r="C1499" t="s">
        <v>2626</v>
      </c>
      <c r="D1499" t="s">
        <v>1666</v>
      </c>
      <c r="E1499" t="s">
        <v>294</v>
      </c>
      <c r="F1499" t="s">
        <v>639</v>
      </c>
      <c r="G1499" t="s">
        <v>355</v>
      </c>
      <c r="H1499" t="s">
        <v>868</v>
      </c>
      <c r="I1499" t="s">
        <v>1523</v>
      </c>
      <c r="J1499" t="s">
        <v>387</v>
      </c>
      <c r="K1499" t="s">
        <v>7052</v>
      </c>
      <c r="L1499">
        <v>0.86</v>
      </c>
      <c r="M1499" t="s">
        <v>7510</v>
      </c>
      <c r="N1499" t="s">
        <v>7511</v>
      </c>
      <c r="O1499" t="s">
        <v>7512</v>
      </c>
      <c r="P1499" t="s">
        <v>485</v>
      </c>
      <c r="Q1499" t="s">
        <v>6845</v>
      </c>
      <c r="R1499" t="s">
        <v>6846</v>
      </c>
      <c r="S1499" t="s">
        <v>2885</v>
      </c>
      <c r="T1499" t="s">
        <v>2886</v>
      </c>
    </row>
    <row r="1500" spans="1:20">
      <c r="A1500" s="241">
        <v>44001</v>
      </c>
      <c r="B1500" t="s">
        <v>7513</v>
      </c>
      <c r="C1500" t="s">
        <v>1666</v>
      </c>
      <c r="D1500" t="s">
        <v>1666</v>
      </c>
      <c r="E1500" t="s">
        <v>614</v>
      </c>
      <c r="F1500" t="s">
        <v>633</v>
      </c>
      <c r="G1500" t="s">
        <v>1517</v>
      </c>
      <c r="H1500" t="s">
        <v>649</v>
      </c>
      <c r="I1500" t="s">
        <v>664</v>
      </c>
      <c r="J1500" t="s">
        <v>912</v>
      </c>
      <c r="K1500" t="s">
        <v>5949</v>
      </c>
      <c r="L1500">
        <v>0.86</v>
      </c>
      <c r="M1500" t="s">
        <v>7514</v>
      </c>
      <c r="N1500" t="s">
        <v>7515</v>
      </c>
      <c r="O1500" t="s">
        <v>7516</v>
      </c>
      <c r="P1500" t="s">
        <v>485</v>
      </c>
      <c r="Q1500" t="s">
        <v>6845</v>
      </c>
      <c r="R1500" t="s">
        <v>6846</v>
      </c>
      <c r="S1500" t="s">
        <v>2885</v>
      </c>
      <c r="T1500" t="s">
        <v>2886</v>
      </c>
    </row>
    <row r="1501" spans="1:20">
      <c r="A1501" s="241">
        <v>44001</v>
      </c>
      <c r="B1501" t="s">
        <v>7517</v>
      </c>
      <c r="C1501" t="s">
        <v>3669</v>
      </c>
      <c r="D1501" t="s">
        <v>2810</v>
      </c>
      <c r="E1501" t="s">
        <v>442</v>
      </c>
      <c r="F1501" t="s">
        <v>897</v>
      </c>
      <c r="G1501" t="s">
        <v>2774</v>
      </c>
      <c r="H1501" t="s">
        <v>584</v>
      </c>
      <c r="I1501" t="s">
        <v>674</v>
      </c>
      <c r="J1501" t="s">
        <v>397</v>
      </c>
      <c r="K1501" t="s">
        <v>5949</v>
      </c>
      <c r="L1501">
        <v>0.86</v>
      </c>
      <c r="M1501" t="s">
        <v>7518</v>
      </c>
      <c r="N1501" t="s">
        <v>7519</v>
      </c>
      <c r="O1501" t="s">
        <v>7520</v>
      </c>
      <c r="P1501" t="s">
        <v>485</v>
      </c>
      <c r="Q1501" t="s">
        <v>6845</v>
      </c>
      <c r="R1501" t="s">
        <v>6846</v>
      </c>
      <c r="S1501" t="s">
        <v>2885</v>
      </c>
      <c r="T1501" t="s">
        <v>2886</v>
      </c>
    </row>
    <row r="1502" spans="1:20">
      <c r="A1502" s="241">
        <v>44001</v>
      </c>
      <c r="B1502" t="s">
        <v>7521</v>
      </c>
      <c r="C1502" t="s">
        <v>2626</v>
      </c>
      <c r="D1502" t="s">
        <v>2821</v>
      </c>
      <c r="E1502" t="s">
        <v>615</v>
      </c>
      <c r="F1502" t="s">
        <v>344</v>
      </c>
      <c r="G1502" t="s">
        <v>681</v>
      </c>
      <c r="H1502" t="s">
        <v>616</v>
      </c>
      <c r="I1502" t="s">
        <v>1579</v>
      </c>
      <c r="J1502" t="s">
        <v>1309</v>
      </c>
      <c r="K1502" t="s">
        <v>7065</v>
      </c>
      <c r="L1502">
        <v>0.86</v>
      </c>
      <c r="M1502" t="s">
        <v>7522</v>
      </c>
      <c r="N1502" t="s">
        <v>7523</v>
      </c>
      <c r="O1502" t="s">
        <v>7524</v>
      </c>
      <c r="P1502" t="s">
        <v>485</v>
      </c>
      <c r="Q1502" t="s">
        <v>6845</v>
      </c>
      <c r="R1502" t="s">
        <v>6846</v>
      </c>
      <c r="S1502" t="s">
        <v>2885</v>
      </c>
      <c r="T1502" t="s">
        <v>2886</v>
      </c>
    </row>
    <row r="1503" spans="1:20">
      <c r="A1503" s="241">
        <v>44001</v>
      </c>
      <c r="B1503" t="s">
        <v>7525</v>
      </c>
      <c r="C1503" t="s">
        <v>2821</v>
      </c>
      <c r="D1503" t="s">
        <v>3679</v>
      </c>
      <c r="E1503" t="s">
        <v>274</v>
      </c>
      <c r="F1503" t="s">
        <v>672</v>
      </c>
      <c r="G1503" t="s">
        <v>918</v>
      </c>
      <c r="H1503" t="s">
        <v>1291</v>
      </c>
      <c r="I1503" t="s">
        <v>406</v>
      </c>
      <c r="J1503" t="s">
        <v>940</v>
      </c>
      <c r="K1503" t="s">
        <v>7065</v>
      </c>
      <c r="L1503">
        <v>0.86</v>
      </c>
      <c r="M1503" t="s">
        <v>7526</v>
      </c>
      <c r="N1503" t="s">
        <v>7527</v>
      </c>
      <c r="O1503" t="s">
        <v>7528</v>
      </c>
      <c r="P1503" t="s">
        <v>485</v>
      </c>
      <c r="Q1503" t="s">
        <v>6845</v>
      </c>
      <c r="R1503" t="s">
        <v>6846</v>
      </c>
      <c r="S1503" t="s">
        <v>2885</v>
      </c>
      <c r="T1503" t="s">
        <v>2886</v>
      </c>
    </row>
    <row r="1504" spans="1:20">
      <c r="A1504" s="241">
        <v>44001</v>
      </c>
      <c r="B1504" t="s">
        <v>7529</v>
      </c>
      <c r="C1504" t="s">
        <v>3679</v>
      </c>
      <c r="D1504" t="s">
        <v>2626</v>
      </c>
      <c r="E1504" t="s">
        <v>645</v>
      </c>
      <c r="F1504" t="s">
        <v>393</v>
      </c>
      <c r="G1504" t="s">
        <v>404</v>
      </c>
      <c r="H1504" t="s">
        <v>1546</v>
      </c>
      <c r="I1504" t="s">
        <v>932</v>
      </c>
      <c r="J1504" t="s">
        <v>954</v>
      </c>
      <c r="K1504" t="s">
        <v>6924</v>
      </c>
      <c r="L1504">
        <v>0.86</v>
      </c>
      <c r="M1504" t="s">
        <v>7530</v>
      </c>
      <c r="N1504" t="s">
        <v>7531</v>
      </c>
      <c r="O1504" t="s">
        <v>7532</v>
      </c>
      <c r="P1504" t="s">
        <v>485</v>
      </c>
      <c r="Q1504" t="s">
        <v>6845</v>
      </c>
      <c r="R1504" t="s">
        <v>6846</v>
      </c>
      <c r="S1504" t="s">
        <v>2885</v>
      </c>
      <c r="T1504" t="s">
        <v>2886</v>
      </c>
    </row>
    <row r="1505" spans="1:20">
      <c r="A1505" s="241">
        <v>44001</v>
      </c>
      <c r="B1505" t="s">
        <v>7533</v>
      </c>
      <c r="C1505" t="s">
        <v>1367</v>
      </c>
      <c r="D1505" t="s">
        <v>1176</v>
      </c>
      <c r="E1505" t="s">
        <v>625</v>
      </c>
      <c r="F1505" t="s">
        <v>1584</v>
      </c>
      <c r="G1505" t="s">
        <v>404</v>
      </c>
      <c r="H1505" t="s">
        <v>926</v>
      </c>
      <c r="I1505" t="s">
        <v>436</v>
      </c>
      <c r="J1505" t="s">
        <v>447</v>
      </c>
      <c r="K1505" t="s">
        <v>7083</v>
      </c>
      <c r="L1505">
        <v>0.86</v>
      </c>
      <c r="M1505" t="s">
        <v>7534</v>
      </c>
      <c r="N1505" t="s">
        <v>7535</v>
      </c>
      <c r="O1505" t="s">
        <v>7536</v>
      </c>
      <c r="P1505" t="s">
        <v>485</v>
      </c>
      <c r="Q1505" t="s">
        <v>6845</v>
      </c>
      <c r="R1505" t="s">
        <v>6846</v>
      </c>
      <c r="S1505" t="s">
        <v>2885</v>
      </c>
      <c r="T1505" t="s">
        <v>2886</v>
      </c>
    </row>
    <row r="1506" spans="1:20">
      <c r="A1506" s="241">
        <v>44001</v>
      </c>
      <c r="B1506" t="s">
        <v>7537</v>
      </c>
      <c r="C1506" t="s">
        <v>1666</v>
      </c>
      <c r="D1506" t="s">
        <v>1176</v>
      </c>
      <c r="E1506" t="s">
        <v>645</v>
      </c>
      <c r="F1506" t="s">
        <v>1303</v>
      </c>
      <c r="G1506" t="s">
        <v>918</v>
      </c>
      <c r="H1506" t="s">
        <v>314</v>
      </c>
      <c r="I1506" t="s">
        <v>436</v>
      </c>
      <c r="J1506" t="s">
        <v>447</v>
      </c>
      <c r="K1506" t="s">
        <v>7083</v>
      </c>
      <c r="L1506">
        <v>0.86</v>
      </c>
      <c r="M1506" t="s">
        <v>7538</v>
      </c>
      <c r="N1506" t="s">
        <v>7539</v>
      </c>
      <c r="O1506" t="s">
        <v>7540</v>
      </c>
      <c r="P1506" t="s">
        <v>485</v>
      </c>
      <c r="Q1506" t="s">
        <v>6845</v>
      </c>
      <c r="R1506" t="s">
        <v>6846</v>
      </c>
      <c r="S1506" t="s">
        <v>2885</v>
      </c>
      <c r="T1506" t="s">
        <v>2886</v>
      </c>
    </row>
    <row r="1507" spans="1:20">
      <c r="A1507" s="241">
        <v>44001</v>
      </c>
      <c r="B1507" t="s">
        <v>7541</v>
      </c>
      <c r="C1507" t="s">
        <v>1377</v>
      </c>
      <c r="D1507" t="s">
        <v>1367</v>
      </c>
      <c r="E1507" t="s">
        <v>224</v>
      </c>
      <c r="F1507" t="s">
        <v>952</v>
      </c>
      <c r="G1507" t="s">
        <v>1324</v>
      </c>
      <c r="H1507" t="s">
        <v>426</v>
      </c>
      <c r="I1507" t="s">
        <v>1631</v>
      </c>
      <c r="J1507" t="s">
        <v>6923</v>
      </c>
      <c r="K1507" t="s">
        <v>7078</v>
      </c>
      <c r="L1507">
        <v>0.86</v>
      </c>
      <c r="M1507" t="s">
        <v>7542</v>
      </c>
      <c r="N1507" t="s">
        <v>7543</v>
      </c>
      <c r="O1507" t="s">
        <v>7544</v>
      </c>
      <c r="P1507" t="s">
        <v>485</v>
      </c>
      <c r="Q1507" t="s">
        <v>6845</v>
      </c>
      <c r="R1507" t="s">
        <v>6846</v>
      </c>
      <c r="S1507" t="s">
        <v>2885</v>
      </c>
      <c r="T1507" t="s">
        <v>2886</v>
      </c>
    </row>
    <row r="1508" spans="1:20">
      <c r="A1508" s="241">
        <v>44001</v>
      </c>
      <c r="B1508" t="s">
        <v>7545</v>
      </c>
      <c r="C1508" t="s">
        <v>5284</v>
      </c>
      <c r="D1508" t="s">
        <v>6984</v>
      </c>
      <c r="E1508" t="s">
        <v>1367</v>
      </c>
      <c r="F1508" t="s">
        <v>815</v>
      </c>
      <c r="G1508" t="s">
        <v>961</v>
      </c>
      <c r="H1508" t="s">
        <v>757</v>
      </c>
      <c r="I1508" t="s">
        <v>7546</v>
      </c>
      <c r="J1508" t="s">
        <v>7547</v>
      </c>
      <c r="K1508" t="s">
        <v>7548</v>
      </c>
      <c r="L1508">
        <v>0.89</v>
      </c>
      <c r="M1508" t="s">
        <v>7549</v>
      </c>
      <c r="N1508" t="s">
        <v>7550</v>
      </c>
      <c r="O1508" t="s">
        <v>7551</v>
      </c>
      <c r="P1508" t="s">
        <v>485</v>
      </c>
      <c r="Q1508" t="s">
        <v>6845</v>
      </c>
      <c r="R1508" t="s">
        <v>6846</v>
      </c>
      <c r="S1508" t="s">
        <v>2885</v>
      </c>
      <c r="T1508" t="s">
        <v>2886</v>
      </c>
    </row>
    <row r="1509" spans="1:20">
      <c r="A1509" s="241">
        <v>44001</v>
      </c>
      <c r="B1509" t="s">
        <v>7552</v>
      </c>
      <c r="C1509" t="s">
        <v>6985</v>
      </c>
      <c r="D1509" t="s">
        <v>7553</v>
      </c>
      <c r="E1509" t="s">
        <v>959</v>
      </c>
      <c r="F1509" t="s">
        <v>4618</v>
      </c>
      <c r="G1509" t="s">
        <v>6696</v>
      </c>
      <c r="H1509" t="s">
        <v>1969</v>
      </c>
      <c r="I1509" t="s">
        <v>6321</v>
      </c>
      <c r="J1509" t="s">
        <v>7554</v>
      </c>
      <c r="K1509" t="s">
        <v>7555</v>
      </c>
      <c r="L1509">
        <v>0.89</v>
      </c>
      <c r="M1509" t="s">
        <v>7556</v>
      </c>
      <c r="N1509" t="s">
        <v>7557</v>
      </c>
      <c r="O1509" t="s">
        <v>7558</v>
      </c>
      <c r="P1509" t="s">
        <v>485</v>
      </c>
      <c r="Q1509" t="s">
        <v>6845</v>
      </c>
      <c r="R1509" t="s">
        <v>6846</v>
      </c>
      <c r="S1509" t="s">
        <v>2885</v>
      </c>
      <c r="T1509" t="s">
        <v>2886</v>
      </c>
    </row>
    <row r="1510" spans="1:20">
      <c r="A1510" s="241">
        <v>44001</v>
      </c>
      <c r="B1510" t="s">
        <v>7559</v>
      </c>
      <c r="C1510" t="s">
        <v>7116</v>
      </c>
      <c r="D1510" t="s">
        <v>7132</v>
      </c>
      <c r="E1510" t="s">
        <v>747</v>
      </c>
      <c r="F1510" t="s">
        <v>2239</v>
      </c>
      <c r="G1510" t="s">
        <v>490</v>
      </c>
      <c r="H1510" t="s">
        <v>7274</v>
      </c>
      <c r="I1510" t="s">
        <v>3129</v>
      </c>
      <c r="J1510" t="s">
        <v>1199</v>
      </c>
      <c r="K1510" t="s">
        <v>5273</v>
      </c>
      <c r="L1510">
        <v>0.89</v>
      </c>
      <c r="M1510" t="s">
        <v>7560</v>
      </c>
      <c r="N1510" t="s">
        <v>7561</v>
      </c>
      <c r="O1510" t="s">
        <v>7562</v>
      </c>
      <c r="P1510" t="s">
        <v>485</v>
      </c>
      <c r="Q1510" t="s">
        <v>6845</v>
      </c>
      <c r="R1510" t="s">
        <v>6846</v>
      </c>
      <c r="S1510" t="s">
        <v>2885</v>
      </c>
      <c r="T1510" t="s">
        <v>2886</v>
      </c>
    </row>
    <row r="1511" spans="1:20">
      <c r="A1511" s="241">
        <v>44001</v>
      </c>
      <c r="B1511" t="s">
        <v>7563</v>
      </c>
      <c r="C1511" t="s">
        <v>7124</v>
      </c>
      <c r="D1511" t="s">
        <v>7116</v>
      </c>
      <c r="E1511" t="s">
        <v>736</v>
      </c>
      <c r="F1511" t="s">
        <v>2248</v>
      </c>
      <c r="G1511" t="s">
        <v>7564</v>
      </c>
      <c r="H1511" t="s">
        <v>7565</v>
      </c>
      <c r="I1511" t="s">
        <v>7118</v>
      </c>
      <c r="J1511" t="s">
        <v>3821</v>
      </c>
      <c r="K1511" t="s">
        <v>481</v>
      </c>
      <c r="L1511">
        <v>0.89</v>
      </c>
      <c r="M1511" t="s">
        <v>7566</v>
      </c>
      <c r="N1511" t="s">
        <v>7567</v>
      </c>
      <c r="O1511" t="s">
        <v>7568</v>
      </c>
      <c r="P1511" t="s">
        <v>485</v>
      </c>
      <c r="Q1511" t="s">
        <v>6845</v>
      </c>
      <c r="R1511" t="s">
        <v>6846</v>
      </c>
      <c r="S1511" t="s">
        <v>2885</v>
      </c>
      <c r="T1511" t="s">
        <v>2886</v>
      </c>
    </row>
    <row r="1512" spans="1:20">
      <c r="A1512" s="241">
        <v>44001</v>
      </c>
      <c r="B1512" t="s">
        <v>7569</v>
      </c>
      <c r="C1512" t="s">
        <v>3669</v>
      </c>
      <c r="D1512" t="s">
        <v>1665</v>
      </c>
      <c r="E1512" t="s">
        <v>236</v>
      </c>
      <c r="F1512" t="s">
        <v>3695</v>
      </c>
      <c r="G1512" t="s">
        <v>999</v>
      </c>
      <c r="H1512" t="s">
        <v>7570</v>
      </c>
      <c r="I1512" t="s">
        <v>7571</v>
      </c>
      <c r="J1512" t="s">
        <v>7572</v>
      </c>
      <c r="K1512" t="s">
        <v>3189</v>
      </c>
      <c r="L1512">
        <v>0.87</v>
      </c>
      <c r="M1512" t="s">
        <v>7573</v>
      </c>
      <c r="N1512" t="s">
        <v>7574</v>
      </c>
      <c r="O1512" t="s">
        <v>7575</v>
      </c>
      <c r="P1512" t="s">
        <v>485</v>
      </c>
      <c r="Q1512" t="s">
        <v>6845</v>
      </c>
      <c r="R1512" t="s">
        <v>6846</v>
      </c>
      <c r="S1512" t="s">
        <v>2885</v>
      </c>
      <c r="T1512" t="s">
        <v>2886</v>
      </c>
    </row>
    <row r="1513" spans="1:20">
      <c r="A1513" s="241">
        <v>44001</v>
      </c>
      <c r="B1513" t="s">
        <v>7576</v>
      </c>
      <c r="C1513" t="s">
        <v>2811</v>
      </c>
      <c r="D1513" t="s">
        <v>2626</v>
      </c>
      <c r="E1513" t="s">
        <v>442</v>
      </c>
      <c r="F1513" t="s">
        <v>805</v>
      </c>
      <c r="G1513" t="s">
        <v>7577</v>
      </c>
      <c r="H1513" t="s">
        <v>1000</v>
      </c>
      <c r="I1513" t="s">
        <v>1698</v>
      </c>
      <c r="J1513" t="s">
        <v>1710</v>
      </c>
      <c r="K1513" t="s">
        <v>338</v>
      </c>
      <c r="L1513">
        <v>0.87</v>
      </c>
      <c r="M1513" t="s">
        <v>7578</v>
      </c>
      <c r="N1513" t="s">
        <v>7579</v>
      </c>
      <c r="O1513" t="s">
        <v>7580</v>
      </c>
      <c r="P1513" t="s">
        <v>485</v>
      </c>
      <c r="Q1513" t="s">
        <v>6845</v>
      </c>
      <c r="R1513" t="s">
        <v>6846</v>
      </c>
      <c r="S1513" t="s">
        <v>2885</v>
      </c>
      <c r="T1513" t="s">
        <v>2886</v>
      </c>
    </row>
    <row r="1514" spans="1:20">
      <c r="A1514" s="241">
        <v>44001</v>
      </c>
      <c r="B1514" t="s">
        <v>7581</v>
      </c>
      <c r="C1514" t="s">
        <v>1665</v>
      </c>
      <c r="D1514" t="s">
        <v>1666</v>
      </c>
      <c r="E1514" t="s">
        <v>442</v>
      </c>
      <c r="F1514" t="s">
        <v>1704</v>
      </c>
      <c r="G1514" t="s">
        <v>2463</v>
      </c>
      <c r="H1514" t="s">
        <v>6129</v>
      </c>
      <c r="I1514" t="s">
        <v>2472</v>
      </c>
      <c r="J1514" t="s">
        <v>543</v>
      </c>
      <c r="K1514" t="s">
        <v>338</v>
      </c>
      <c r="L1514">
        <v>0.87</v>
      </c>
      <c r="M1514" t="s">
        <v>7582</v>
      </c>
      <c r="N1514" t="s">
        <v>7583</v>
      </c>
      <c r="O1514" t="s">
        <v>7584</v>
      </c>
      <c r="P1514" t="s">
        <v>485</v>
      </c>
      <c r="Q1514" t="s">
        <v>6845</v>
      </c>
      <c r="R1514" t="s">
        <v>6846</v>
      </c>
      <c r="S1514" t="s">
        <v>2885</v>
      </c>
      <c r="T1514" t="s">
        <v>2886</v>
      </c>
    </row>
    <row r="1515" spans="1:20">
      <c r="A1515" s="241">
        <v>44001</v>
      </c>
      <c r="B1515" t="s">
        <v>7585</v>
      </c>
      <c r="C1515" t="s">
        <v>2821</v>
      </c>
      <c r="D1515" t="s">
        <v>1176</v>
      </c>
      <c r="E1515" t="s">
        <v>261</v>
      </c>
      <c r="F1515" t="s">
        <v>1069</v>
      </c>
      <c r="G1515" t="s">
        <v>786</v>
      </c>
      <c r="H1515" t="s">
        <v>1679</v>
      </c>
      <c r="I1515" t="s">
        <v>542</v>
      </c>
      <c r="J1515" t="s">
        <v>213</v>
      </c>
      <c r="K1515" t="s">
        <v>651</v>
      </c>
      <c r="L1515">
        <v>0.87</v>
      </c>
      <c r="M1515" t="s">
        <v>7586</v>
      </c>
      <c r="N1515" t="s">
        <v>7587</v>
      </c>
      <c r="O1515" t="s">
        <v>7588</v>
      </c>
      <c r="P1515" t="s">
        <v>485</v>
      </c>
      <c r="Q1515" t="s">
        <v>6845</v>
      </c>
      <c r="R1515" t="s">
        <v>6846</v>
      </c>
      <c r="S1515" t="s">
        <v>2885</v>
      </c>
      <c r="T1515" t="s">
        <v>2886</v>
      </c>
    </row>
    <row r="1516" spans="1:20">
      <c r="A1516" s="241">
        <v>44001</v>
      </c>
      <c r="B1516" t="s">
        <v>7589</v>
      </c>
      <c r="C1516" t="s">
        <v>1176</v>
      </c>
      <c r="D1516" t="s">
        <v>1176</v>
      </c>
      <c r="E1516" t="s">
        <v>442</v>
      </c>
      <c r="F1516" t="s">
        <v>862</v>
      </c>
      <c r="G1516" t="s">
        <v>1411</v>
      </c>
      <c r="H1516" t="s">
        <v>1225</v>
      </c>
      <c r="I1516" t="s">
        <v>816</v>
      </c>
      <c r="J1516" t="s">
        <v>230</v>
      </c>
      <c r="K1516" t="s">
        <v>651</v>
      </c>
      <c r="L1516">
        <v>0.87</v>
      </c>
      <c r="M1516" t="s">
        <v>7590</v>
      </c>
      <c r="N1516" t="s">
        <v>7591</v>
      </c>
      <c r="O1516" t="s">
        <v>7592</v>
      </c>
      <c r="P1516" t="s">
        <v>485</v>
      </c>
      <c r="Q1516" t="s">
        <v>6845</v>
      </c>
      <c r="R1516" t="s">
        <v>6846</v>
      </c>
      <c r="S1516" t="s">
        <v>2885</v>
      </c>
      <c r="T1516" t="s">
        <v>2886</v>
      </c>
    </row>
    <row r="1517" spans="1:20">
      <c r="A1517" s="241">
        <v>44001</v>
      </c>
      <c r="B1517" t="s">
        <v>7593</v>
      </c>
      <c r="C1517" t="s">
        <v>2626</v>
      </c>
      <c r="D1517" t="s">
        <v>1377</v>
      </c>
      <c r="E1517" t="s">
        <v>625</v>
      </c>
      <c r="F1517" t="s">
        <v>346</v>
      </c>
      <c r="G1517" t="s">
        <v>540</v>
      </c>
      <c r="H1517" t="s">
        <v>815</v>
      </c>
      <c r="I1517" t="s">
        <v>1250</v>
      </c>
      <c r="J1517" t="s">
        <v>255</v>
      </c>
      <c r="K1517" t="s">
        <v>327</v>
      </c>
      <c r="L1517">
        <v>0.87</v>
      </c>
      <c r="M1517" t="s">
        <v>7594</v>
      </c>
      <c r="N1517" t="s">
        <v>7595</v>
      </c>
      <c r="O1517" t="s">
        <v>7596</v>
      </c>
      <c r="P1517" t="s">
        <v>485</v>
      </c>
      <c r="Q1517" t="s">
        <v>6845</v>
      </c>
      <c r="R1517" t="s">
        <v>6846</v>
      </c>
      <c r="S1517" t="s">
        <v>2885</v>
      </c>
      <c r="T1517" t="s">
        <v>2886</v>
      </c>
    </row>
    <row r="1518" spans="1:20">
      <c r="A1518" s="241">
        <v>44001</v>
      </c>
      <c r="B1518" t="s">
        <v>7597</v>
      </c>
      <c r="C1518" t="s">
        <v>1176</v>
      </c>
      <c r="D1518" t="s">
        <v>1377</v>
      </c>
      <c r="E1518" t="s">
        <v>294</v>
      </c>
      <c r="F1518" t="s">
        <v>356</v>
      </c>
      <c r="G1518" t="s">
        <v>1420</v>
      </c>
      <c r="H1518" t="s">
        <v>2324</v>
      </c>
      <c r="I1518" t="s">
        <v>2329</v>
      </c>
      <c r="J1518" t="s">
        <v>1070</v>
      </c>
      <c r="K1518" t="s">
        <v>418</v>
      </c>
      <c r="L1518">
        <v>0.87</v>
      </c>
      <c r="M1518" t="s">
        <v>7598</v>
      </c>
      <c r="N1518" t="s">
        <v>7599</v>
      </c>
      <c r="O1518" t="s">
        <v>7600</v>
      </c>
      <c r="P1518" t="s">
        <v>485</v>
      </c>
      <c r="Q1518" t="s">
        <v>6845</v>
      </c>
      <c r="R1518" t="s">
        <v>6846</v>
      </c>
      <c r="S1518" t="s">
        <v>2885</v>
      </c>
      <c r="T1518" t="s">
        <v>2886</v>
      </c>
    </row>
    <row r="1519" spans="1:20">
      <c r="A1519" s="241">
        <v>44001</v>
      </c>
      <c r="B1519" t="s">
        <v>7601</v>
      </c>
      <c r="C1519" t="s">
        <v>1176</v>
      </c>
      <c r="D1519" t="s">
        <v>3679</v>
      </c>
      <c r="E1519" t="s">
        <v>274</v>
      </c>
      <c r="F1519" t="s">
        <v>835</v>
      </c>
      <c r="G1519" t="s">
        <v>1745</v>
      </c>
      <c r="H1519" t="s">
        <v>241</v>
      </c>
      <c r="I1519" t="s">
        <v>278</v>
      </c>
      <c r="J1519" t="s">
        <v>592</v>
      </c>
      <c r="K1519" t="s">
        <v>349</v>
      </c>
      <c r="L1519">
        <v>0.87</v>
      </c>
      <c r="M1519" t="s">
        <v>7602</v>
      </c>
      <c r="N1519" t="s">
        <v>7603</v>
      </c>
      <c r="O1519" t="s">
        <v>7604</v>
      </c>
      <c r="P1519" t="s">
        <v>485</v>
      </c>
      <c r="Q1519" t="s">
        <v>6845</v>
      </c>
      <c r="R1519" t="s">
        <v>6846</v>
      </c>
      <c r="S1519" t="s">
        <v>2885</v>
      </c>
      <c r="T1519" t="s">
        <v>2886</v>
      </c>
    </row>
    <row r="1520" spans="1:20">
      <c r="A1520" s="241">
        <v>44001</v>
      </c>
      <c r="B1520" t="s">
        <v>7605</v>
      </c>
      <c r="C1520" t="s">
        <v>2810</v>
      </c>
      <c r="D1520" t="s">
        <v>5481</v>
      </c>
      <c r="E1520" t="s">
        <v>442</v>
      </c>
      <c r="F1520" t="s">
        <v>848</v>
      </c>
      <c r="G1520" t="s">
        <v>798</v>
      </c>
      <c r="H1520" t="s">
        <v>287</v>
      </c>
      <c r="I1520" t="s">
        <v>1264</v>
      </c>
      <c r="J1520" t="s">
        <v>309</v>
      </c>
      <c r="K1520" t="s">
        <v>408</v>
      </c>
      <c r="L1520">
        <v>0.87</v>
      </c>
      <c r="M1520" t="s">
        <v>7606</v>
      </c>
      <c r="N1520" t="s">
        <v>7607</v>
      </c>
      <c r="O1520" t="s">
        <v>7608</v>
      </c>
      <c r="P1520" t="s">
        <v>485</v>
      </c>
      <c r="Q1520" t="s">
        <v>6845</v>
      </c>
      <c r="R1520" t="s">
        <v>6846</v>
      </c>
      <c r="S1520" t="s">
        <v>2885</v>
      </c>
      <c r="T1520" t="s">
        <v>2886</v>
      </c>
    </row>
    <row r="1521" spans="1:20">
      <c r="A1521" s="241">
        <v>44001</v>
      </c>
      <c r="B1521" t="s">
        <v>7609</v>
      </c>
      <c r="C1521" t="s">
        <v>3669</v>
      </c>
      <c r="D1521" t="s">
        <v>488</v>
      </c>
      <c r="E1521" t="s">
        <v>294</v>
      </c>
      <c r="F1521" t="s">
        <v>295</v>
      </c>
      <c r="G1521" t="s">
        <v>252</v>
      </c>
      <c r="H1521" t="s">
        <v>228</v>
      </c>
      <c r="I1521" t="s">
        <v>849</v>
      </c>
      <c r="J1521" t="s">
        <v>1484</v>
      </c>
      <c r="K1521" t="s">
        <v>418</v>
      </c>
      <c r="L1521">
        <v>0.87</v>
      </c>
      <c r="M1521" t="s">
        <v>7610</v>
      </c>
      <c r="N1521" t="s">
        <v>7611</v>
      </c>
      <c r="O1521" t="s">
        <v>7612</v>
      </c>
      <c r="P1521" t="s">
        <v>485</v>
      </c>
      <c r="Q1521" t="s">
        <v>6845</v>
      </c>
      <c r="R1521" t="s">
        <v>6846</v>
      </c>
      <c r="S1521" t="s">
        <v>2885</v>
      </c>
      <c r="T1521" t="s">
        <v>2886</v>
      </c>
    </row>
    <row r="1522" spans="1:20">
      <c r="A1522" s="241">
        <v>44001</v>
      </c>
      <c r="B1522" t="s">
        <v>7613</v>
      </c>
      <c r="C1522" t="s">
        <v>2821</v>
      </c>
      <c r="D1522" t="s">
        <v>1367</v>
      </c>
      <c r="E1522" t="s">
        <v>294</v>
      </c>
      <c r="F1522" t="s">
        <v>285</v>
      </c>
      <c r="G1522" t="s">
        <v>558</v>
      </c>
      <c r="H1522" t="s">
        <v>1388</v>
      </c>
      <c r="I1522" t="s">
        <v>288</v>
      </c>
      <c r="J1522" t="s">
        <v>309</v>
      </c>
      <c r="K1522" t="s">
        <v>359</v>
      </c>
      <c r="L1522">
        <v>0.87</v>
      </c>
      <c r="M1522" t="s">
        <v>7614</v>
      </c>
      <c r="N1522" t="s">
        <v>7615</v>
      </c>
      <c r="O1522" t="s">
        <v>7616</v>
      </c>
      <c r="P1522" t="s">
        <v>485</v>
      </c>
      <c r="Q1522" t="s">
        <v>6845</v>
      </c>
      <c r="R1522" t="s">
        <v>6846</v>
      </c>
      <c r="S1522" t="s">
        <v>2885</v>
      </c>
      <c r="T1522" t="s">
        <v>2886</v>
      </c>
    </row>
    <row r="1523" spans="1:20">
      <c r="A1523" s="241">
        <v>44001</v>
      </c>
      <c r="B1523" t="s">
        <v>7617</v>
      </c>
      <c r="C1523" t="s">
        <v>3831</v>
      </c>
      <c r="D1523" t="s">
        <v>3679</v>
      </c>
      <c r="E1523" t="s">
        <v>645</v>
      </c>
      <c r="F1523" t="s">
        <v>835</v>
      </c>
      <c r="G1523" t="s">
        <v>567</v>
      </c>
      <c r="H1523" t="s">
        <v>277</v>
      </c>
      <c r="I1523" t="s">
        <v>297</v>
      </c>
      <c r="J1523" t="s">
        <v>620</v>
      </c>
      <c r="K1523" t="s">
        <v>418</v>
      </c>
      <c r="L1523">
        <v>0.87</v>
      </c>
      <c r="M1523" t="s">
        <v>7618</v>
      </c>
      <c r="N1523" t="s">
        <v>7619</v>
      </c>
      <c r="O1523" t="s">
        <v>7620</v>
      </c>
      <c r="P1523" t="s">
        <v>485</v>
      </c>
      <c r="Q1523" t="s">
        <v>6845</v>
      </c>
      <c r="R1523" t="s">
        <v>6846</v>
      </c>
      <c r="S1523" t="s">
        <v>2885</v>
      </c>
      <c r="T1523" t="s">
        <v>2886</v>
      </c>
    </row>
    <row r="1524" spans="1:20">
      <c r="A1524" s="241">
        <v>44001</v>
      </c>
      <c r="B1524" t="s">
        <v>7621</v>
      </c>
      <c r="C1524" t="s">
        <v>3669</v>
      </c>
      <c r="D1524" t="s">
        <v>2821</v>
      </c>
      <c r="E1524" t="s">
        <v>274</v>
      </c>
      <c r="F1524" t="s">
        <v>295</v>
      </c>
      <c r="G1524" t="s">
        <v>830</v>
      </c>
      <c r="H1524" t="s">
        <v>600</v>
      </c>
      <c r="I1524" t="s">
        <v>317</v>
      </c>
      <c r="J1524" t="s">
        <v>640</v>
      </c>
      <c r="K1524" t="s">
        <v>722</v>
      </c>
      <c r="L1524">
        <v>0.87</v>
      </c>
      <c r="M1524" t="s">
        <v>7622</v>
      </c>
      <c r="N1524" t="s">
        <v>7623</v>
      </c>
      <c r="O1524" t="s">
        <v>7624</v>
      </c>
      <c r="P1524" t="s">
        <v>485</v>
      </c>
      <c r="Q1524" t="s">
        <v>6845</v>
      </c>
      <c r="R1524" t="s">
        <v>6846</v>
      </c>
      <c r="S1524" t="s">
        <v>2885</v>
      </c>
      <c r="T1524" t="s">
        <v>2886</v>
      </c>
    </row>
    <row r="1525" spans="1:20">
      <c r="A1525" s="241">
        <v>44001</v>
      </c>
      <c r="B1525" t="s">
        <v>7625</v>
      </c>
      <c r="C1525" t="s">
        <v>3831</v>
      </c>
      <c r="D1525" t="s">
        <v>1367</v>
      </c>
      <c r="E1525" t="s">
        <v>625</v>
      </c>
      <c r="F1525" t="s">
        <v>1511</v>
      </c>
      <c r="G1525" t="s">
        <v>830</v>
      </c>
      <c r="H1525" t="s">
        <v>307</v>
      </c>
      <c r="I1525" t="s">
        <v>317</v>
      </c>
      <c r="J1525" t="s">
        <v>1506</v>
      </c>
      <c r="K1525" t="s">
        <v>418</v>
      </c>
      <c r="L1525">
        <v>0.86</v>
      </c>
      <c r="M1525" t="s">
        <v>7626</v>
      </c>
      <c r="N1525" t="s">
        <v>7627</v>
      </c>
      <c r="O1525" t="s">
        <v>7628</v>
      </c>
      <c r="P1525" t="s">
        <v>485</v>
      </c>
      <c r="Q1525" t="s">
        <v>6845</v>
      </c>
      <c r="R1525" t="s">
        <v>6846</v>
      </c>
      <c r="S1525" t="s">
        <v>2885</v>
      </c>
      <c r="T1525" t="s">
        <v>2886</v>
      </c>
    </row>
    <row r="1526" spans="1:20">
      <c r="A1526" s="241">
        <v>44001</v>
      </c>
      <c r="B1526" t="s">
        <v>7629</v>
      </c>
      <c r="C1526" t="s">
        <v>2644</v>
      </c>
      <c r="D1526" t="s">
        <v>1877</v>
      </c>
      <c r="E1526" t="s">
        <v>423</v>
      </c>
      <c r="F1526" t="s">
        <v>1109</v>
      </c>
      <c r="G1526" t="s">
        <v>1269</v>
      </c>
      <c r="H1526" t="s">
        <v>608</v>
      </c>
      <c r="I1526" t="s">
        <v>1097</v>
      </c>
      <c r="J1526" t="s">
        <v>1868</v>
      </c>
      <c r="K1526" t="s">
        <v>722</v>
      </c>
      <c r="L1526">
        <v>0.86</v>
      </c>
      <c r="M1526" t="s">
        <v>7630</v>
      </c>
      <c r="N1526" t="s">
        <v>7631</v>
      </c>
      <c r="O1526" t="s">
        <v>7632</v>
      </c>
      <c r="P1526" t="s">
        <v>485</v>
      </c>
      <c r="Q1526" t="s">
        <v>6845</v>
      </c>
      <c r="R1526" t="s">
        <v>6846</v>
      </c>
      <c r="S1526" t="s">
        <v>2885</v>
      </c>
      <c r="T1526" t="s">
        <v>2886</v>
      </c>
    </row>
    <row r="1527" spans="1:20">
      <c r="A1527" s="241">
        <v>44001</v>
      </c>
      <c r="B1527" t="s">
        <v>7633</v>
      </c>
      <c r="C1527" t="s">
        <v>2811</v>
      </c>
      <c r="D1527" t="s">
        <v>3136</v>
      </c>
      <c r="E1527" t="s">
        <v>712</v>
      </c>
      <c r="F1527" t="s">
        <v>323</v>
      </c>
      <c r="G1527" t="s">
        <v>3284</v>
      </c>
      <c r="H1527" t="s">
        <v>813</v>
      </c>
      <c r="I1527" t="s">
        <v>882</v>
      </c>
      <c r="J1527" t="s">
        <v>1116</v>
      </c>
      <c r="K1527" t="s">
        <v>428</v>
      </c>
      <c r="L1527">
        <v>0.86</v>
      </c>
      <c r="M1527" t="s">
        <v>7634</v>
      </c>
      <c r="N1527" t="s">
        <v>7635</v>
      </c>
      <c r="O1527" t="s">
        <v>7636</v>
      </c>
      <c r="P1527" t="s">
        <v>485</v>
      </c>
      <c r="Q1527" t="s">
        <v>6845</v>
      </c>
      <c r="R1527" t="s">
        <v>6846</v>
      </c>
      <c r="S1527" t="s">
        <v>2885</v>
      </c>
      <c r="T1527" t="s">
        <v>2886</v>
      </c>
    </row>
    <row r="1528" spans="1:20">
      <c r="A1528" s="241">
        <v>44001</v>
      </c>
      <c r="B1528" t="s">
        <v>7637</v>
      </c>
      <c r="C1528" t="s">
        <v>3831</v>
      </c>
      <c r="D1528" t="s">
        <v>1377</v>
      </c>
      <c r="E1528" t="s">
        <v>712</v>
      </c>
      <c r="F1528" t="s">
        <v>639</v>
      </c>
      <c r="G1528" t="s">
        <v>324</v>
      </c>
      <c r="H1528" t="s">
        <v>1255</v>
      </c>
      <c r="I1528" t="s">
        <v>888</v>
      </c>
      <c r="J1528" t="s">
        <v>368</v>
      </c>
      <c r="K1528" t="s">
        <v>7035</v>
      </c>
      <c r="L1528">
        <v>0.86</v>
      </c>
      <c r="M1528" t="s">
        <v>7638</v>
      </c>
      <c r="N1528" t="s">
        <v>7639</v>
      </c>
      <c r="O1528" t="s">
        <v>7640</v>
      </c>
      <c r="P1528" t="s">
        <v>485</v>
      </c>
      <c r="Q1528" t="s">
        <v>6845</v>
      </c>
      <c r="R1528" t="s">
        <v>6846</v>
      </c>
      <c r="S1528" t="s">
        <v>2885</v>
      </c>
      <c r="T1528" t="s">
        <v>2886</v>
      </c>
    </row>
    <row r="1529" spans="1:20">
      <c r="A1529" s="241">
        <v>44001</v>
      </c>
      <c r="B1529" t="s">
        <v>7641</v>
      </c>
      <c r="C1529" t="s">
        <v>2811</v>
      </c>
      <c r="D1529" t="s">
        <v>2821</v>
      </c>
      <c r="E1529" t="s">
        <v>712</v>
      </c>
      <c r="F1529" t="s">
        <v>672</v>
      </c>
      <c r="G1529" t="s">
        <v>1500</v>
      </c>
      <c r="H1529" t="s">
        <v>1050</v>
      </c>
      <c r="I1529" t="s">
        <v>1547</v>
      </c>
      <c r="J1529" t="s">
        <v>691</v>
      </c>
      <c r="K1529" t="s">
        <v>5949</v>
      </c>
      <c r="L1529">
        <v>0.86</v>
      </c>
      <c r="M1529" t="s">
        <v>7642</v>
      </c>
      <c r="N1529" t="s">
        <v>7643</v>
      </c>
      <c r="O1529" t="s">
        <v>7644</v>
      </c>
      <c r="P1529" t="s">
        <v>485</v>
      </c>
      <c r="Q1529" t="s">
        <v>6845</v>
      </c>
      <c r="R1529" t="s">
        <v>6846</v>
      </c>
      <c r="S1529" t="s">
        <v>2885</v>
      </c>
      <c r="T1529" t="s">
        <v>2886</v>
      </c>
    </row>
    <row r="1530" spans="1:20">
      <c r="A1530" s="241">
        <v>44001</v>
      </c>
      <c r="B1530" t="s">
        <v>7645</v>
      </c>
      <c r="C1530" t="s">
        <v>3669</v>
      </c>
      <c r="D1530" t="s">
        <v>1377</v>
      </c>
      <c r="E1530" t="s">
        <v>614</v>
      </c>
      <c r="F1530" t="s">
        <v>1541</v>
      </c>
      <c r="G1530" t="s">
        <v>355</v>
      </c>
      <c r="H1530" t="s">
        <v>335</v>
      </c>
      <c r="I1530" t="s">
        <v>1547</v>
      </c>
      <c r="J1530" t="s">
        <v>1569</v>
      </c>
      <c r="K1530" t="s">
        <v>448</v>
      </c>
      <c r="L1530">
        <v>0.86</v>
      </c>
      <c r="M1530" t="s">
        <v>7646</v>
      </c>
      <c r="N1530" t="s">
        <v>7647</v>
      </c>
      <c r="O1530" t="s">
        <v>7648</v>
      </c>
      <c r="P1530" t="s">
        <v>485</v>
      </c>
      <c r="Q1530" t="s">
        <v>6845</v>
      </c>
      <c r="R1530" t="s">
        <v>6846</v>
      </c>
      <c r="S1530" t="s">
        <v>2885</v>
      </c>
      <c r="T1530" t="s">
        <v>2886</v>
      </c>
    </row>
    <row r="1531" spans="1:20">
      <c r="A1531" s="241">
        <v>44001</v>
      </c>
      <c r="B1531" t="s">
        <v>7649</v>
      </c>
      <c r="C1531" t="s">
        <v>3831</v>
      </c>
      <c r="D1531" t="s">
        <v>1196</v>
      </c>
      <c r="E1531" t="s">
        <v>615</v>
      </c>
      <c r="F1531" t="s">
        <v>2579</v>
      </c>
      <c r="G1531" t="s">
        <v>2764</v>
      </c>
      <c r="H1531" t="s">
        <v>1467</v>
      </c>
      <c r="I1531" t="s">
        <v>911</v>
      </c>
      <c r="J1531" t="s">
        <v>919</v>
      </c>
      <c r="K1531" t="s">
        <v>6918</v>
      </c>
      <c r="L1531">
        <v>0.86</v>
      </c>
      <c r="M1531" t="s">
        <v>7650</v>
      </c>
      <c r="N1531" t="s">
        <v>7651</v>
      </c>
      <c r="O1531" t="s">
        <v>7652</v>
      </c>
      <c r="P1531" t="s">
        <v>485</v>
      </c>
      <c r="Q1531" t="s">
        <v>6845</v>
      </c>
      <c r="R1531" t="s">
        <v>6846</v>
      </c>
      <c r="S1531" t="s">
        <v>2885</v>
      </c>
      <c r="T1531" t="s">
        <v>2886</v>
      </c>
    </row>
    <row r="1532" spans="1:20">
      <c r="A1532" s="241">
        <v>44001</v>
      </c>
      <c r="B1532" t="s">
        <v>7653</v>
      </c>
      <c r="C1532" t="s">
        <v>1377</v>
      </c>
      <c r="D1532" t="s">
        <v>3669</v>
      </c>
      <c r="E1532" t="s">
        <v>615</v>
      </c>
      <c r="F1532" t="s">
        <v>1127</v>
      </c>
      <c r="G1532" t="s">
        <v>2774</v>
      </c>
      <c r="H1532" t="s">
        <v>576</v>
      </c>
      <c r="I1532" t="s">
        <v>911</v>
      </c>
      <c r="J1532" t="s">
        <v>919</v>
      </c>
      <c r="K1532" t="s">
        <v>6918</v>
      </c>
      <c r="L1532">
        <v>0.86</v>
      </c>
      <c r="M1532" t="s">
        <v>7654</v>
      </c>
      <c r="N1532" t="s">
        <v>7655</v>
      </c>
      <c r="O1532" t="s">
        <v>7656</v>
      </c>
      <c r="P1532" t="s">
        <v>485</v>
      </c>
      <c r="Q1532" t="s">
        <v>6845</v>
      </c>
      <c r="R1532" t="s">
        <v>6846</v>
      </c>
      <c r="S1532" t="s">
        <v>2885</v>
      </c>
      <c r="T1532" t="s">
        <v>2886</v>
      </c>
    </row>
    <row r="1533" spans="1:20">
      <c r="A1533" s="241">
        <v>44001</v>
      </c>
      <c r="B1533" t="s">
        <v>7657</v>
      </c>
      <c r="C1533" t="s">
        <v>2811</v>
      </c>
      <c r="D1533" t="s">
        <v>488</v>
      </c>
      <c r="E1533" t="s">
        <v>625</v>
      </c>
      <c r="F1533" t="s">
        <v>2206</v>
      </c>
      <c r="G1533" t="s">
        <v>898</v>
      </c>
      <c r="H1533" t="s">
        <v>366</v>
      </c>
      <c r="I1533" t="s">
        <v>690</v>
      </c>
      <c r="J1533" t="s">
        <v>1304</v>
      </c>
      <c r="K1533" t="s">
        <v>7065</v>
      </c>
      <c r="L1533">
        <v>0.86</v>
      </c>
      <c r="M1533" t="s">
        <v>7658</v>
      </c>
      <c r="N1533" t="s">
        <v>7659</v>
      </c>
      <c r="O1533" t="s">
        <v>7660</v>
      </c>
      <c r="P1533" t="s">
        <v>485</v>
      </c>
      <c r="Q1533" t="s">
        <v>6845</v>
      </c>
      <c r="R1533" t="s">
        <v>6846</v>
      </c>
      <c r="S1533" t="s">
        <v>2885</v>
      </c>
      <c r="T1533" t="s">
        <v>2886</v>
      </c>
    </row>
    <row r="1534" spans="1:20">
      <c r="A1534" s="241">
        <v>44001</v>
      </c>
      <c r="B1534" t="s">
        <v>7661</v>
      </c>
      <c r="C1534" t="s">
        <v>2821</v>
      </c>
      <c r="D1534" t="s">
        <v>1367</v>
      </c>
      <c r="E1534" t="s">
        <v>712</v>
      </c>
      <c r="F1534" t="s">
        <v>689</v>
      </c>
      <c r="G1534" t="s">
        <v>1133</v>
      </c>
      <c r="H1534" t="s">
        <v>1574</v>
      </c>
      <c r="I1534" t="s">
        <v>416</v>
      </c>
      <c r="J1534" t="s">
        <v>730</v>
      </c>
      <c r="K1534" t="s">
        <v>6924</v>
      </c>
      <c r="L1534">
        <v>0.86</v>
      </c>
      <c r="M1534" t="s">
        <v>7662</v>
      </c>
      <c r="N1534" t="s">
        <v>7663</v>
      </c>
      <c r="O1534" t="s">
        <v>7664</v>
      </c>
      <c r="P1534" t="s">
        <v>485</v>
      </c>
      <c r="Q1534" t="s">
        <v>6845</v>
      </c>
      <c r="R1534" t="s">
        <v>6846</v>
      </c>
      <c r="S1534" t="s">
        <v>2885</v>
      </c>
      <c r="T1534" t="s">
        <v>2886</v>
      </c>
    </row>
    <row r="1535" spans="1:20">
      <c r="A1535" s="241">
        <v>44001</v>
      </c>
      <c r="B1535" t="s">
        <v>7665</v>
      </c>
      <c r="C1535" t="s">
        <v>1176</v>
      </c>
      <c r="D1535" t="s">
        <v>1367</v>
      </c>
      <c r="E1535" t="s">
        <v>645</v>
      </c>
      <c r="F1535" t="s">
        <v>1604</v>
      </c>
      <c r="G1535" t="s">
        <v>1297</v>
      </c>
      <c r="H1535" t="s">
        <v>305</v>
      </c>
      <c r="I1535" t="s">
        <v>939</v>
      </c>
      <c r="J1535" t="s">
        <v>1171</v>
      </c>
      <c r="K1535" t="s">
        <v>7083</v>
      </c>
      <c r="L1535">
        <v>0.86</v>
      </c>
      <c r="M1535" t="s">
        <v>7666</v>
      </c>
      <c r="N1535" t="s">
        <v>7667</v>
      </c>
      <c r="O1535" t="s">
        <v>7668</v>
      </c>
      <c r="P1535" t="s">
        <v>485</v>
      </c>
      <c r="Q1535" t="s">
        <v>6845</v>
      </c>
      <c r="R1535" t="s">
        <v>6846</v>
      </c>
      <c r="S1535" t="s">
        <v>2885</v>
      </c>
      <c r="T1535" t="s">
        <v>2886</v>
      </c>
    </row>
    <row r="1536" spans="1:20">
      <c r="A1536" s="241">
        <v>44001</v>
      </c>
      <c r="B1536" t="s">
        <v>7669</v>
      </c>
      <c r="C1536" t="s">
        <v>1377</v>
      </c>
      <c r="D1536" t="s">
        <v>5481</v>
      </c>
      <c r="E1536" t="s">
        <v>615</v>
      </c>
      <c r="F1536" t="s">
        <v>413</v>
      </c>
      <c r="G1536" t="s">
        <v>697</v>
      </c>
      <c r="H1536" t="s">
        <v>405</v>
      </c>
      <c r="I1536" t="s">
        <v>436</v>
      </c>
      <c r="J1536" t="s">
        <v>730</v>
      </c>
      <c r="K1536" t="s">
        <v>5949</v>
      </c>
      <c r="L1536">
        <v>0.86</v>
      </c>
      <c r="M1536" t="s">
        <v>7670</v>
      </c>
      <c r="N1536" t="s">
        <v>7671</v>
      </c>
      <c r="O1536" t="s">
        <v>7672</v>
      </c>
      <c r="P1536" t="s">
        <v>485</v>
      </c>
      <c r="Q1536" t="s">
        <v>6845</v>
      </c>
      <c r="R1536" t="s">
        <v>6846</v>
      </c>
      <c r="S1536" t="s">
        <v>2885</v>
      </c>
      <c r="T1536" t="s">
        <v>2886</v>
      </c>
    </row>
    <row r="1537" spans="1:20">
      <c r="A1537" s="241">
        <v>44001</v>
      </c>
      <c r="B1537" t="s">
        <v>7673</v>
      </c>
      <c r="C1537" t="s">
        <v>3831</v>
      </c>
      <c r="D1537" t="s">
        <v>1367</v>
      </c>
      <c r="E1537" t="s">
        <v>671</v>
      </c>
      <c r="F1537" t="s">
        <v>1338</v>
      </c>
      <c r="G1537" t="s">
        <v>1568</v>
      </c>
      <c r="H1537" t="s">
        <v>426</v>
      </c>
      <c r="I1537" t="s">
        <v>446</v>
      </c>
      <c r="J1537" t="s">
        <v>6929</v>
      </c>
      <c r="K1537" t="s">
        <v>7078</v>
      </c>
      <c r="L1537">
        <v>0.86</v>
      </c>
      <c r="M1537" t="s">
        <v>7674</v>
      </c>
      <c r="N1537" t="s">
        <v>7675</v>
      </c>
      <c r="O1537" t="s">
        <v>7676</v>
      </c>
      <c r="P1537" t="s">
        <v>485</v>
      </c>
      <c r="Q1537" t="s">
        <v>6845</v>
      </c>
      <c r="R1537" t="s">
        <v>6846</v>
      </c>
      <c r="S1537" t="s">
        <v>2885</v>
      </c>
      <c r="T1537" t="s">
        <v>2886</v>
      </c>
    </row>
    <row r="1538" spans="1:20">
      <c r="A1538" s="241">
        <v>44001</v>
      </c>
      <c r="B1538" t="s">
        <v>7677</v>
      </c>
      <c r="C1538" t="s">
        <v>2821</v>
      </c>
      <c r="D1538" t="s">
        <v>1367</v>
      </c>
      <c r="E1538" t="s">
        <v>712</v>
      </c>
      <c r="F1538" t="s">
        <v>1945</v>
      </c>
      <c r="G1538" t="s">
        <v>434</v>
      </c>
      <c r="H1538" t="s">
        <v>1574</v>
      </c>
      <c r="I1538" t="s">
        <v>1631</v>
      </c>
      <c r="J1538" t="s">
        <v>6929</v>
      </c>
      <c r="K1538" t="s">
        <v>5949</v>
      </c>
      <c r="L1538">
        <v>0.86</v>
      </c>
      <c r="M1538" t="s">
        <v>7678</v>
      </c>
      <c r="N1538" t="s">
        <v>7679</v>
      </c>
      <c r="O1538" t="s">
        <v>7680</v>
      </c>
      <c r="P1538" t="s">
        <v>485</v>
      </c>
      <c r="Q1538" t="s">
        <v>6845</v>
      </c>
      <c r="R1538" t="s">
        <v>6846</v>
      </c>
      <c r="S1538" t="s">
        <v>2885</v>
      </c>
      <c r="T1538" t="s">
        <v>2886</v>
      </c>
    </row>
    <row r="1539" spans="1:20">
      <c r="A1539" s="241">
        <v>44001</v>
      </c>
      <c r="B1539" t="s">
        <v>7681</v>
      </c>
      <c r="C1539" t="s">
        <v>6942</v>
      </c>
      <c r="D1539" t="s">
        <v>7442</v>
      </c>
      <c r="E1539" t="s">
        <v>1665</v>
      </c>
      <c r="F1539" t="s">
        <v>3118</v>
      </c>
      <c r="G1539" t="s">
        <v>2432</v>
      </c>
      <c r="H1539" t="s">
        <v>1205</v>
      </c>
      <c r="I1539" t="s">
        <v>7682</v>
      </c>
      <c r="J1539" t="s">
        <v>4348</v>
      </c>
      <c r="K1539" t="s">
        <v>7683</v>
      </c>
      <c r="L1539">
        <v>0.89</v>
      </c>
      <c r="M1539" t="s">
        <v>7684</v>
      </c>
      <c r="N1539" t="s">
        <v>7685</v>
      </c>
      <c r="O1539" t="s">
        <v>7686</v>
      </c>
      <c r="P1539" t="s">
        <v>485</v>
      </c>
      <c r="Q1539" t="s">
        <v>6845</v>
      </c>
      <c r="R1539" t="s">
        <v>6846</v>
      </c>
      <c r="S1539" t="s">
        <v>2885</v>
      </c>
      <c r="T1539" t="s">
        <v>2886</v>
      </c>
    </row>
    <row r="1540" spans="1:20">
      <c r="A1540" s="241">
        <v>44001</v>
      </c>
      <c r="B1540" t="s">
        <v>7687</v>
      </c>
      <c r="C1540" t="s">
        <v>7281</v>
      </c>
      <c r="D1540" t="s">
        <v>7281</v>
      </c>
      <c r="E1540" t="s">
        <v>2644</v>
      </c>
      <c r="F1540" t="s">
        <v>1358</v>
      </c>
      <c r="G1540" t="s">
        <v>1197</v>
      </c>
      <c r="H1540" t="s">
        <v>758</v>
      </c>
      <c r="I1540" t="s">
        <v>2249</v>
      </c>
      <c r="J1540" t="s">
        <v>1189</v>
      </c>
      <c r="K1540" t="s">
        <v>2816</v>
      </c>
      <c r="L1540">
        <v>0.89</v>
      </c>
      <c r="M1540" t="s">
        <v>7688</v>
      </c>
      <c r="N1540" t="s">
        <v>7689</v>
      </c>
      <c r="O1540" t="s">
        <v>7690</v>
      </c>
      <c r="P1540" t="s">
        <v>485</v>
      </c>
      <c r="Q1540" t="s">
        <v>6845</v>
      </c>
      <c r="R1540" t="s">
        <v>6846</v>
      </c>
      <c r="S1540" t="s">
        <v>2885</v>
      </c>
      <c r="T1540" t="s">
        <v>2886</v>
      </c>
    </row>
    <row r="1541" spans="1:20">
      <c r="A1541" s="241">
        <v>44001</v>
      </c>
      <c r="B1541" t="s">
        <v>7691</v>
      </c>
      <c r="C1541" t="s">
        <v>6985</v>
      </c>
      <c r="D1541" t="s">
        <v>7281</v>
      </c>
      <c r="E1541" t="s">
        <v>1357</v>
      </c>
      <c r="F1541" t="s">
        <v>466</v>
      </c>
      <c r="G1541" t="s">
        <v>1656</v>
      </c>
      <c r="H1541" t="s">
        <v>7692</v>
      </c>
      <c r="I1541" t="s">
        <v>2646</v>
      </c>
      <c r="J1541" t="s">
        <v>7693</v>
      </c>
      <c r="K1541" t="s">
        <v>1981</v>
      </c>
      <c r="L1541">
        <v>0.89</v>
      </c>
      <c r="M1541" t="s">
        <v>7694</v>
      </c>
      <c r="N1541" t="s">
        <v>7695</v>
      </c>
      <c r="O1541" t="s">
        <v>7696</v>
      </c>
      <c r="P1541" t="s">
        <v>485</v>
      </c>
      <c r="Q1541" t="s">
        <v>6845</v>
      </c>
      <c r="R1541" t="s">
        <v>6846</v>
      </c>
      <c r="S1541" t="s">
        <v>2885</v>
      </c>
      <c r="T1541" t="s">
        <v>2886</v>
      </c>
    </row>
    <row r="1542" spans="1:20">
      <c r="A1542" s="241">
        <v>44001</v>
      </c>
      <c r="B1542" t="s">
        <v>7697</v>
      </c>
      <c r="C1542" t="s">
        <v>959</v>
      </c>
      <c r="D1542" t="s">
        <v>2821</v>
      </c>
      <c r="E1542" t="s">
        <v>206</v>
      </c>
      <c r="F1542" t="s">
        <v>7698</v>
      </c>
      <c r="G1542" t="s">
        <v>1338</v>
      </c>
      <c r="H1542" t="s">
        <v>2266</v>
      </c>
      <c r="I1542" t="s">
        <v>7699</v>
      </c>
      <c r="J1542" t="s">
        <v>3814</v>
      </c>
      <c r="K1542" t="s">
        <v>7700</v>
      </c>
      <c r="L1542">
        <v>0.87</v>
      </c>
      <c r="M1542" t="s">
        <v>7701</v>
      </c>
      <c r="N1542" t="s">
        <v>7702</v>
      </c>
      <c r="O1542" t="s">
        <v>7703</v>
      </c>
      <c r="P1542" t="s">
        <v>485</v>
      </c>
      <c r="Q1542" t="s">
        <v>6845</v>
      </c>
      <c r="R1542" t="s">
        <v>6846</v>
      </c>
      <c r="S1542" t="s">
        <v>2885</v>
      </c>
      <c r="T1542" t="s">
        <v>2886</v>
      </c>
    </row>
    <row r="1543" spans="1:20">
      <c r="A1543" s="241">
        <v>44001</v>
      </c>
      <c r="B1543" t="s">
        <v>7704</v>
      </c>
      <c r="C1543" t="s">
        <v>1666</v>
      </c>
      <c r="D1543" t="s">
        <v>1176</v>
      </c>
      <c r="E1543" t="s">
        <v>442</v>
      </c>
      <c r="F1543" t="s">
        <v>531</v>
      </c>
      <c r="G1543" t="s">
        <v>1678</v>
      </c>
      <c r="H1543" t="s">
        <v>5511</v>
      </c>
      <c r="I1543" t="s">
        <v>4647</v>
      </c>
      <c r="J1543" t="s">
        <v>1011</v>
      </c>
      <c r="K1543" t="s">
        <v>256</v>
      </c>
      <c r="L1543">
        <v>0.87</v>
      </c>
      <c r="M1543" t="s">
        <v>7705</v>
      </c>
      <c r="N1543" t="s">
        <v>7706</v>
      </c>
      <c r="O1543" t="s">
        <v>7707</v>
      </c>
      <c r="P1543" t="s">
        <v>485</v>
      </c>
      <c r="Q1543" t="s">
        <v>6845</v>
      </c>
      <c r="R1543" t="s">
        <v>6846</v>
      </c>
      <c r="S1543" t="s">
        <v>2885</v>
      </c>
      <c r="T1543" t="s">
        <v>2886</v>
      </c>
    </row>
    <row r="1544" spans="1:20">
      <c r="A1544" s="241">
        <v>44001</v>
      </c>
      <c r="B1544" t="s">
        <v>7708</v>
      </c>
      <c r="C1544" t="s">
        <v>2626</v>
      </c>
      <c r="D1544" t="s">
        <v>2821</v>
      </c>
      <c r="E1544" t="s">
        <v>261</v>
      </c>
      <c r="F1544" t="s">
        <v>253</v>
      </c>
      <c r="G1544" t="s">
        <v>2016</v>
      </c>
      <c r="H1544" t="s">
        <v>6714</v>
      </c>
      <c r="I1544" t="s">
        <v>522</v>
      </c>
      <c r="J1544" t="s">
        <v>1026</v>
      </c>
      <c r="K1544" t="s">
        <v>280</v>
      </c>
      <c r="L1544">
        <v>0.87</v>
      </c>
      <c r="M1544" t="s">
        <v>7709</v>
      </c>
      <c r="N1544" t="s">
        <v>7710</v>
      </c>
      <c r="O1544" t="s">
        <v>7711</v>
      </c>
      <c r="P1544" t="s">
        <v>485</v>
      </c>
      <c r="Q1544" t="s">
        <v>6845</v>
      </c>
      <c r="R1544" t="s">
        <v>6846</v>
      </c>
      <c r="S1544" t="s">
        <v>2885</v>
      </c>
      <c r="T1544" t="s">
        <v>2886</v>
      </c>
    </row>
    <row r="1545" spans="1:20">
      <c r="A1545" s="241">
        <v>44001</v>
      </c>
      <c r="B1545" t="s">
        <v>7712</v>
      </c>
      <c r="C1545" t="s">
        <v>2821</v>
      </c>
      <c r="D1545" t="s">
        <v>1176</v>
      </c>
      <c r="E1545" t="s">
        <v>614</v>
      </c>
      <c r="F1545" t="s">
        <v>585</v>
      </c>
      <c r="G1545" t="s">
        <v>2023</v>
      </c>
      <c r="H1545" t="s">
        <v>4383</v>
      </c>
      <c r="I1545" t="s">
        <v>1226</v>
      </c>
      <c r="J1545" t="s">
        <v>543</v>
      </c>
      <c r="K1545" t="s">
        <v>256</v>
      </c>
      <c r="L1545">
        <v>0.87</v>
      </c>
      <c r="M1545" t="s">
        <v>7713</v>
      </c>
      <c r="N1545" t="s">
        <v>7714</v>
      </c>
      <c r="O1545" t="s">
        <v>7715</v>
      </c>
      <c r="P1545" t="s">
        <v>485</v>
      </c>
      <c r="Q1545" t="s">
        <v>6845</v>
      </c>
      <c r="R1545" t="s">
        <v>6846</v>
      </c>
      <c r="S1545" t="s">
        <v>2885</v>
      </c>
      <c r="T1545" t="s">
        <v>2886</v>
      </c>
    </row>
    <row r="1546" spans="1:20">
      <c r="A1546" s="241">
        <v>44001</v>
      </c>
      <c r="B1546" t="s">
        <v>7716</v>
      </c>
      <c r="C1546" t="s">
        <v>3831</v>
      </c>
      <c r="D1546" t="s">
        <v>2821</v>
      </c>
      <c r="E1546" t="s">
        <v>442</v>
      </c>
      <c r="F1546" t="s">
        <v>608</v>
      </c>
      <c r="G1546" t="s">
        <v>530</v>
      </c>
      <c r="H1546" t="s">
        <v>1697</v>
      </c>
      <c r="I1546" t="s">
        <v>212</v>
      </c>
      <c r="J1546" t="s">
        <v>243</v>
      </c>
      <c r="K1546" t="s">
        <v>666</v>
      </c>
      <c r="L1546">
        <v>0.87</v>
      </c>
      <c r="M1546" t="s">
        <v>7717</v>
      </c>
      <c r="N1546" t="s">
        <v>7718</v>
      </c>
      <c r="O1546" t="s">
        <v>7719</v>
      </c>
      <c r="P1546" t="s">
        <v>485</v>
      </c>
      <c r="Q1546" t="s">
        <v>6845</v>
      </c>
      <c r="R1546" t="s">
        <v>6846</v>
      </c>
      <c r="S1546" t="s">
        <v>2885</v>
      </c>
      <c r="T1546" t="s">
        <v>2886</v>
      </c>
    </row>
    <row r="1547" spans="1:20">
      <c r="A1547" s="241">
        <v>44001</v>
      </c>
      <c r="B1547" t="s">
        <v>7720</v>
      </c>
      <c r="C1547" t="s">
        <v>3669</v>
      </c>
      <c r="D1547" t="s">
        <v>2821</v>
      </c>
      <c r="E1547" t="s">
        <v>274</v>
      </c>
      <c r="F1547" t="s">
        <v>1231</v>
      </c>
      <c r="G1547" t="s">
        <v>1025</v>
      </c>
      <c r="H1547" t="s">
        <v>1213</v>
      </c>
      <c r="I1547" t="s">
        <v>1747</v>
      </c>
      <c r="J1547" t="s">
        <v>243</v>
      </c>
      <c r="K1547" t="s">
        <v>338</v>
      </c>
      <c r="L1547">
        <v>0.87</v>
      </c>
      <c r="M1547" t="s">
        <v>7721</v>
      </c>
      <c r="N1547" t="s">
        <v>7722</v>
      </c>
      <c r="O1547" t="s">
        <v>7723</v>
      </c>
      <c r="P1547" t="s">
        <v>485</v>
      </c>
      <c r="Q1547" t="s">
        <v>6845</v>
      </c>
      <c r="R1547" t="s">
        <v>6846</v>
      </c>
      <c r="S1547" t="s">
        <v>2885</v>
      </c>
      <c r="T1547" t="s">
        <v>2886</v>
      </c>
    </row>
    <row r="1548" spans="1:20">
      <c r="A1548" s="241">
        <v>44001</v>
      </c>
      <c r="B1548" t="s">
        <v>7724</v>
      </c>
      <c r="C1548" t="s">
        <v>3679</v>
      </c>
      <c r="D1548" t="s">
        <v>1665</v>
      </c>
      <c r="E1548" t="s">
        <v>615</v>
      </c>
      <c r="F1548" t="s">
        <v>822</v>
      </c>
      <c r="G1548" t="s">
        <v>2053</v>
      </c>
      <c r="H1548" t="s">
        <v>1709</v>
      </c>
      <c r="I1548" t="s">
        <v>560</v>
      </c>
      <c r="J1548" t="s">
        <v>570</v>
      </c>
      <c r="K1548" t="s">
        <v>349</v>
      </c>
      <c r="L1548">
        <v>0.87</v>
      </c>
      <c r="M1548" t="s">
        <v>7725</v>
      </c>
      <c r="N1548" t="s">
        <v>7726</v>
      </c>
      <c r="O1548" t="s">
        <v>7727</v>
      </c>
      <c r="P1548" t="s">
        <v>485</v>
      </c>
      <c r="Q1548" t="s">
        <v>6845</v>
      </c>
      <c r="R1548" t="s">
        <v>6846</v>
      </c>
      <c r="S1548" t="s">
        <v>2885</v>
      </c>
      <c r="T1548" t="s">
        <v>2886</v>
      </c>
    </row>
    <row r="1549" spans="1:20">
      <c r="A1549" s="241">
        <v>44001</v>
      </c>
      <c r="B1549" t="s">
        <v>7728</v>
      </c>
      <c r="C1549" t="s">
        <v>3669</v>
      </c>
      <c r="D1549" t="s">
        <v>3679</v>
      </c>
      <c r="E1549" t="s">
        <v>294</v>
      </c>
      <c r="F1549" t="s">
        <v>1255</v>
      </c>
      <c r="G1549" t="s">
        <v>2075</v>
      </c>
      <c r="H1549" t="s">
        <v>559</v>
      </c>
      <c r="I1549" t="s">
        <v>254</v>
      </c>
      <c r="J1549" t="s">
        <v>2330</v>
      </c>
      <c r="K1549" t="s">
        <v>268</v>
      </c>
      <c r="L1549">
        <v>0.87</v>
      </c>
      <c r="M1549" t="s">
        <v>7729</v>
      </c>
      <c r="N1549" t="s">
        <v>7730</v>
      </c>
      <c r="O1549" t="s">
        <v>7731</v>
      </c>
      <c r="P1549" t="s">
        <v>485</v>
      </c>
      <c r="Q1549" t="s">
        <v>6845</v>
      </c>
      <c r="R1549" t="s">
        <v>6846</v>
      </c>
      <c r="S1549" t="s">
        <v>2885</v>
      </c>
      <c r="T1549" t="s">
        <v>2886</v>
      </c>
    </row>
    <row r="1550" spans="1:20">
      <c r="A1550" s="241">
        <v>44001</v>
      </c>
      <c r="B1550" t="s">
        <v>7732</v>
      </c>
      <c r="C1550" t="s">
        <v>2810</v>
      </c>
      <c r="D1550" t="s">
        <v>3679</v>
      </c>
      <c r="E1550" t="s">
        <v>712</v>
      </c>
      <c r="F1550" t="s">
        <v>1255</v>
      </c>
      <c r="G1550" t="s">
        <v>1740</v>
      </c>
      <c r="H1550" t="s">
        <v>815</v>
      </c>
      <c r="I1550" t="s">
        <v>569</v>
      </c>
      <c r="J1550" t="s">
        <v>267</v>
      </c>
      <c r="K1550" t="s">
        <v>666</v>
      </c>
      <c r="L1550">
        <v>0.87</v>
      </c>
      <c r="M1550" t="s">
        <v>7733</v>
      </c>
      <c r="N1550" t="s">
        <v>7734</v>
      </c>
      <c r="O1550" t="s">
        <v>7735</v>
      </c>
      <c r="P1550" t="s">
        <v>485</v>
      </c>
      <c r="Q1550" t="s">
        <v>6845</v>
      </c>
      <c r="R1550" t="s">
        <v>6846</v>
      </c>
      <c r="S1550" t="s">
        <v>2885</v>
      </c>
      <c r="T1550" t="s">
        <v>2886</v>
      </c>
    </row>
    <row r="1551" spans="1:20">
      <c r="A1551" s="241">
        <v>44001</v>
      </c>
      <c r="B1551" t="s">
        <v>7736</v>
      </c>
      <c r="C1551" t="s">
        <v>2821</v>
      </c>
      <c r="D1551" t="s">
        <v>3136</v>
      </c>
      <c r="E1551" t="s">
        <v>237</v>
      </c>
      <c r="F1551" t="s">
        <v>385</v>
      </c>
      <c r="G1551" t="s">
        <v>567</v>
      </c>
      <c r="H1551" t="s">
        <v>823</v>
      </c>
      <c r="I1551" t="s">
        <v>1264</v>
      </c>
      <c r="J1551" t="s">
        <v>309</v>
      </c>
      <c r="K1551" t="s">
        <v>418</v>
      </c>
      <c r="L1551">
        <v>0.87</v>
      </c>
      <c r="M1551" t="s">
        <v>7737</v>
      </c>
      <c r="N1551" t="s">
        <v>7738</v>
      </c>
      <c r="O1551" t="s">
        <v>7739</v>
      </c>
      <c r="P1551" t="s">
        <v>485</v>
      </c>
      <c r="Q1551" t="s">
        <v>6845</v>
      </c>
      <c r="R1551" t="s">
        <v>6846</v>
      </c>
      <c r="S1551" t="s">
        <v>2885</v>
      </c>
      <c r="T1551" t="s">
        <v>2886</v>
      </c>
    </row>
    <row r="1552" spans="1:20">
      <c r="A1552" s="241">
        <v>44001</v>
      </c>
      <c r="B1552" t="s">
        <v>7740</v>
      </c>
      <c r="C1552" t="s">
        <v>3669</v>
      </c>
      <c r="D1552" t="s">
        <v>3679</v>
      </c>
      <c r="E1552" t="s">
        <v>294</v>
      </c>
      <c r="F1552" t="s">
        <v>385</v>
      </c>
      <c r="G1552" t="s">
        <v>1442</v>
      </c>
      <c r="H1552" t="s">
        <v>2315</v>
      </c>
      <c r="I1552" t="s">
        <v>1264</v>
      </c>
      <c r="J1552" t="s">
        <v>601</v>
      </c>
      <c r="K1552" t="s">
        <v>369</v>
      </c>
      <c r="L1552">
        <v>0.87</v>
      </c>
      <c r="M1552" t="s">
        <v>7741</v>
      </c>
      <c r="N1552" t="s">
        <v>7742</v>
      </c>
      <c r="O1552" t="s">
        <v>7743</v>
      </c>
      <c r="P1552" t="s">
        <v>485</v>
      </c>
      <c r="Q1552" t="s">
        <v>6845</v>
      </c>
      <c r="R1552" t="s">
        <v>6846</v>
      </c>
      <c r="S1552" t="s">
        <v>2885</v>
      </c>
      <c r="T1552" t="s">
        <v>2886</v>
      </c>
    </row>
    <row r="1553" spans="1:20">
      <c r="A1553" s="241">
        <v>44001</v>
      </c>
      <c r="B1553" t="s">
        <v>7744</v>
      </c>
      <c r="C1553" t="s">
        <v>2626</v>
      </c>
      <c r="D1553" t="s">
        <v>488</v>
      </c>
      <c r="E1553" t="s">
        <v>442</v>
      </c>
      <c r="F1553" t="s">
        <v>835</v>
      </c>
      <c r="G1553" t="s">
        <v>1256</v>
      </c>
      <c r="H1553" t="s">
        <v>1388</v>
      </c>
      <c r="I1553" t="s">
        <v>288</v>
      </c>
      <c r="J1553" t="s">
        <v>1812</v>
      </c>
      <c r="K1553" t="s">
        <v>369</v>
      </c>
      <c r="L1553">
        <v>0.87</v>
      </c>
      <c r="M1553" t="s">
        <v>7745</v>
      </c>
      <c r="N1553" t="s">
        <v>7746</v>
      </c>
      <c r="O1553" t="s">
        <v>7747</v>
      </c>
      <c r="P1553" t="s">
        <v>485</v>
      </c>
      <c r="Q1553" t="s">
        <v>6845</v>
      </c>
      <c r="R1553" t="s">
        <v>6846</v>
      </c>
      <c r="S1553" t="s">
        <v>2885</v>
      </c>
      <c r="T1553" t="s">
        <v>2886</v>
      </c>
    </row>
    <row r="1554" spans="1:20">
      <c r="A1554" s="241">
        <v>44001</v>
      </c>
      <c r="B1554" t="s">
        <v>7748</v>
      </c>
      <c r="C1554" t="s">
        <v>1176</v>
      </c>
      <c r="D1554" t="s">
        <v>1176</v>
      </c>
      <c r="E1554" t="s">
        <v>625</v>
      </c>
      <c r="F1554" t="s">
        <v>590</v>
      </c>
      <c r="G1554" t="s">
        <v>1775</v>
      </c>
      <c r="H1554" t="s">
        <v>287</v>
      </c>
      <c r="I1554" t="s">
        <v>297</v>
      </c>
      <c r="J1554" t="s">
        <v>870</v>
      </c>
      <c r="K1554" t="s">
        <v>408</v>
      </c>
      <c r="L1554">
        <v>0.87</v>
      </c>
      <c r="M1554" t="s">
        <v>7749</v>
      </c>
      <c r="N1554" t="s">
        <v>7750</v>
      </c>
      <c r="O1554" t="s">
        <v>7751</v>
      </c>
      <c r="P1554" t="s">
        <v>485</v>
      </c>
      <c r="Q1554" t="s">
        <v>6845</v>
      </c>
      <c r="R1554" t="s">
        <v>6846</v>
      </c>
      <c r="S1554" t="s">
        <v>2885</v>
      </c>
      <c r="T1554" t="s">
        <v>2886</v>
      </c>
    </row>
    <row r="1555" spans="1:20">
      <c r="A1555" s="241">
        <v>44001</v>
      </c>
      <c r="B1555" t="s">
        <v>7752</v>
      </c>
      <c r="C1555" t="s">
        <v>1666</v>
      </c>
      <c r="D1555" t="s">
        <v>1367</v>
      </c>
      <c r="E1555" t="s">
        <v>614</v>
      </c>
      <c r="F1555" t="s">
        <v>285</v>
      </c>
      <c r="G1555" t="s">
        <v>2142</v>
      </c>
      <c r="H1555" t="s">
        <v>585</v>
      </c>
      <c r="I1555" t="s">
        <v>619</v>
      </c>
      <c r="J1555" t="s">
        <v>1495</v>
      </c>
      <c r="K1555" t="s">
        <v>418</v>
      </c>
      <c r="L1555">
        <v>0.86</v>
      </c>
      <c r="M1555" t="s">
        <v>7753</v>
      </c>
      <c r="N1555" t="s">
        <v>7754</v>
      </c>
      <c r="O1555" t="s">
        <v>7755</v>
      </c>
      <c r="P1555" t="s">
        <v>485</v>
      </c>
      <c r="Q1555" t="s">
        <v>6845</v>
      </c>
      <c r="R1555" t="s">
        <v>6846</v>
      </c>
      <c r="S1555" t="s">
        <v>2885</v>
      </c>
      <c r="T1555" t="s">
        <v>2886</v>
      </c>
    </row>
    <row r="1556" spans="1:20">
      <c r="A1556" s="241">
        <v>44001</v>
      </c>
      <c r="B1556" t="s">
        <v>7756</v>
      </c>
      <c r="C1556" t="s">
        <v>2821</v>
      </c>
      <c r="D1556" t="s">
        <v>3679</v>
      </c>
      <c r="E1556" t="s">
        <v>614</v>
      </c>
      <c r="F1556" t="s">
        <v>848</v>
      </c>
      <c r="G1556" t="s">
        <v>1269</v>
      </c>
      <c r="H1556" t="s">
        <v>618</v>
      </c>
      <c r="I1556" t="s">
        <v>869</v>
      </c>
      <c r="J1556" t="s">
        <v>1506</v>
      </c>
      <c r="K1556" t="s">
        <v>369</v>
      </c>
      <c r="L1556">
        <v>0.86</v>
      </c>
      <c r="M1556" t="s">
        <v>7757</v>
      </c>
      <c r="N1556" t="s">
        <v>7758</v>
      </c>
      <c r="O1556" t="s">
        <v>7759</v>
      </c>
      <c r="P1556" t="s">
        <v>485</v>
      </c>
      <c r="Q1556" t="s">
        <v>6845</v>
      </c>
      <c r="R1556" t="s">
        <v>6846</v>
      </c>
      <c r="S1556" t="s">
        <v>2885</v>
      </c>
      <c r="T1556" t="s">
        <v>2886</v>
      </c>
    </row>
    <row r="1557" spans="1:20">
      <c r="A1557" s="241">
        <v>44001</v>
      </c>
      <c r="B1557" t="s">
        <v>7760</v>
      </c>
      <c r="C1557" t="s">
        <v>1176</v>
      </c>
      <c r="D1557" t="s">
        <v>3136</v>
      </c>
      <c r="E1557" t="s">
        <v>614</v>
      </c>
      <c r="F1557" t="s">
        <v>295</v>
      </c>
      <c r="G1557" t="s">
        <v>1462</v>
      </c>
      <c r="H1557" t="s">
        <v>226</v>
      </c>
      <c r="I1557" t="s">
        <v>1842</v>
      </c>
      <c r="J1557" t="s">
        <v>348</v>
      </c>
      <c r="K1557" t="s">
        <v>457</v>
      </c>
      <c r="L1557">
        <v>0.86</v>
      </c>
      <c r="M1557" t="s">
        <v>7761</v>
      </c>
      <c r="N1557" t="s">
        <v>7762</v>
      </c>
      <c r="O1557" t="s">
        <v>7763</v>
      </c>
      <c r="P1557" t="s">
        <v>485</v>
      </c>
      <c r="Q1557" t="s">
        <v>6845</v>
      </c>
      <c r="R1557" t="s">
        <v>6846</v>
      </c>
      <c r="S1557" t="s">
        <v>2885</v>
      </c>
      <c r="T1557" t="s">
        <v>2886</v>
      </c>
    </row>
    <row r="1558" spans="1:20">
      <c r="A1558" s="241">
        <v>44001</v>
      </c>
      <c r="B1558" t="s">
        <v>7764</v>
      </c>
      <c r="C1558" t="s">
        <v>3136</v>
      </c>
      <c r="D1558" t="s">
        <v>3669</v>
      </c>
      <c r="E1558" t="s">
        <v>249</v>
      </c>
      <c r="F1558" t="s">
        <v>435</v>
      </c>
      <c r="G1558" t="s">
        <v>334</v>
      </c>
      <c r="H1558" t="s">
        <v>600</v>
      </c>
      <c r="I1558" t="s">
        <v>882</v>
      </c>
      <c r="J1558" t="s">
        <v>899</v>
      </c>
      <c r="K1558" t="s">
        <v>6918</v>
      </c>
      <c r="L1558">
        <v>0.86</v>
      </c>
      <c r="M1558" t="s">
        <v>7765</v>
      </c>
      <c r="N1558" t="s">
        <v>7766</v>
      </c>
      <c r="O1558" t="s">
        <v>7767</v>
      </c>
      <c r="P1558" t="s">
        <v>485</v>
      </c>
      <c r="Q1558" t="s">
        <v>6845</v>
      </c>
      <c r="R1558" t="s">
        <v>6846</v>
      </c>
      <c r="S1558" t="s">
        <v>2885</v>
      </c>
      <c r="T1558" t="s">
        <v>2886</v>
      </c>
    </row>
    <row r="1559" spans="1:20">
      <c r="A1559" s="241">
        <v>44001</v>
      </c>
      <c r="B1559" t="s">
        <v>7768</v>
      </c>
      <c r="C1559" t="s">
        <v>2626</v>
      </c>
      <c r="D1559" t="s">
        <v>3136</v>
      </c>
      <c r="E1559" t="s">
        <v>615</v>
      </c>
      <c r="F1559" t="s">
        <v>713</v>
      </c>
      <c r="G1559" t="s">
        <v>334</v>
      </c>
      <c r="H1559" t="s">
        <v>316</v>
      </c>
      <c r="I1559" t="s">
        <v>1518</v>
      </c>
      <c r="J1559" t="s">
        <v>899</v>
      </c>
      <c r="K1559" t="s">
        <v>722</v>
      </c>
      <c r="L1559">
        <v>0.86</v>
      </c>
      <c r="M1559" t="s">
        <v>7769</v>
      </c>
      <c r="N1559" t="s">
        <v>7770</v>
      </c>
      <c r="O1559" t="s">
        <v>7771</v>
      </c>
      <c r="P1559" t="s">
        <v>485</v>
      </c>
      <c r="Q1559" t="s">
        <v>6845</v>
      </c>
      <c r="R1559" t="s">
        <v>6846</v>
      </c>
      <c r="S1559" t="s">
        <v>2885</v>
      </c>
      <c r="T1559" t="s">
        <v>2886</v>
      </c>
    </row>
    <row r="1560" spans="1:20">
      <c r="A1560" s="241">
        <v>44001</v>
      </c>
      <c r="B1560" t="s">
        <v>7772</v>
      </c>
      <c r="C1560" t="s">
        <v>1666</v>
      </c>
      <c r="D1560" t="s">
        <v>262</v>
      </c>
      <c r="E1560" t="s">
        <v>615</v>
      </c>
      <c r="F1560" t="s">
        <v>445</v>
      </c>
      <c r="G1560" t="s">
        <v>1500</v>
      </c>
      <c r="H1560" t="s">
        <v>1255</v>
      </c>
      <c r="I1560" t="s">
        <v>1859</v>
      </c>
      <c r="J1560" t="s">
        <v>665</v>
      </c>
      <c r="K1560" t="s">
        <v>428</v>
      </c>
      <c r="L1560">
        <v>0.86</v>
      </c>
      <c r="M1560" t="s">
        <v>7773</v>
      </c>
      <c r="N1560" t="s">
        <v>7774</v>
      </c>
      <c r="O1560" t="s">
        <v>7775</v>
      </c>
      <c r="P1560" t="s">
        <v>485</v>
      </c>
      <c r="Q1560" t="s">
        <v>6845</v>
      </c>
      <c r="R1560" t="s">
        <v>6846</v>
      </c>
      <c r="S1560" t="s">
        <v>2885</v>
      </c>
      <c r="T1560" t="s">
        <v>2886</v>
      </c>
    </row>
    <row r="1561" spans="1:20">
      <c r="A1561" s="241">
        <v>44001</v>
      </c>
      <c r="B1561" t="s">
        <v>7776</v>
      </c>
      <c r="C1561" t="s">
        <v>3669</v>
      </c>
      <c r="D1561" t="s">
        <v>1877</v>
      </c>
      <c r="E1561" t="s">
        <v>645</v>
      </c>
      <c r="F1561" t="s">
        <v>323</v>
      </c>
      <c r="G1561" t="s">
        <v>1841</v>
      </c>
      <c r="H1561" t="s">
        <v>566</v>
      </c>
      <c r="I1561" t="s">
        <v>1859</v>
      </c>
      <c r="J1561" t="s">
        <v>665</v>
      </c>
      <c r="K1561" t="s">
        <v>428</v>
      </c>
      <c r="L1561">
        <v>0.86</v>
      </c>
      <c r="M1561" t="s">
        <v>7777</v>
      </c>
      <c r="N1561" t="s">
        <v>7778</v>
      </c>
      <c r="O1561" t="s">
        <v>7779</v>
      </c>
      <c r="P1561" t="s">
        <v>485</v>
      </c>
      <c r="Q1561" t="s">
        <v>6845</v>
      </c>
      <c r="R1561" t="s">
        <v>6846</v>
      </c>
      <c r="S1561" t="s">
        <v>2885</v>
      </c>
      <c r="T1561" t="s">
        <v>2886</v>
      </c>
    </row>
    <row r="1562" spans="1:20">
      <c r="A1562" s="241">
        <v>44001</v>
      </c>
      <c r="B1562" t="s">
        <v>7780</v>
      </c>
      <c r="C1562" t="s">
        <v>3136</v>
      </c>
      <c r="D1562" t="s">
        <v>5481</v>
      </c>
      <c r="E1562" t="s">
        <v>625</v>
      </c>
      <c r="F1562" t="s">
        <v>887</v>
      </c>
      <c r="G1562" t="s">
        <v>1292</v>
      </c>
      <c r="H1562" t="s">
        <v>576</v>
      </c>
      <c r="I1562" t="s">
        <v>664</v>
      </c>
      <c r="J1562" t="s">
        <v>684</v>
      </c>
      <c r="K1562" t="s">
        <v>448</v>
      </c>
      <c r="L1562">
        <v>0.86</v>
      </c>
      <c r="M1562" t="s">
        <v>7781</v>
      </c>
      <c r="N1562" t="s">
        <v>7782</v>
      </c>
      <c r="O1562" t="s">
        <v>7783</v>
      </c>
      <c r="P1562" t="s">
        <v>485</v>
      </c>
      <c r="Q1562" t="s">
        <v>6845</v>
      </c>
      <c r="R1562" t="s">
        <v>6846</v>
      </c>
      <c r="S1562" t="s">
        <v>2885</v>
      </c>
      <c r="T1562" t="s">
        <v>2886</v>
      </c>
    </row>
    <row r="1563" spans="1:20">
      <c r="A1563" s="241">
        <v>44001</v>
      </c>
      <c r="B1563" t="s">
        <v>7784</v>
      </c>
      <c r="C1563" t="s">
        <v>1666</v>
      </c>
      <c r="D1563" t="s">
        <v>273</v>
      </c>
      <c r="E1563" t="s">
        <v>1079</v>
      </c>
      <c r="F1563" t="s">
        <v>2579</v>
      </c>
      <c r="G1563" t="s">
        <v>663</v>
      </c>
      <c r="H1563" t="s">
        <v>1467</v>
      </c>
      <c r="I1563" t="s">
        <v>396</v>
      </c>
      <c r="J1563" t="s">
        <v>919</v>
      </c>
      <c r="K1563" t="s">
        <v>448</v>
      </c>
      <c r="L1563">
        <v>0.86</v>
      </c>
      <c r="M1563" t="s">
        <v>7785</v>
      </c>
      <c r="N1563" t="s">
        <v>7786</v>
      </c>
      <c r="O1563" t="s">
        <v>7787</v>
      </c>
      <c r="P1563" t="s">
        <v>485</v>
      </c>
      <c r="Q1563" t="s">
        <v>6845</v>
      </c>
      <c r="R1563" t="s">
        <v>6846</v>
      </c>
      <c r="S1563" t="s">
        <v>2885</v>
      </c>
      <c r="T1563" t="s">
        <v>2886</v>
      </c>
    </row>
    <row r="1564" spans="1:20">
      <c r="A1564" s="241">
        <v>44001</v>
      </c>
      <c r="B1564" t="s">
        <v>7788</v>
      </c>
      <c r="C1564" t="s">
        <v>1986</v>
      </c>
      <c r="D1564" t="s">
        <v>3136</v>
      </c>
      <c r="E1564" t="s">
        <v>631</v>
      </c>
      <c r="F1564" t="s">
        <v>904</v>
      </c>
      <c r="G1564" t="s">
        <v>394</v>
      </c>
      <c r="H1564" t="s">
        <v>385</v>
      </c>
      <c r="I1564" t="s">
        <v>1579</v>
      </c>
      <c r="J1564" t="s">
        <v>407</v>
      </c>
      <c r="K1564" t="s">
        <v>7035</v>
      </c>
      <c r="L1564">
        <v>0.86</v>
      </c>
      <c r="M1564" t="s">
        <v>7789</v>
      </c>
      <c r="N1564" t="s">
        <v>7790</v>
      </c>
      <c r="O1564" t="s">
        <v>7791</v>
      </c>
      <c r="P1564" t="s">
        <v>485</v>
      </c>
      <c r="Q1564" t="s">
        <v>6845</v>
      </c>
      <c r="R1564" t="s">
        <v>6846</v>
      </c>
      <c r="S1564" t="s">
        <v>2885</v>
      </c>
      <c r="T1564" t="s">
        <v>2886</v>
      </c>
    </row>
    <row r="1565" spans="1:20">
      <c r="A1565" s="241">
        <v>44001</v>
      </c>
      <c r="B1565" t="s">
        <v>7792</v>
      </c>
      <c r="C1565" t="s">
        <v>1367</v>
      </c>
      <c r="D1565" t="s">
        <v>262</v>
      </c>
      <c r="E1565" t="s">
        <v>645</v>
      </c>
      <c r="F1565" t="s">
        <v>1177</v>
      </c>
      <c r="G1565" t="s">
        <v>394</v>
      </c>
      <c r="H1565" t="s">
        <v>1552</v>
      </c>
      <c r="I1565" t="s">
        <v>932</v>
      </c>
      <c r="J1565" t="s">
        <v>954</v>
      </c>
      <c r="K1565" t="s">
        <v>5949</v>
      </c>
      <c r="L1565">
        <v>0.86</v>
      </c>
      <c r="M1565" t="s">
        <v>7793</v>
      </c>
      <c r="N1565" t="s">
        <v>7794</v>
      </c>
      <c r="O1565" t="s">
        <v>7795</v>
      </c>
      <c r="P1565" t="s">
        <v>485</v>
      </c>
      <c r="Q1565" t="s">
        <v>6845</v>
      </c>
      <c r="R1565" t="s">
        <v>6846</v>
      </c>
      <c r="S1565" t="s">
        <v>2885</v>
      </c>
      <c r="T1565" t="s">
        <v>2886</v>
      </c>
    </row>
    <row r="1566" spans="1:20">
      <c r="A1566" s="241">
        <v>44001</v>
      </c>
      <c r="B1566" t="s">
        <v>7796</v>
      </c>
      <c r="C1566" t="s">
        <v>1196</v>
      </c>
      <c r="D1566" t="s">
        <v>3136</v>
      </c>
      <c r="E1566" t="s">
        <v>671</v>
      </c>
      <c r="F1566" t="s">
        <v>689</v>
      </c>
      <c r="G1566" t="s">
        <v>1585</v>
      </c>
      <c r="H1566" t="s">
        <v>305</v>
      </c>
      <c r="I1566" t="s">
        <v>1923</v>
      </c>
      <c r="J1566" t="s">
        <v>954</v>
      </c>
      <c r="K1566" t="s">
        <v>7052</v>
      </c>
      <c r="L1566">
        <v>0.86</v>
      </c>
      <c r="M1566" t="s">
        <v>7797</v>
      </c>
      <c r="N1566" t="s">
        <v>7798</v>
      </c>
      <c r="O1566" t="s">
        <v>7799</v>
      </c>
      <c r="P1566" t="s">
        <v>485</v>
      </c>
      <c r="Q1566" t="s">
        <v>6845</v>
      </c>
      <c r="R1566" t="s">
        <v>6846</v>
      </c>
      <c r="S1566" t="s">
        <v>2885</v>
      </c>
      <c r="T1566" t="s">
        <v>2886</v>
      </c>
    </row>
    <row r="1567" spans="1:20">
      <c r="A1567" s="241">
        <v>44001</v>
      </c>
      <c r="B1567" t="s">
        <v>7800</v>
      </c>
      <c r="C1567" t="s">
        <v>3136</v>
      </c>
      <c r="D1567" t="s">
        <v>488</v>
      </c>
      <c r="E1567" t="s">
        <v>392</v>
      </c>
      <c r="F1567" t="s">
        <v>924</v>
      </c>
      <c r="G1567" t="s">
        <v>1585</v>
      </c>
      <c r="H1567" t="s">
        <v>295</v>
      </c>
      <c r="I1567" t="s">
        <v>932</v>
      </c>
      <c r="J1567" t="s">
        <v>437</v>
      </c>
      <c r="K1567" t="s">
        <v>7065</v>
      </c>
      <c r="L1567">
        <v>0.86</v>
      </c>
      <c r="M1567" t="s">
        <v>7801</v>
      </c>
      <c r="N1567" t="s">
        <v>7802</v>
      </c>
      <c r="O1567" t="s">
        <v>7803</v>
      </c>
      <c r="P1567" t="s">
        <v>485</v>
      </c>
      <c r="Q1567" t="s">
        <v>6845</v>
      </c>
      <c r="R1567" t="s">
        <v>6846</v>
      </c>
      <c r="S1567" t="s">
        <v>2885</v>
      </c>
      <c r="T1567" t="s">
        <v>2886</v>
      </c>
    </row>
    <row r="1568" spans="1:20">
      <c r="A1568" s="241">
        <v>44001</v>
      </c>
      <c r="B1568" t="s">
        <v>7804</v>
      </c>
      <c r="C1568" t="s">
        <v>5481</v>
      </c>
      <c r="D1568" t="s">
        <v>488</v>
      </c>
      <c r="E1568" t="s">
        <v>2535</v>
      </c>
      <c r="F1568" t="s">
        <v>413</v>
      </c>
      <c r="G1568" t="s">
        <v>414</v>
      </c>
      <c r="H1568" t="s">
        <v>415</v>
      </c>
      <c r="I1568" t="s">
        <v>1165</v>
      </c>
      <c r="J1568" t="s">
        <v>447</v>
      </c>
      <c r="K1568" t="s">
        <v>7035</v>
      </c>
      <c r="L1568">
        <v>0.86</v>
      </c>
      <c r="M1568" t="s">
        <v>7805</v>
      </c>
      <c r="N1568" t="s">
        <v>7806</v>
      </c>
      <c r="O1568" t="s">
        <v>7807</v>
      </c>
      <c r="P1568" t="s">
        <v>485</v>
      </c>
      <c r="Q1568" t="s">
        <v>6845</v>
      </c>
      <c r="R1568" t="s">
        <v>6846</v>
      </c>
      <c r="S1568" t="s">
        <v>2885</v>
      </c>
      <c r="T1568" t="s">
        <v>2886</v>
      </c>
    </row>
    <row r="1569" spans="1:20">
      <c r="A1569" s="241">
        <v>44001</v>
      </c>
      <c r="B1569" t="s">
        <v>7808</v>
      </c>
      <c r="C1569" t="s">
        <v>1196</v>
      </c>
      <c r="D1569" t="s">
        <v>3136</v>
      </c>
      <c r="E1569" t="s">
        <v>671</v>
      </c>
      <c r="F1569" t="s">
        <v>1338</v>
      </c>
      <c r="G1569" t="s">
        <v>1297</v>
      </c>
      <c r="H1569" t="s">
        <v>639</v>
      </c>
      <c r="I1569" t="s">
        <v>947</v>
      </c>
      <c r="J1569" t="s">
        <v>6929</v>
      </c>
      <c r="K1569" t="s">
        <v>6924</v>
      </c>
      <c r="L1569">
        <v>0.86</v>
      </c>
      <c r="M1569" t="s">
        <v>7809</v>
      </c>
      <c r="N1569" t="s">
        <v>7810</v>
      </c>
      <c r="O1569" t="s">
        <v>7811</v>
      </c>
      <c r="P1569" t="s">
        <v>485</v>
      </c>
      <c r="Q1569" t="s">
        <v>6845</v>
      </c>
      <c r="R1569" t="s">
        <v>6846</v>
      </c>
      <c r="S1569" t="s">
        <v>2885</v>
      </c>
      <c r="T1569" t="s">
        <v>2886</v>
      </c>
    </row>
    <row r="1570" spans="1:20">
      <c r="A1570" s="241">
        <v>44001</v>
      </c>
      <c r="B1570" t="s">
        <v>7812</v>
      </c>
      <c r="C1570" t="s">
        <v>1367</v>
      </c>
      <c r="D1570" t="s">
        <v>3136</v>
      </c>
      <c r="E1570" t="s">
        <v>631</v>
      </c>
      <c r="F1570" t="s">
        <v>2227</v>
      </c>
      <c r="G1570" t="s">
        <v>2228</v>
      </c>
      <c r="H1570" t="s">
        <v>647</v>
      </c>
      <c r="I1570" t="s">
        <v>7813</v>
      </c>
      <c r="J1570" t="s">
        <v>7814</v>
      </c>
      <c r="K1570" t="s">
        <v>7078</v>
      </c>
      <c r="L1570">
        <v>0.86</v>
      </c>
      <c r="M1570" t="s">
        <v>7815</v>
      </c>
      <c r="N1570" t="s">
        <v>7816</v>
      </c>
      <c r="O1570" t="s">
        <v>7817</v>
      </c>
      <c r="P1570" t="s">
        <v>485</v>
      </c>
      <c r="Q1570" t="s">
        <v>6845</v>
      </c>
      <c r="R1570" t="s">
        <v>6846</v>
      </c>
      <c r="S1570" t="s">
        <v>2885</v>
      </c>
      <c r="T1570" t="s">
        <v>2886</v>
      </c>
    </row>
    <row r="1571" spans="1:20">
      <c r="A1571" s="241">
        <v>44001</v>
      </c>
      <c r="B1571" t="s">
        <v>7818</v>
      </c>
      <c r="C1571" t="s">
        <v>6912</v>
      </c>
      <c r="D1571" t="s">
        <v>6941</v>
      </c>
      <c r="E1571" t="s">
        <v>1665</v>
      </c>
      <c r="F1571" t="s">
        <v>960</v>
      </c>
      <c r="G1571" t="s">
        <v>1350</v>
      </c>
      <c r="H1571" t="s">
        <v>3120</v>
      </c>
      <c r="I1571" t="s">
        <v>7819</v>
      </c>
      <c r="J1571" t="s">
        <v>7820</v>
      </c>
      <c r="K1571" t="s">
        <v>7821</v>
      </c>
      <c r="L1571">
        <v>0.89</v>
      </c>
      <c r="M1571" t="s">
        <v>7822</v>
      </c>
      <c r="N1571" t="s">
        <v>7823</v>
      </c>
      <c r="O1571" t="s">
        <v>7824</v>
      </c>
      <c r="P1571" t="s">
        <v>485</v>
      </c>
      <c r="Q1571" t="s">
        <v>6845</v>
      </c>
      <c r="R1571" t="s">
        <v>6846</v>
      </c>
      <c r="S1571" t="s">
        <v>2885</v>
      </c>
      <c r="T1571" t="s">
        <v>2886</v>
      </c>
    </row>
    <row r="1572" spans="1:20">
      <c r="A1572" s="241">
        <v>44001</v>
      </c>
      <c r="B1572" t="s">
        <v>7825</v>
      </c>
      <c r="C1572" t="s">
        <v>7116</v>
      </c>
      <c r="D1572" t="s">
        <v>7826</v>
      </c>
      <c r="E1572" t="s">
        <v>2626</v>
      </c>
      <c r="F1572" t="s">
        <v>476</v>
      </c>
      <c r="G1572" t="s">
        <v>3977</v>
      </c>
      <c r="H1572" t="s">
        <v>1978</v>
      </c>
      <c r="I1572" t="s">
        <v>7827</v>
      </c>
      <c r="J1572" t="s">
        <v>5272</v>
      </c>
      <c r="K1572" t="s">
        <v>1190</v>
      </c>
      <c r="L1572">
        <v>0.89</v>
      </c>
      <c r="M1572" t="s">
        <v>7828</v>
      </c>
      <c r="N1572" t="s">
        <v>7829</v>
      </c>
      <c r="O1572" t="s">
        <v>7830</v>
      </c>
      <c r="P1572" t="s">
        <v>485</v>
      </c>
      <c r="Q1572" t="s">
        <v>6845</v>
      </c>
      <c r="R1572" t="s">
        <v>6846</v>
      </c>
      <c r="S1572" t="s">
        <v>2885</v>
      </c>
      <c r="T1572" t="s">
        <v>2886</v>
      </c>
    </row>
    <row r="1573" spans="1:20">
      <c r="A1573" s="241">
        <v>44001</v>
      </c>
      <c r="B1573" t="s">
        <v>7831</v>
      </c>
      <c r="C1573" t="s">
        <v>6985</v>
      </c>
      <c r="D1573" t="s">
        <v>6985</v>
      </c>
      <c r="E1573" t="s">
        <v>1665</v>
      </c>
      <c r="F1573" t="s">
        <v>5098</v>
      </c>
      <c r="G1573" t="s">
        <v>490</v>
      </c>
      <c r="H1573" t="s">
        <v>491</v>
      </c>
      <c r="I1573" t="s">
        <v>983</v>
      </c>
      <c r="J1573" t="s">
        <v>3130</v>
      </c>
      <c r="K1573" t="s">
        <v>5273</v>
      </c>
      <c r="L1573">
        <v>0.89</v>
      </c>
      <c r="M1573" t="s">
        <v>7832</v>
      </c>
      <c r="N1573" t="s">
        <v>7833</v>
      </c>
      <c r="O1573" t="s">
        <v>7834</v>
      </c>
      <c r="P1573" t="s">
        <v>485</v>
      </c>
      <c r="Q1573" t="s">
        <v>6845</v>
      </c>
      <c r="R1573" t="s">
        <v>6846</v>
      </c>
      <c r="S1573" t="s">
        <v>2885</v>
      </c>
      <c r="T1573" t="s">
        <v>2886</v>
      </c>
    </row>
    <row r="1574" spans="1:20">
      <c r="A1574" s="241">
        <v>44001</v>
      </c>
      <c r="B1574" t="s">
        <v>7835</v>
      </c>
      <c r="C1574" t="s">
        <v>7116</v>
      </c>
      <c r="D1574" t="s">
        <v>7258</v>
      </c>
      <c r="E1574" t="s">
        <v>3136</v>
      </c>
      <c r="F1574" t="s">
        <v>5468</v>
      </c>
      <c r="G1574" t="s">
        <v>971</v>
      </c>
      <c r="H1574" t="s">
        <v>6955</v>
      </c>
      <c r="I1574" t="s">
        <v>7836</v>
      </c>
      <c r="J1574" t="s">
        <v>7837</v>
      </c>
      <c r="K1574" t="s">
        <v>7838</v>
      </c>
      <c r="L1574">
        <v>0.89</v>
      </c>
      <c r="M1574" t="s">
        <v>7839</v>
      </c>
      <c r="N1574" t="s">
        <v>7840</v>
      </c>
      <c r="O1574" t="s">
        <v>7841</v>
      </c>
      <c r="P1574" t="s">
        <v>485</v>
      </c>
      <c r="Q1574" t="s">
        <v>6845</v>
      </c>
      <c r="R1574" t="s">
        <v>6846</v>
      </c>
      <c r="S1574" t="s">
        <v>2885</v>
      </c>
      <c r="T1574" t="s">
        <v>2886</v>
      </c>
    </row>
    <row r="1575" spans="1:20">
      <c r="A1575" s="241">
        <v>44001</v>
      </c>
      <c r="B1575" t="s">
        <v>7842</v>
      </c>
      <c r="C1575" t="s">
        <v>2821</v>
      </c>
      <c r="D1575" t="s">
        <v>3831</v>
      </c>
      <c r="E1575" t="s">
        <v>671</v>
      </c>
      <c r="F1575" t="s">
        <v>1257</v>
      </c>
      <c r="G1575" t="s">
        <v>5493</v>
      </c>
      <c r="H1575" t="s">
        <v>2456</v>
      </c>
      <c r="I1575" t="s">
        <v>1698</v>
      </c>
      <c r="J1575" t="s">
        <v>2473</v>
      </c>
      <c r="K1575" t="s">
        <v>299</v>
      </c>
      <c r="L1575">
        <v>0.87</v>
      </c>
      <c r="M1575" t="s">
        <v>7843</v>
      </c>
      <c r="N1575" t="s">
        <v>7844</v>
      </c>
      <c r="O1575" t="s">
        <v>7845</v>
      </c>
      <c r="P1575" t="s">
        <v>485</v>
      </c>
      <c r="Q1575" t="s">
        <v>6845</v>
      </c>
      <c r="R1575" t="s">
        <v>6846</v>
      </c>
      <c r="S1575" t="s">
        <v>2885</v>
      </c>
      <c r="T1575" t="s">
        <v>2886</v>
      </c>
    </row>
    <row r="1576" spans="1:20">
      <c r="A1576" s="241">
        <v>44001</v>
      </c>
      <c r="B1576" t="s">
        <v>7846</v>
      </c>
      <c r="C1576" t="s">
        <v>2626</v>
      </c>
      <c r="D1576" t="s">
        <v>3136</v>
      </c>
      <c r="E1576" t="s">
        <v>274</v>
      </c>
      <c r="F1576" t="s">
        <v>253</v>
      </c>
      <c r="G1576" t="s">
        <v>2016</v>
      </c>
      <c r="H1576" t="s">
        <v>2017</v>
      </c>
      <c r="I1576" t="s">
        <v>522</v>
      </c>
      <c r="J1576" t="s">
        <v>1233</v>
      </c>
      <c r="K1576" t="s">
        <v>256</v>
      </c>
      <c r="L1576">
        <v>0.87</v>
      </c>
      <c r="M1576" t="s">
        <v>7847</v>
      </c>
      <c r="N1576" t="s">
        <v>7848</v>
      </c>
      <c r="O1576" t="s">
        <v>7849</v>
      </c>
      <c r="P1576" t="s">
        <v>485</v>
      </c>
      <c r="Q1576" t="s">
        <v>6845</v>
      </c>
      <c r="R1576" t="s">
        <v>6846</v>
      </c>
      <c r="S1576" t="s">
        <v>2885</v>
      </c>
      <c r="T1576" t="s">
        <v>2886</v>
      </c>
    </row>
    <row r="1577" spans="1:20">
      <c r="A1577" s="241">
        <v>44001</v>
      </c>
      <c r="B1577" t="s">
        <v>7850</v>
      </c>
      <c r="C1577" t="s">
        <v>5481</v>
      </c>
      <c r="D1577" t="s">
        <v>1176</v>
      </c>
      <c r="E1577" t="s">
        <v>274</v>
      </c>
      <c r="F1577" t="s">
        <v>1274</v>
      </c>
      <c r="G1577" t="s">
        <v>2282</v>
      </c>
      <c r="H1577" t="s">
        <v>1225</v>
      </c>
      <c r="I1577" t="s">
        <v>1727</v>
      </c>
      <c r="J1577" t="s">
        <v>2881</v>
      </c>
      <c r="K1577" t="s">
        <v>256</v>
      </c>
      <c r="L1577">
        <v>0.87</v>
      </c>
      <c r="M1577" t="s">
        <v>7851</v>
      </c>
      <c r="N1577" t="s">
        <v>7852</v>
      </c>
      <c r="O1577" t="s">
        <v>7853</v>
      </c>
      <c r="P1577" t="s">
        <v>485</v>
      </c>
      <c r="Q1577" t="s">
        <v>6845</v>
      </c>
      <c r="R1577" t="s">
        <v>6846</v>
      </c>
      <c r="S1577" t="s">
        <v>2885</v>
      </c>
      <c r="T1577" t="s">
        <v>2886</v>
      </c>
    </row>
    <row r="1578" spans="1:20">
      <c r="A1578" s="241">
        <v>44001</v>
      </c>
      <c r="B1578" t="s">
        <v>7854</v>
      </c>
      <c r="C1578" t="s">
        <v>1176</v>
      </c>
      <c r="D1578" t="s">
        <v>5481</v>
      </c>
      <c r="E1578" t="s">
        <v>294</v>
      </c>
      <c r="F1578" t="s">
        <v>1478</v>
      </c>
      <c r="G1578" t="s">
        <v>1715</v>
      </c>
      <c r="H1578" t="s">
        <v>1404</v>
      </c>
      <c r="I1578" t="s">
        <v>1427</v>
      </c>
      <c r="J1578" t="s">
        <v>1039</v>
      </c>
      <c r="K1578" t="s">
        <v>338</v>
      </c>
      <c r="L1578">
        <v>0.87</v>
      </c>
      <c r="M1578" t="s">
        <v>7855</v>
      </c>
      <c r="N1578" t="s">
        <v>7856</v>
      </c>
      <c r="O1578" t="s">
        <v>7857</v>
      </c>
      <c r="P1578" t="s">
        <v>485</v>
      </c>
      <c r="Q1578" t="s">
        <v>6845</v>
      </c>
      <c r="R1578" t="s">
        <v>6846</v>
      </c>
      <c r="S1578" t="s">
        <v>2885</v>
      </c>
      <c r="T1578" t="s">
        <v>2886</v>
      </c>
    </row>
    <row r="1579" spans="1:20">
      <c r="A1579" s="241">
        <v>44001</v>
      </c>
      <c r="B1579" t="s">
        <v>7858</v>
      </c>
      <c r="C1579" t="s">
        <v>2810</v>
      </c>
      <c r="D1579" t="s">
        <v>1877</v>
      </c>
      <c r="E1579" t="s">
        <v>615</v>
      </c>
      <c r="F1579" t="s">
        <v>618</v>
      </c>
      <c r="G1579" t="s">
        <v>1420</v>
      </c>
      <c r="H1579" t="s">
        <v>549</v>
      </c>
      <c r="I1579" t="s">
        <v>806</v>
      </c>
      <c r="J1579" t="s">
        <v>1770</v>
      </c>
      <c r="K1579" t="s">
        <v>327</v>
      </c>
      <c r="L1579">
        <v>0.87</v>
      </c>
      <c r="M1579" t="s">
        <v>7859</v>
      </c>
      <c r="N1579" t="s">
        <v>7860</v>
      </c>
      <c r="O1579" t="s">
        <v>7861</v>
      </c>
      <c r="P1579" t="s">
        <v>485</v>
      </c>
      <c r="Q1579" t="s">
        <v>6845</v>
      </c>
      <c r="R1579" t="s">
        <v>6846</v>
      </c>
      <c r="S1579" t="s">
        <v>2885</v>
      </c>
      <c r="T1579" t="s">
        <v>2886</v>
      </c>
    </row>
    <row r="1580" spans="1:20">
      <c r="A1580" s="241">
        <v>44001</v>
      </c>
      <c r="B1580" t="s">
        <v>7862</v>
      </c>
      <c r="C1580" t="s">
        <v>1196</v>
      </c>
      <c r="D1580" t="s">
        <v>488</v>
      </c>
      <c r="E1580" t="s">
        <v>442</v>
      </c>
      <c r="F1580" t="s">
        <v>335</v>
      </c>
      <c r="G1580" t="s">
        <v>2053</v>
      </c>
      <c r="H1580" t="s">
        <v>1726</v>
      </c>
      <c r="I1580" t="s">
        <v>229</v>
      </c>
      <c r="J1580" t="s">
        <v>570</v>
      </c>
      <c r="K1580" t="s">
        <v>268</v>
      </c>
      <c r="L1580">
        <v>0.87</v>
      </c>
      <c r="M1580" t="s">
        <v>7863</v>
      </c>
      <c r="N1580" t="s">
        <v>7864</v>
      </c>
      <c r="O1580" t="s">
        <v>7865</v>
      </c>
      <c r="P1580" t="s">
        <v>485</v>
      </c>
      <c r="Q1580" t="s">
        <v>6845</v>
      </c>
      <c r="R1580" t="s">
        <v>6846</v>
      </c>
      <c r="S1580" t="s">
        <v>2885</v>
      </c>
      <c r="T1580" t="s">
        <v>2886</v>
      </c>
    </row>
    <row r="1581" spans="1:20">
      <c r="A1581" s="241">
        <v>44001</v>
      </c>
      <c r="B1581" t="s">
        <v>7866</v>
      </c>
      <c r="C1581" t="s">
        <v>1176</v>
      </c>
      <c r="D1581" t="s">
        <v>1986</v>
      </c>
      <c r="E1581" t="s">
        <v>615</v>
      </c>
      <c r="F1581" t="s">
        <v>251</v>
      </c>
      <c r="G1581" t="s">
        <v>2291</v>
      </c>
      <c r="H1581" t="s">
        <v>823</v>
      </c>
      <c r="I1581" t="s">
        <v>1250</v>
      </c>
      <c r="J1581" t="s">
        <v>255</v>
      </c>
      <c r="K1581" t="s">
        <v>327</v>
      </c>
      <c r="L1581">
        <v>0.87</v>
      </c>
      <c r="M1581" t="s">
        <v>7867</v>
      </c>
      <c r="N1581" t="s">
        <v>7868</v>
      </c>
      <c r="O1581" t="s">
        <v>7869</v>
      </c>
      <c r="P1581" t="s">
        <v>485</v>
      </c>
      <c r="Q1581" t="s">
        <v>6845</v>
      </c>
      <c r="R1581" t="s">
        <v>6846</v>
      </c>
      <c r="S1581" t="s">
        <v>2885</v>
      </c>
      <c r="T1581" t="s">
        <v>2886</v>
      </c>
    </row>
    <row r="1582" spans="1:20">
      <c r="A1582" s="241">
        <v>44001</v>
      </c>
      <c r="B1582" t="s">
        <v>7870</v>
      </c>
      <c r="C1582" t="s">
        <v>3679</v>
      </c>
      <c r="D1582" t="s">
        <v>3136</v>
      </c>
      <c r="E1582" t="s">
        <v>294</v>
      </c>
      <c r="F1582" t="s">
        <v>1452</v>
      </c>
      <c r="G1582" t="s">
        <v>1037</v>
      </c>
      <c r="H1582" t="s">
        <v>1038</v>
      </c>
      <c r="I1582" t="s">
        <v>569</v>
      </c>
      <c r="J1582" t="s">
        <v>267</v>
      </c>
      <c r="K1582" t="s">
        <v>666</v>
      </c>
      <c r="L1582">
        <v>0.87</v>
      </c>
      <c r="M1582" t="s">
        <v>7871</v>
      </c>
      <c r="N1582" t="s">
        <v>7872</v>
      </c>
      <c r="O1582" t="s">
        <v>7873</v>
      </c>
      <c r="P1582" t="s">
        <v>485</v>
      </c>
      <c r="Q1582" t="s">
        <v>6845</v>
      </c>
      <c r="R1582" t="s">
        <v>6846</v>
      </c>
      <c r="S1582" t="s">
        <v>2885</v>
      </c>
      <c r="T1582" t="s">
        <v>2886</v>
      </c>
    </row>
    <row r="1583" spans="1:20">
      <c r="A1583" s="241">
        <v>44001</v>
      </c>
      <c r="B1583" t="s">
        <v>7874</v>
      </c>
      <c r="C1583" t="s">
        <v>2821</v>
      </c>
      <c r="D1583" t="s">
        <v>1176</v>
      </c>
      <c r="E1583" t="s">
        <v>1079</v>
      </c>
      <c r="F1583" t="s">
        <v>1452</v>
      </c>
      <c r="G1583" t="s">
        <v>210</v>
      </c>
      <c r="H1583" t="s">
        <v>2910</v>
      </c>
      <c r="I1583" t="s">
        <v>838</v>
      </c>
      <c r="J1583" t="s">
        <v>850</v>
      </c>
      <c r="K1583" t="s">
        <v>359</v>
      </c>
      <c r="L1583">
        <v>0.87</v>
      </c>
      <c r="M1583" t="s">
        <v>7875</v>
      </c>
      <c r="N1583" t="s">
        <v>7876</v>
      </c>
      <c r="O1583" t="s">
        <v>7877</v>
      </c>
      <c r="P1583" t="s">
        <v>485</v>
      </c>
      <c r="Q1583" t="s">
        <v>6845</v>
      </c>
      <c r="R1583" t="s">
        <v>6846</v>
      </c>
      <c r="S1583" t="s">
        <v>2885</v>
      </c>
      <c r="T1583" t="s">
        <v>2886</v>
      </c>
    </row>
    <row r="1584" spans="1:20">
      <c r="A1584" s="241">
        <v>44001</v>
      </c>
      <c r="B1584" t="s">
        <v>7878</v>
      </c>
      <c r="C1584" t="s">
        <v>1176</v>
      </c>
      <c r="D1584" t="s">
        <v>1877</v>
      </c>
      <c r="E1584" t="s">
        <v>625</v>
      </c>
      <c r="F1584" t="s">
        <v>385</v>
      </c>
      <c r="G1584" t="s">
        <v>1442</v>
      </c>
      <c r="H1584" t="s">
        <v>837</v>
      </c>
      <c r="I1584" t="s">
        <v>849</v>
      </c>
      <c r="J1584" t="s">
        <v>309</v>
      </c>
      <c r="K1584" t="s">
        <v>349</v>
      </c>
      <c r="L1584">
        <v>0.86</v>
      </c>
      <c r="M1584" t="s">
        <v>7879</v>
      </c>
      <c r="N1584" t="s">
        <v>7880</v>
      </c>
      <c r="O1584" t="s">
        <v>7881</v>
      </c>
      <c r="P1584" t="s">
        <v>485</v>
      </c>
      <c r="Q1584" t="s">
        <v>6845</v>
      </c>
      <c r="R1584" t="s">
        <v>6846</v>
      </c>
      <c r="S1584" t="s">
        <v>2885</v>
      </c>
      <c r="T1584" t="s">
        <v>2886</v>
      </c>
    </row>
    <row r="1585" spans="1:20">
      <c r="A1585" s="241">
        <v>44001</v>
      </c>
      <c r="B1585" t="s">
        <v>7882</v>
      </c>
      <c r="C1585" t="s">
        <v>3679</v>
      </c>
      <c r="D1585" t="s">
        <v>1367</v>
      </c>
      <c r="E1585" t="s">
        <v>645</v>
      </c>
      <c r="F1585" t="s">
        <v>385</v>
      </c>
      <c r="G1585" t="s">
        <v>830</v>
      </c>
      <c r="H1585" t="s">
        <v>307</v>
      </c>
      <c r="I1585" t="s">
        <v>863</v>
      </c>
      <c r="J1585" t="s">
        <v>870</v>
      </c>
      <c r="K1585" t="s">
        <v>359</v>
      </c>
      <c r="L1585">
        <v>0.86</v>
      </c>
      <c r="M1585" t="s">
        <v>7883</v>
      </c>
      <c r="N1585" t="s">
        <v>7884</v>
      </c>
      <c r="O1585" t="s">
        <v>7885</v>
      </c>
      <c r="P1585" t="s">
        <v>485</v>
      </c>
      <c r="Q1585" t="s">
        <v>6845</v>
      </c>
      <c r="R1585" t="s">
        <v>6846</v>
      </c>
      <c r="S1585" t="s">
        <v>2885</v>
      </c>
      <c r="T1585" t="s">
        <v>2886</v>
      </c>
    </row>
    <row r="1586" spans="1:20">
      <c r="A1586" s="241">
        <v>44001</v>
      </c>
      <c r="B1586" t="s">
        <v>7886</v>
      </c>
      <c r="C1586" t="s">
        <v>3136</v>
      </c>
      <c r="D1586" t="s">
        <v>1196</v>
      </c>
      <c r="E1586" t="s">
        <v>237</v>
      </c>
      <c r="F1586" t="s">
        <v>1291</v>
      </c>
      <c r="G1586" t="s">
        <v>830</v>
      </c>
      <c r="H1586" t="s">
        <v>1453</v>
      </c>
      <c r="I1586" t="s">
        <v>609</v>
      </c>
      <c r="J1586" t="s">
        <v>870</v>
      </c>
      <c r="K1586" t="s">
        <v>408</v>
      </c>
      <c r="L1586">
        <v>0.87</v>
      </c>
      <c r="M1586" t="s">
        <v>7887</v>
      </c>
      <c r="N1586" t="s">
        <v>7888</v>
      </c>
      <c r="O1586" t="s">
        <v>7889</v>
      </c>
      <c r="P1586" t="s">
        <v>485</v>
      </c>
      <c r="Q1586" t="s">
        <v>6845</v>
      </c>
      <c r="R1586" t="s">
        <v>6846</v>
      </c>
      <c r="S1586" t="s">
        <v>2885</v>
      </c>
      <c r="T1586" t="s">
        <v>2886</v>
      </c>
    </row>
    <row r="1587" spans="1:20">
      <c r="A1587" s="241">
        <v>44001</v>
      </c>
      <c r="B1587" t="s">
        <v>7890</v>
      </c>
      <c r="C1587" t="s">
        <v>1377</v>
      </c>
      <c r="D1587" t="s">
        <v>3679</v>
      </c>
      <c r="E1587" t="s">
        <v>645</v>
      </c>
      <c r="F1587" t="s">
        <v>1552</v>
      </c>
      <c r="G1587" t="s">
        <v>591</v>
      </c>
      <c r="H1587" t="s">
        <v>539</v>
      </c>
      <c r="I1587" t="s">
        <v>869</v>
      </c>
      <c r="J1587" t="s">
        <v>1506</v>
      </c>
      <c r="K1587" t="s">
        <v>369</v>
      </c>
      <c r="L1587">
        <v>0.86</v>
      </c>
      <c r="M1587" t="s">
        <v>7891</v>
      </c>
      <c r="N1587" t="s">
        <v>7892</v>
      </c>
      <c r="O1587" t="s">
        <v>7893</v>
      </c>
      <c r="P1587" t="s">
        <v>485</v>
      </c>
      <c r="Q1587" t="s">
        <v>6845</v>
      </c>
      <c r="R1587" t="s">
        <v>6846</v>
      </c>
      <c r="S1587" t="s">
        <v>2885</v>
      </c>
      <c r="T1587" t="s">
        <v>2886</v>
      </c>
    </row>
    <row r="1588" spans="1:20">
      <c r="A1588" s="241">
        <v>44001</v>
      </c>
      <c r="B1588" t="s">
        <v>7894</v>
      </c>
      <c r="C1588" t="s">
        <v>488</v>
      </c>
      <c r="D1588" t="s">
        <v>5481</v>
      </c>
      <c r="E1588" t="s">
        <v>625</v>
      </c>
      <c r="F1588" t="s">
        <v>682</v>
      </c>
      <c r="G1588" t="s">
        <v>296</v>
      </c>
      <c r="H1588" t="s">
        <v>346</v>
      </c>
      <c r="I1588" t="s">
        <v>317</v>
      </c>
      <c r="J1588" t="s">
        <v>1506</v>
      </c>
      <c r="K1588" t="s">
        <v>408</v>
      </c>
      <c r="L1588">
        <v>0.86</v>
      </c>
      <c r="M1588" t="s">
        <v>7895</v>
      </c>
      <c r="N1588" t="s">
        <v>7896</v>
      </c>
      <c r="O1588" t="s">
        <v>7897</v>
      </c>
      <c r="P1588" t="s">
        <v>485</v>
      </c>
      <c r="Q1588" t="s">
        <v>6845</v>
      </c>
      <c r="R1588" t="s">
        <v>6846</v>
      </c>
      <c r="S1588" t="s">
        <v>2885</v>
      </c>
      <c r="T1588" t="s">
        <v>2886</v>
      </c>
    </row>
    <row r="1589" spans="1:20">
      <c r="A1589" s="241">
        <v>44001</v>
      </c>
      <c r="B1589" t="s">
        <v>7898</v>
      </c>
      <c r="C1589" t="s">
        <v>1666</v>
      </c>
      <c r="D1589" t="s">
        <v>1877</v>
      </c>
      <c r="E1589" t="s">
        <v>631</v>
      </c>
      <c r="F1589" t="s">
        <v>2151</v>
      </c>
      <c r="G1589" t="s">
        <v>836</v>
      </c>
      <c r="H1589" t="s">
        <v>618</v>
      </c>
      <c r="I1589" t="s">
        <v>1501</v>
      </c>
      <c r="J1589" t="s">
        <v>640</v>
      </c>
      <c r="K1589" t="s">
        <v>408</v>
      </c>
      <c r="L1589">
        <v>0.86</v>
      </c>
      <c r="M1589" t="s">
        <v>7899</v>
      </c>
      <c r="N1589" t="s">
        <v>7900</v>
      </c>
      <c r="O1589" t="s">
        <v>7901</v>
      </c>
      <c r="P1589" t="s">
        <v>485</v>
      </c>
      <c r="Q1589" t="s">
        <v>6845</v>
      </c>
      <c r="R1589" t="s">
        <v>6846</v>
      </c>
      <c r="S1589" t="s">
        <v>2885</v>
      </c>
      <c r="T1589" t="s">
        <v>2886</v>
      </c>
    </row>
    <row r="1590" spans="1:20">
      <c r="A1590" s="241">
        <v>44001</v>
      </c>
      <c r="B1590" t="s">
        <v>7902</v>
      </c>
      <c r="C1590" t="s">
        <v>3669</v>
      </c>
      <c r="D1590" t="s">
        <v>3669</v>
      </c>
      <c r="E1590" t="s">
        <v>671</v>
      </c>
      <c r="F1590" t="s">
        <v>639</v>
      </c>
      <c r="G1590" t="s">
        <v>324</v>
      </c>
      <c r="H1590" t="s">
        <v>263</v>
      </c>
      <c r="I1590" t="s">
        <v>888</v>
      </c>
      <c r="J1590" t="s">
        <v>377</v>
      </c>
      <c r="K1590" t="s">
        <v>7052</v>
      </c>
      <c r="L1590">
        <v>0.86</v>
      </c>
      <c r="M1590" t="s">
        <v>7903</v>
      </c>
      <c r="N1590" t="s">
        <v>7904</v>
      </c>
      <c r="O1590" t="s">
        <v>7905</v>
      </c>
      <c r="P1590" t="s">
        <v>485</v>
      </c>
      <c r="Q1590" t="s">
        <v>6845</v>
      </c>
      <c r="R1590" t="s">
        <v>6846</v>
      </c>
      <c r="S1590" t="s">
        <v>2885</v>
      </c>
      <c r="T1590" t="s">
        <v>2886</v>
      </c>
    </row>
    <row r="1591" spans="1:20">
      <c r="A1591" s="241">
        <v>44001</v>
      </c>
      <c r="B1591" t="s">
        <v>7906</v>
      </c>
      <c r="C1591" t="s">
        <v>2810</v>
      </c>
      <c r="D1591" t="s">
        <v>5481</v>
      </c>
      <c r="E1591" t="s">
        <v>645</v>
      </c>
      <c r="F1591" t="s">
        <v>713</v>
      </c>
      <c r="G1591" t="s">
        <v>1462</v>
      </c>
      <c r="H1591" t="s">
        <v>881</v>
      </c>
      <c r="I1591" t="s">
        <v>882</v>
      </c>
      <c r="J1591" t="s">
        <v>1116</v>
      </c>
      <c r="K1591" t="s">
        <v>457</v>
      </c>
      <c r="L1591">
        <v>0.86</v>
      </c>
      <c r="M1591" t="s">
        <v>7907</v>
      </c>
      <c r="N1591" t="s">
        <v>7908</v>
      </c>
      <c r="O1591" t="s">
        <v>7909</v>
      </c>
      <c r="P1591" t="s">
        <v>485</v>
      </c>
      <c r="Q1591" t="s">
        <v>6845</v>
      </c>
      <c r="R1591" t="s">
        <v>6846</v>
      </c>
      <c r="S1591" t="s">
        <v>2885</v>
      </c>
      <c r="T1591" t="s">
        <v>2886</v>
      </c>
    </row>
    <row r="1592" spans="1:20">
      <c r="A1592" s="241">
        <v>44001</v>
      </c>
      <c r="B1592" t="s">
        <v>7910</v>
      </c>
      <c r="C1592" t="s">
        <v>488</v>
      </c>
      <c r="D1592" t="s">
        <v>2810</v>
      </c>
      <c r="E1592" t="s">
        <v>1139</v>
      </c>
      <c r="F1592" t="s">
        <v>647</v>
      </c>
      <c r="G1592" t="s">
        <v>1832</v>
      </c>
      <c r="H1592" t="s">
        <v>1769</v>
      </c>
      <c r="I1592" t="s">
        <v>367</v>
      </c>
      <c r="J1592" t="s">
        <v>1128</v>
      </c>
      <c r="K1592" t="s">
        <v>457</v>
      </c>
      <c r="L1592">
        <v>0.86</v>
      </c>
      <c r="M1592" t="s">
        <v>7911</v>
      </c>
      <c r="N1592" t="s">
        <v>7912</v>
      </c>
      <c r="O1592" t="s">
        <v>7913</v>
      </c>
      <c r="P1592" t="s">
        <v>485</v>
      </c>
      <c r="Q1592" t="s">
        <v>6845</v>
      </c>
      <c r="R1592" t="s">
        <v>6846</v>
      </c>
      <c r="S1592" t="s">
        <v>2885</v>
      </c>
      <c r="T1592" t="s">
        <v>2886</v>
      </c>
    </row>
    <row r="1593" spans="1:20">
      <c r="A1593" s="241">
        <v>44001</v>
      </c>
      <c r="B1593" t="s">
        <v>7914</v>
      </c>
      <c r="C1593" t="s">
        <v>1367</v>
      </c>
      <c r="D1593" t="s">
        <v>3679</v>
      </c>
      <c r="E1593" t="s">
        <v>625</v>
      </c>
      <c r="F1593" t="s">
        <v>364</v>
      </c>
      <c r="G1593" t="s">
        <v>355</v>
      </c>
      <c r="H1593" t="s">
        <v>576</v>
      </c>
      <c r="I1593" t="s">
        <v>376</v>
      </c>
      <c r="J1593" t="s">
        <v>1569</v>
      </c>
      <c r="K1593" t="s">
        <v>6918</v>
      </c>
      <c r="L1593">
        <v>0.86</v>
      </c>
      <c r="M1593" t="s">
        <v>7915</v>
      </c>
      <c r="N1593" t="s">
        <v>7916</v>
      </c>
      <c r="O1593" t="s">
        <v>7917</v>
      </c>
      <c r="P1593" t="s">
        <v>485</v>
      </c>
      <c r="Q1593" t="s">
        <v>6845</v>
      </c>
      <c r="R1593" t="s">
        <v>6846</v>
      </c>
      <c r="S1593" t="s">
        <v>2885</v>
      </c>
      <c r="T1593" t="s">
        <v>2886</v>
      </c>
    </row>
    <row r="1594" spans="1:20">
      <c r="A1594" s="241">
        <v>44001</v>
      </c>
      <c r="B1594" t="s">
        <v>7918</v>
      </c>
      <c r="C1594" t="s">
        <v>1176</v>
      </c>
      <c r="D1594" t="s">
        <v>3136</v>
      </c>
      <c r="E1594" t="s">
        <v>645</v>
      </c>
      <c r="F1594" t="s">
        <v>435</v>
      </c>
      <c r="G1594" t="s">
        <v>355</v>
      </c>
      <c r="H1594" t="s">
        <v>366</v>
      </c>
      <c r="I1594" t="s">
        <v>367</v>
      </c>
      <c r="J1594" t="s">
        <v>387</v>
      </c>
      <c r="K1594" t="s">
        <v>722</v>
      </c>
      <c r="L1594">
        <v>0.86</v>
      </c>
      <c r="M1594" t="s">
        <v>7919</v>
      </c>
      <c r="N1594" t="s">
        <v>7920</v>
      </c>
      <c r="O1594" t="s">
        <v>7921</v>
      </c>
      <c r="P1594" t="s">
        <v>485</v>
      </c>
      <c r="Q1594" t="s">
        <v>6845</v>
      </c>
      <c r="R1594" t="s">
        <v>6846</v>
      </c>
      <c r="S1594" t="s">
        <v>2885</v>
      </c>
      <c r="T1594" t="s">
        <v>2886</v>
      </c>
    </row>
    <row r="1595" spans="1:20">
      <c r="A1595" s="241">
        <v>44001</v>
      </c>
      <c r="B1595" t="s">
        <v>7922</v>
      </c>
      <c r="C1595" t="s">
        <v>1196</v>
      </c>
      <c r="D1595" t="s">
        <v>3679</v>
      </c>
      <c r="E1595" t="s">
        <v>625</v>
      </c>
      <c r="F1595" t="s">
        <v>909</v>
      </c>
      <c r="G1595" t="s">
        <v>663</v>
      </c>
      <c r="H1595" t="s">
        <v>855</v>
      </c>
      <c r="I1595" t="s">
        <v>690</v>
      </c>
      <c r="J1595" t="s">
        <v>407</v>
      </c>
      <c r="K1595" t="s">
        <v>7052</v>
      </c>
      <c r="L1595">
        <v>0.86</v>
      </c>
      <c r="M1595" t="s">
        <v>7923</v>
      </c>
      <c r="N1595" t="s">
        <v>7924</v>
      </c>
      <c r="O1595" t="s">
        <v>7925</v>
      </c>
      <c r="P1595" t="s">
        <v>485</v>
      </c>
      <c r="Q1595" t="s">
        <v>6845</v>
      </c>
      <c r="R1595" t="s">
        <v>6846</v>
      </c>
      <c r="S1595" t="s">
        <v>2885</v>
      </c>
      <c r="T1595" t="s">
        <v>2886</v>
      </c>
    </row>
    <row r="1596" spans="1:20">
      <c r="A1596" s="241">
        <v>44001</v>
      </c>
      <c r="B1596" t="s">
        <v>7926</v>
      </c>
      <c r="C1596" t="s">
        <v>1986</v>
      </c>
      <c r="D1596" t="s">
        <v>236</v>
      </c>
      <c r="E1596" t="s">
        <v>631</v>
      </c>
      <c r="F1596" t="s">
        <v>1541</v>
      </c>
      <c r="G1596" t="s">
        <v>1115</v>
      </c>
      <c r="H1596" t="s">
        <v>926</v>
      </c>
      <c r="I1596" t="s">
        <v>1579</v>
      </c>
      <c r="J1596" t="s">
        <v>699</v>
      </c>
      <c r="K1596" t="s">
        <v>369</v>
      </c>
      <c r="L1596">
        <v>0.86</v>
      </c>
      <c r="M1596" t="s">
        <v>7927</v>
      </c>
      <c r="N1596" t="s">
        <v>7928</v>
      </c>
      <c r="O1596" t="s">
        <v>7929</v>
      </c>
      <c r="P1596" t="s">
        <v>485</v>
      </c>
      <c r="Q1596" t="s">
        <v>6845</v>
      </c>
      <c r="R1596" t="s">
        <v>6846</v>
      </c>
      <c r="S1596" t="s">
        <v>2885</v>
      </c>
      <c r="T1596" t="s">
        <v>2886</v>
      </c>
    </row>
    <row r="1597" spans="1:20">
      <c r="A1597" s="241">
        <v>44001</v>
      </c>
      <c r="B1597" t="s">
        <v>7930</v>
      </c>
      <c r="C1597" t="s">
        <v>631</v>
      </c>
      <c r="D1597" t="s">
        <v>402</v>
      </c>
      <c r="E1597" t="s">
        <v>1121</v>
      </c>
      <c r="F1597" t="s">
        <v>924</v>
      </c>
      <c r="G1597" t="s">
        <v>1585</v>
      </c>
      <c r="H1597" t="s">
        <v>445</v>
      </c>
      <c r="I1597" t="s">
        <v>1579</v>
      </c>
      <c r="J1597" t="s">
        <v>912</v>
      </c>
      <c r="K1597" t="s">
        <v>338</v>
      </c>
      <c r="L1597">
        <v>0.86</v>
      </c>
      <c r="M1597" t="s">
        <v>7931</v>
      </c>
      <c r="N1597" t="s">
        <v>7932</v>
      </c>
      <c r="O1597" t="s">
        <v>7933</v>
      </c>
      <c r="P1597" t="s">
        <v>485</v>
      </c>
      <c r="Q1597" t="s">
        <v>6845</v>
      </c>
      <c r="R1597" t="s">
        <v>6846</v>
      </c>
      <c r="S1597" t="s">
        <v>2885</v>
      </c>
      <c r="T1597" t="s">
        <v>2886</v>
      </c>
    </row>
    <row r="1598" spans="1:20">
      <c r="A1598" s="241">
        <v>44001</v>
      </c>
      <c r="B1598" t="s">
        <v>7934</v>
      </c>
      <c r="C1598" t="s">
        <v>679</v>
      </c>
      <c r="D1598" t="s">
        <v>392</v>
      </c>
      <c r="E1598" t="s">
        <v>2544</v>
      </c>
      <c r="F1598" t="s">
        <v>1156</v>
      </c>
      <c r="G1598" t="s">
        <v>705</v>
      </c>
      <c r="H1598" t="s">
        <v>1620</v>
      </c>
      <c r="I1598" t="s">
        <v>427</v>
      </c>
      <c r="J1598" t="s">
        <v>407</v>
      </c>
      <c r="K1598" t="s">
        <v>666</v>
      </c>
      <c r="L1598">
        <v>0.86</v>
      </c>
      <c r="M1598" t="s">
        <v>7935</v>
      </c>
      <c r="N1598" t="s">
        <v>7936</v>
      </c>
      <c r="O1598" t="s">
        <v>7937</v>
      </c>
      <c r="P1598" t="s">
        <v>485</v>
      </c>
      <c r="Q1598" t="s">
        <v>6845</v>
      </c>
      <c r="R1598" t="s">
        <v>6846</v>
      </c>
      <c r="S1598" t="s">
        <v>2885</v>
      </c>
      <c r="T1598" t="s">
        <v>2886</v>
      </c>
    </row>
    <row r="1599" spans="1:20">
      <c r="A1599" s="241">
        <v>44001</v>
      </c>
      <c r="B1599" t="s">
        <v>7938</v>
      </c>
      <c r="C1599" t="s">
        <v>645</v>
      </c>
      <c r="D1599" t="s">
        <v>679</v>
      </c>
      <c r="E1599" t="s">
        <v>3054</v>
      </c>
      <c r="F1599" t="s">
        <v>1177</v>
      </c>
      <c r="G1599" t="s">
        <v>931</v>
      </c>
      <c r="H1599" t="s">
        <v>2410</v>
      </c>
      <c r="I1599" t="s">
        <v>427</v>
      </c>
      <c r="J1599" t="s">
        <v>407</v>
      </c>
      <c r="K1599" t="s">
        <v>666</v>
      </c>
      <c r="L1599">
        <v>0.86</v>
      </c>
      <c r="M1599" t="s">
        <v>7939</v>
      </c>
      <c r="N1599" t="s">
        <v>7940</v>
      </c>
      <c r="O1599" t="s">
        <v>7941</v>
      </c>
      <c r="P1599" t="s">
        <v>485</v>
      </c>
      <c r="Q1599" t="s">
        <v>6845</v>
      </c>
      <c r="R1599" t="s">
        <v>6846</v>
      </c>
      <c r="S1599" t="s">
        <v>2885</v>
      </c>
      <c r="T1599" t="s">
        <v>2886</v>
      </c>
    </row>
    <row r="1600" spans="1:20">
      <c r="A1600" s="241">
        <v>44001</v>
      </c>
      <c r="B1600" t="s">
        <v>7942</v>
      </c>
      <c r="C1600" t="s">
        <v>712</v>
      </c>
      <c r="D1600" t="s">
        <v>679</v>
      </c>
      <c r="E1600" t="s">
        <v>2880</v>
      </c>
      <c r="F1600" t="s">
        <v>1619</v>
      </c>
      <c r="G1600" t="s">
        <v>434</v>
      </c>
      <c r="H1600" t="s">
        <v>3103</v>
      </c>
      <c r="I1600" t="s">
        <v>947</v>
      </c>
      <c r="J1600" t="s">
        <v>954</v>
      </c>
      <c r="K1600" t="s">
        <v>651</v>
      </c>
      <c r="L1600">
        <v>0.86</v>
      </c>
      <c r="M1600" t="s">
        <v>7943</v>
      </c>
      <c r="N1600" t="s">
        <v>7944</v>
      </c>
      <c r="O1600" t="s">
        <v>7945</v>
      </c>
      <c r="P1600" t="s">
        <v>485</v>
      </c>
      <c r="Q1600" t="s">
        <v>6845</v>
      </c>
      <c r="R1600" t="s">
        <v>6846</v>
      </c>
      <c r="S1600" t="s">
        <v>2885</v>
      </c>
      <c r="T1600" t="s">
        <v>2886</v>
      </c>
    </row>
    <row r="1601" spans="1:20">
      <c r="A1601" s="241">
        <v>44001</v>
      </c>
      <c r="B1601" t="s">
        <v>7946</v>
      </c>
      <c r="C1601" t="s">
        <v>631</v>
      </c>
      <c r="D1601" t="s">
        <v>679</v>
      </c>
      <c r="E1601" t="s">
        <v>1314</v>
      </c>
      <c r="F1601" t="s">
        <v>1630</v>
      </c>
      <c r="G1601" t="s">
        <v>2617</v>
      </c>
      <c r="H1601" t="s">
        <v>393</v>
      </c>
      <c r="I1601" t="s">
        <v>7947</v>
      </c>
      <c r="J1601" t="s">
        <v>5779</v>
      </c>
      <c r="K1601" t="s">
        <v>369</v>
      </c>
      <c r="L1601">
        <v>0.86</v>
      </c>
      <c r="M1601" t="s">
        <v>7948</v>
      </c>
      <c r="N1601" t="s">
        <v>7949</v>
      </c>
      <c r="O1601" t="s">
        <v>7950</v>
      </c>
      <c r="P1601" t="s">
        <v>485</v>
      </c>
      <c r="Q1601" t="s">
        <v>6845</v>
      </c>
      <c r="R1601" t="s">
        <v>6846</v>
      </c>
      <c r="S1601" t="s">
        <v>2885</v>
      </c>
      <c r="T1601" t="s">
        <v>2886</v>
      </c>
    </row>
    <row r="1602" spans="1:20">
      <c r="A1602" s="241">
        <v>44001</v>
      </c>
      <c r="B1602" t="s">
        <v>7951</v>
      </c>
      <c r="C1602" t="s">
        <v>614</v>
      </c>
      <c r="D1602" t="s">
        <v>645</v>
      </c>
      <c r="E1602" t="s">
        <v>597</v>
      </c>
      <c r="F1602" t="s">
        <v>3092</v>
      </c>
      <c r="G1602" t="s">
        <v>719</v>
      </c>
      <c r="H1602" t="s">
        <v>7952</v>
      </c>
      <c r="I1602" t="s">
        <v>7953</v>
      </c>
      <c r="J1602" t="s">
        <v>7954</v>
      </c>
      <c r="K1602" t="s">
        <v>7955</v>
      </c>
      <c r="L1602">
        <v>0.86</v>
      </c>
      <c r="M1602" t="s">
        <v>7956</v>
      </c>
      <c r="N1602" t="s">
        <v>7957</v>
      </c>
      <c r="O1602" t="s">
        <v>7958</v>
      </c>
      <c r="P1602" t="s">
        <v>485</v>
      </c>
      <c r="Q1602" t="s">
        <v>6845</v>
      </c>
      <c r="R1602" t="s">
        <v>6846</v>
      </c>
      <c r="S1602" t="s">
        <v>2885</v>
      </c>
      <c r="T1602" t="s">
        <v>2886</v>
      </c>
    </row>
    <row r="1603" spans="1:20">
      <c r="A1603" s="241">
        <v>44001</v>
      </c>
      <c r="B1603" t="s">
        <v>7959</v>
      </c>
      <c r="C1603" t="s">
        <v>2811</v>
      </c>
      <c r="D1603" t="s">
        <v>1348</v>
      </c>
      <c r="E1603" t="s">
        <v>712</v>
      </c>
      <c r="F1603" t="s">
        <v>464</v>
      </c>
      <c r="G1603" t="s">
        <v>4619</v>
      </c>
      <c r="H1603" t="s">
        <v>466</v>
      </c>
      <c r="I1603" t="s">
        <v>6111</v>
      </c>
      <c r="J1603" t="s">
        <v>3821</v>
      </c>
      <c r="K1603" t="s">
        <v>975</v>
      </c>
      <c r="L1603">
        <v>0.89</v>
      </c>
      <c r="M1603" t="s">
        <v>7960</v>
      </c>
      <c r="N1603" t="s">
        <v>7961</v>
      </c>
      <c r="O1603" t="s">
        <v>7962</v>
      </c>
      <c r="P1603" t="s">
        <v>485</v>
      </c>
      <c r="Q1603" t="s">
        <v>6845</v>
      </c>
      <c r="R1603" t="s">
        <v>6846</v>
      </c>
      <c r="S1603" t="s">
        <v>2885</v>
      </c>
      <c r="T1603" t="s">
        <v>2886</v>
      </c>
    </row>
    <row r="1604" spans="1:20">
      <c r="A1604" s="241">
        <v>44001</v>
      </c>
      <c r="B1604" t="s">
        <v>7963</v>
      </c>
      <c r="C1604" t="s">
        <v>2811</v>
      </c>
      <c r="D1604" t="s">
        <v>1665</v>
      </c>
      <c r="E1604" t="s">
        <v>274</v>
      </c>
      <c r="F1604" t="s">
        <v>3127</v>
      </c>
      <c r="G1604" t="s">
        <v>1359</v>
      </c>
      <c r="H1604" t="s">
        <v>1969</v>
      </c>
      <c r="I1604" t="s">
        <v>7964</v>
      </c>
      <c r="J1604" t="s">
        <v>3971</v>
      </c>
      <c r="K1604" t="s">
        <v>4358</v>
      </c>
      <c r="L1604">
        <v>0.89</v>
      </c>
      <c r="M1604" t="s">
        <v>7965</v>
      </c>
      <c r="N1604" t="s">
        <v>7966</v>
      </c>
      <c r="O1604" t="s">
        <v>7967</v>
      </c>
      <c r="P1604" t="s">
        <v>485</v>
      </c>
      <c r="Q1604" t="s">
        <v>6845</v>
      </c>
      <c r="R1604" t="s">
        <v>6846</v>
      </c>
      <c r="S1604" t="s">
        <v>2885</v>
      </c>
      <c r="T1604" t="s">
        <v>2886</v>
      </c>
    </row>
    <row r="1605" spans="1:20">
      <c r="A1605" s="241">
        <v>44001</v>
      </c>
      <c r="B1605" t="s">
        <v>7968</v>
      </c>
      <c r="C1605" t="s">
        <v>3831</v>
      </c>
      <c r="D1605" t="s">
        <v>1376</v>
      </c>
      <c r="E1605" t="s">
        <v>207</v>
      </c>
      <c r="F1605" t="s">
        <v>5098</v>
      </c>
      <c r="G1605" t="s">
        <v>990</v>
      </c>
      <c r="H1605" t="s">
        <v>4626</v>
      </c>
      <c r="I1605" t="s">
        <v>7969</v>
      </c>
      <c r="J1605" t="s">
        <v>7970</v>
      </c>
      <c r="K1605" t="s">
        <v>7971</v>
      </c>
      <c r="L1605">
        <v>0.89</v>
      </c>
      <c r="M1605" t="s">
        <v>7972</v>
      </c>
      <c r="N1605" t="s">
        <v>7973</v>
      </c>
      <c r="O1605" t="s">
        <v>7974</v>
      </c>
      <c r="P1605" t="s">
        <v>485</v>
      </c>
      <c r="Q1605" t="s">
        <v>6845</v>
      </c>
      <c r="R1605" t="s">
        <v>6846</v>
      </c>
      <c r="S1605" t="s">
        <v>2885</v>
      </c>
      <c r="T1605" t="s">
        <v>2886</v>
      </c>
    </row>
    <row r="1606" spans="1:20">
      <c r="A1606" s="241">
        <v>44001</v>
      </c>
      <c r="B1606" t="s">
        <v>7975</v>
      </c>
      <c r="C1606" t="s">
        <v>625</v>
      </c>
      <c r="D1606" t="s">
        <v>712</v>
      </c>
      <c r="E1606" t="s">
        <v>2731</v>
      </c>
      <c r="F1606" t="s">
        <v>1426</v>
      </c>
      <c r="G1606" t="s">
        <v>5493</v>
      </c>
      <c r="H1606" t="s">
        <v>3999</v>
      </c>
      <c r="I1606" t="s">
        <v>4171</v>
      </c>
      <c r="J1606" t="s">
        <v>2832</v>
      </c>
      <c r="K1606" t="s">
        <v>3162</v>
      </c>
      <c r="L1606">
        <v>0.86</v>
      </c>
      <c r="M1606" t="s">
        <v>7976</v>
      </c>
      <c r="N1606" t="s">
        <v>7977</v>
      </c>
      <c r="O1606" t="s">
        <v>7978</v>
      </c>
      <c r="P1606" t="s">
        <v>485</v>
      </c>
      <c r="Q1606" t="s">
        <v>6845</v>
      </c>
      <c r="R1606" t="s">
        <v>6846</v>
      </c>
      <c r="S1606" t="s">
        <v>2885</v>
      </c>
      <c r="T1606" t="s">
        <v>2886</v>
      </c>
    </row>
    <row r="1607" spans="1:20">
      <c r="A1607" s="241">
        <v>44001</v>
      </c>
      <c r="B1607" t="s">
        <v>7979</v>
      </c>
      <c r="C1607" t="s">
        <v>1139</v>
      </c>
      <c r="D1607" t="s">
        <v>1139</v>
      </c>
      <c r="E1607" t="s">
        <v>696</v>
      </c>
      <c r="F1607" t="s">
        <v>2010</v>
      </c>
      <c r="G1607" t="s">
        <v>3160</v>
      </c>
      <c r="H1607" t="s">
        <v>4660</v>
      </c>
      <c r="I1607" t="s">
        <v>513</v>
      </c>
      <c r="J1607" t="s">
        <v>1687</v>
      </c>
      <c r="K1607" t="s">
        <v>1406</v>
      </c>
      <c r="L1607">
        <v>0.87</v>
      </c>
      <c r="M1607" t="s">
        <v>7980</v>
      </c>
      <c r="N1607" t="s">
        <v>7981</v>
      </c>
      <c r="O1607" t="s">
        <v>7982</v>
      </c>
      <c r="P1607" t="s">
        <v>485</v>
      </c>
      <c r="Q1607" t="s">
        <v>6845</v>
      </c>
      <c r="R1607" t="s">
        <v>6846</v>
      </c>
      <c r="S1607" t="s">
        <v>2885</v>
      </c>
      <c r="T1607" t="s">
        <v>2886</v>
      </c>
    </row>
    <row r="1608" spans="1:20">
      <c r="A1608" s="241">
        <v>44001</v>
      </c>
      <c r="B1608" t="s">
        <v>7983</v>
      </c>
      <c r="C1608" t="s">
        <v>712</v>
      </c>
      <c r="D1608" t="s">
        <v>631</v>
      </c>
      <c r="E1608" t="s">
        <v>646</v>
      </c>
      <c r="F1608" t="s">
        <v>862</v>
      </c>
      <c r="G1608" t="s">
        <v>1715</v>
      </c>
      <c r="H1608" t="s">
        <v>541</v>
      </c>
      <c r="I1608" t="s">
        <v>2024</v>
      </c>
      <c r="J1608" t="s">
        <v>523</v>
      </c>
      <c r="K1608" t="s">
        <v>1406</v>
      </c>
      <c r="L1608">
        <v>0.86</v>
      </c>
      <c r="M1608" t="s">
        <v>7984</v>
      </c>
      <c r="N1608" t="s">
        <v>7985</v>
      </c>
      <c r="O1608" t="s">
        <v>7986</v>
      </c>
      <c r="P1608" t="s">
        <v>485</v>
      </c>
      <c r="Q1608" t="s">
        <v>6845</v>
      </c>
      <c r="R1608" t="s">
        <v>6846</v>
      </c>
      <c r="S1608" t="s">
        <v>2885</v>
      </c>
      <c r="T1608" t="s">
        <v>2886</v>
      </c>
    </row>
    <row r="1609" spans="1:20">
      <c r="A1609" s="241">
        <v>44001</v>
      </c>
      <c r="B1609" t="s">
        <v>7987</v>
      </c>
      <c r="C1609" t="s">
        <v>442</v>
      </c>
      <c r="D1609" t="s">
        <v>625</v>
      </c>
      <c r="E1609" t="s">
        <v>1314</v>
      </c>
      <c r="F1609" t="s">
        <v>346</v>
      </c>
      <c r="G1609" t="s">
        <v>1411</v>
      </c>
      <c r="H1609" t="s">
        <v>1213</v>
      </c>
      <c r="I1609" t="s">
        <v>1727</v>
      </c>
      <c r="J1609" t="s">
        <v>2044</v>
      </c>
      <c r="K1609" t="s">
        <v>524</v>
      </c>
      <c r="L1609">
        <v>0.86</v>
      </c>
      <c r="M1609" t="s">
        <v>7988</v>
      </c>
      <c r="N1609" t="s">
        <v>7989</v>
      </c>
      <c r="O1609" t="s">
        <v>7990</v>
      </c>
      <c r="P1609" t="s">
        <v>485</v>
      </c>
      <c r="Q1609" t="s">
        <v>6845</v>
      </c>
      <c r="R1609" t="s">
        <v>6846</v>
      </c>
      <c r="S1609" t="s">
        <v>2885</v>
      </c>
      <c r="T1609" t="s">
        <v>2886</v>
      </c>
    </row>
    <row r="1610" spans="1:20">
      <c r="A1610" s="241">
        <v>44001</v>
      </c>
      <c r="B1610" t="s">
        <v>7991</v>
      </c>
      <c r="C1610" t="s">
        <v>671</v>
      </c>
      <c r="D1610" t="s">
        <v>645</v>
      </c>
      <c r="E1610" t="s">
        <v>632</v>
      </c>
      <c r="F1610" t="s">
        <v>822</v>
      </c>
      <c r="G1610" t="s">
        <v>2314</v>
      </c>
      <c r="H1610" t="s">
        <v>1038</v>
      </c>
      <c r="I1610" t="s">
        <v>212</v>
      </c>
      <c r="J1610" t="s">
        <v>1240</v>
      </c>
      <c r="K1610" t="s">
        <v>515</v>
      </c>
      <c r="L1610">
        <v>0.86</v>
      </c>
      <c r="M1610" t="s">
        <v>7992</v>
      </c>
      <c r="N1610" t="s">
        <v>7993</v>
      </c>
      <c r="O1610" t="s">
        <v>7994</v>
      </c>
      <c r="P1610" t="s">
        <v>485</v>
      </c>
      <c r="Q1610" t="s">
        <v>6845</v>
      </c>
      <c r="R1610" t="s">
        <v>6846</v>
      </c>
      <c r="S1610" t="s">
        <v>2885</v>
      </c>
      <c r="T1610" t="s">
        <v>2886</v>
      </c>
    </row>
    <row r="1611" spans="1:20">
      <c r="A1611" s="241">
        <v>44001</v>
      </c>
      <c r="B1611" t="s">
        <v>7995</v>
      </c>
      <c r="C1611" t="s">
        <v>2478</v>
      </c>
      <c r="D1611" t="s">
        <v>671</v>
      </c>
      <c r="E1611" t="s">
        <v>238</v>
      </c>
      <c r="F1611" t="s">
        <v>1255</v>
      </c>
      <c r="G1611" t="s">
        <v>1239</v>
      </c>
      <c r="H1611" t="s">
        <v>1704</v>
      </c>
      <c r="I1611" t="s">
        <v>560</v>
      </c>
      <c r="J1611" t="s">
        <v>817</v>
      </c>
      <c r="K1611" t="s">
        <v>1012</v>
      </c>
      <c r="L1611">
        <v>0.86</v>
      </c>
      <c r="M1611" t="s">
        <v>7996</v>
      </c>
      <c r="N1611" t="s">
        <v>7997</v>
      </c>
      <c r="O1611" t="s">
        <v>7998</v>
      </c>
      <c r="P1611" t="s">
        <v>485</v>
      </c>
      <c r="Q1611" t="s">
        <v>6845</v>
      </c>
      <c r="R1611" t="s">
        <v>6846</v>
      </c>
      <c r="S1611" t="s">
        <v>2885</v>
      </c>
      <c r="T1611" t="s">
        <v>2886</v>
      </c>
    </row>
    <row r="1612" spans="1:20">
      <c r="A1612" s="241">
        <v>44001</v>
      </c>
      <c r="B1612" t="s">
        <v>7999</v>
      </c>
      <c r="C1612" t="s">
        <v>615</v>
      </c>
      <c r="D1612" t="s">
        <v>645</v>
      </c>
      <c r="E1612" t="s">
        <v>1121</v>
      </c>
      <c r="F1612" t="s">
        <v>584</v>
      </c>
      <c r="G1612" t="s">
        <v>804</v>
      </c>
      <c r="H1612" t="s">
        <v>2315</v>
      </c>
      <c r="I1612" t="s">
        <v>560</v>
      </c>
      <c r="J1612" t="s">
        <v>1039</v>
      </c>
      <c r="K1612" t="s">
        <v>524</v>
      </c>
      <c r="L1612">
        <v>0.86</v>
      </c>
      <c r="M1612" t="s">
        <v>8000</v>
      </c>
      <c r="N1612" t="s">
        <v>8001</v>
      </c>
      <c r="O1612" t="s">
        <v>8002</v>
      </c>
      <c r="P1612" t="s">
        <v>485</v>
      </c>
      <c r="Q1612" t="s">
        <v>6845</v>
      </c>
      <c r="R1612" t="s">
        <v>6846</v>
      </c>
      <c r="S1612" t="s">
        <v>2885</v>
      </c>
      <c r="T1612" t="s">
        <v>2886</v>
      </c>
    </row>
    <row r="1613" spans="1:20">
      <c r="A1613" s="241">
        <v>44001</v>
      </c>
      <c r="B1613" t="s">
        <v>8003</v>
      </c>
      <c r="C1613" t="s">
        <v>645</v>
      </c>
      <c r="D1613" t="s">
        <v>2478</v>
      </c>
      <c r="E1613" t="s">
        <v>812</v>
      </c>
      <c r="F1613" t="s">
        <v>598</v>
      </c>
      <c r="G1613" t="s">
        <v>814</v>
      </c>
      <c r="H1613" t="s">
        <v>2910</v>
      </c>
      <c r="I1613" t="s">
        <v>569</v>
      </c>
      <c r="J1613" t="s">
        <v>825</v>
      </c>
      <c r="K1613" t="s">
        <v>515</v>
      </c>
      <c r="L1613">
        <v>0.86</v>
      </c>
      <c r="M1613" t="s">
        <v>8004</v>
      </c>
      <c r="N1613" t="s">
        <v>8005</v>
      </c>
      <c r="O1613" t="s">
        <v>8006</v>
      </c>
      <c r="P1613" t="s">
        <v>485</v>
      </c>
      <c r="Q1613" t="s">
        <v>6845</v>
      </c>
      <c r="R1613" t="s">
        <v>6846</v>
      </c>
      <c r="S1613" t="s">
        <v>2885</v>
      </c>
      <c r="T1613" t="s">
        <v>2886</v>
      </c>
    </row>
    <row r="1614" spans="1:20">
      <c r="A1614" s="241">
        <v>44001</v>
      </c>
      <c r="B1614" t="s">
        <v>8007</v>
      </c>
      <c r="C1614" t="s">
        <v>392</v>
      </c>
      <c r="D1614" t="s">
        <v>625</v>
      </c>
      <c r="E1614" t="s">
        <v>1121</v>
      </c>
      <c r="F1614" t="s">
        <v>1467</v>
      </c>
      <c r="G1614" t="s">
        <v>276</v>
      </c>
      <c r="H1614" t="s">
        <v>209</v>
      </c>
      <c r="I1614" t="s">
        <v>278</v>
      </c>
      <c r="J1614" t="s">
        <v>2330</v>
      </c>
      <c r="K1614" t="s">
        <v>524</v>
      </c>
      <c r="L1614">
        <v>0.86</v>
      </c>
      <c r="M1614" t="s">
        <v>8008</v>
      </c>
      <c r="N1614" t="s">
        <v>8009</v>
      </c>
      <c r="O1614" t="s">
        <v>8010</v>
      </c>
      <c r="P1614" t="s">
        <v>485</v>
      </c>
      <c r="Q1614" t="s">
        <v>6845</v>
      </c>
      <c r="R1614" t="s">
        <v>6846</v>
      </c>
      <c r="S1614" t="s">
        <v>2885</v>
      </c>
      <c r="T1614" t="s">
        <v>2886</v>
      </c>
    </row>
    <row r="1615" spans="1:20">
      <c r="A1615" s="241">
        <v>44001</v>
      </c>
      <c r="B1615" t="s">
        <v>8011</v>
      </c>
      <c r="C1615" t="s">
        <v>2478</v>
      </c>
      <c r="D1615" t="s">
        <v>2478</v>
      </c>
      <c r="E1615" t="s">
        <v>225</v>
      </c>
      <c r="F1615" t="s">
        <v>855</v>
      </c>
      <c r="G1615" t="s">
        <v>286</v>
      </c>
      <c r="H1615" t="s">
        <v>862</v>
      </c>
      <c r="I1615" t="s">
        <v>288</v>
      </c>
      <c r="J1615" t="s">
        <v>1070</v>
      </c>
      <c r="K1615" t="s">
        <v>214</v>
      </c>
      <c r="L1615">
        <v>0.86</v>
      </c>
      <c r="M1615" t="s">
        <v>8012</v>
      </c>
      <c r="N1615" t="s">
        <v>8013</v>
      </c>
      <c r="O1615" t="s">
        <v>8014</v>
      </c>
      <c r="P1615" t="s">
        <v>485</v>
      </c>
      <c r="Q1615" t="s">
        <v>6845</v>
      </c>
      <c r="R1615" t="s">
        <v>6846</v>
      </c>
      <c r="S1615" t="s">
        <v>2885</v>
      </c>
      <c r="T1615" t="s">
        <v>2886</v>
      </c>
    </row>
    <row r="1616" spans="1:20">
      <c r="A1616" s="241">
        <v>44001</v>
      </c>
      <c r="B1616" t="s">
        <v>8015</v>
      </c>
      <c r="C1616" t="s">
        <v>625</v>
      </c>
      <c r="D1616" t="s">
        <v>679</v>
      </c>
      <c r="E1616" t="s">
        <v>1049</v>
      </c>
      <c r="F1616" t="s">
        <v>1147</v>
      </c>
      <c r="G1616" t="s">
        <v>1781</v>
      </c>
      <c r="H1616" t="s">
        <v>1069</v>
      </c>
      <c r="I1616" t="s">
        <v>288</v>
      </c>
      <c r="J1616" t="s">
        <v>1070</v>
      </c>
      <c r="K1616" t="s">
        <v>231</v>
      </c>
      <c r="L1616">
        <v>0.86</v>
      </c>
      <c r="M1616" t="s">
        <v>8016</v>
      </c>
      <c r="N1616" t="s">
        <v>8017</v>
      </c>
      <c r="O1616" t="s">
        <v>8018</v>
      </c>
      <c r="P1616" t="s">
        <v>485</v>
      </c>
      <c r="Q1616" t="s">
        <v>6845</v>
      </c>
      <c r="R1616" t="s">
        <v>6846</v>
      </c>
      <c r="S1616" t="s">
        <v>2885</v>
      </c>
      <c r="T1616" t="s">
        <v>2886</v>
      </c>
    </row>
    <row r="1617" spans="1:20">
      <c r="A1617" s="241">
        <v>44001</v>
      </c>
      <c r="B1617" t="s">
        <v>8019</v>
      </c>
      <c r="C1617" t="s">
        <v>2478</v>
      </c>
      <c r="D1617" t="s">
        <v>645</v>
      </c>
      <c r="E1617" t="s">
        <v>632</v>
      </c>
      <c r="F1617" t="s">
        <v>682</v>
      </c>
      <c r="G1617" t="s">
        <v>1447</v>
      </c>
      <c r="H1617" t="s">
        <v>1274</v>
      </c>
      <c r="I1617" t="s">
        <v>1264</v>
      </c>
      <c r="J1617" t="s">
        <v>1063</v>
      </c>
      <c r="K1617" t="s">
        <v>214</v>
      </c>
      <c r="L1617">
        <v>0.86</v>
      </c>
      <c r="M1617" t="s">
        <v>8020</v>
      </c>
      <c r="N1617" t="s">
        <v>8021</v>
      </c>
      <c r="O1617" t="s">
        <v>8022</v>
      </c>
      <c r="P1617" t="s">
        <v>485</v>
      </c>
      <c r="Q1617" t="s">
        <v>6845</v>
      </c>
      <c r="R1617" t="s">
        <v>6846</v>
      </c>
      <c r="S1617" t="s">
        <v>2885</v>
      </c>
      <c r="T1617" t="s">
        <v>2886</v>
      </c>
    </row>
    <row r="1618" spans="1:20">
      <c r="A1618" s="241">
        <v>44001</v>
      </c>
      <c r="B1618" t="s">
        <v>8023</v>
      </c>
      <c r="C1618" t="s">
        <v>1139</v>
      </c>
      <c r="D1618" t="s">
        <v>1079</v>
      </c>
      <c r="E1618" t="s">
        <v>680</v>
      </c>
      <c r="F1618" t="s">
        <v>926</v>
      </c>
      <c r="G1618" t="s">
        <v>607</v>
      </c>
      <c r="H1618" t="s">
        <v>1050</v>
      </c>
      <c r="I1618" t="s">
        <v>619</v>
      </c>
      <c r="J1618" t="s">
        <v>309</v>
      </c>
      <c r="K1618" t="s">
        <v>231</v>
      </c>
      <c r="L1618">
        <v>0.86</v>
      </c>
      <c r="M1618" t="s">
        <v>8024</v>
      </c>
      <c r="N1618" t="s">
        <v>8025</v>
      </c>
      <c r="O1618" t="s">
        <v>8026</v>
      </c>
      <c r="P1618" t="s">
        <v>485</v>
      </c>
      <c r="Q1618" t="s">
        <v>6845</v>
      </c>
      <c r="R1618" t="s">
        <v>6846</v>
      </c>
      <c r="S1618" t="s">
        <v>2885</v>
      </c>
      <c r="T1618" t="s">
        <v>2886</v>
      </c>
    </row>
    <row r="1619" spans="1:20">
      <c r="A1619" s="241">
        <v>44001</v>
      </c>
      <c r="B1619" t="s">
        <v>8027</v>
      </c>
      <c r="C1619" t="s">
        <v>712</v>
      </c>
      <c r="D1619" t="s">
        <v>679</v>
      </c>
      <c r="E1619" t="s">
        <v>646</v>
      </c>
      <c r="F1619" t="s">
        <v>706</v>
      </c>
      <c r="G1619" t="s">
        <v>1081</v>
      </c>
      <c r="H1619" t="s">
        <v>566</v>
      </c>
      <c r="I1619" t="s">
        <v>317</v>
      </c>
      <c r="J1619" t="s">
        <v>1484</v>
      </c>
      <c r="K1619" t="s">
        <v>231</v>
      </c>
      <c r="L1619">
        <v>0.86</v>
      </c>
      <c r="M1619" t="s">
        <v>8028</v>
      </c>
      <c r="N1619" t="s">
        <v>8029</v>
      </c>
      <c r="O1619" t="s">
        <v>8030</v>
      </c>
      <c r="P1619" t="s">
        <v>485</v>
      </c>
      <c r="Q1619" t="s">
        <v>6845</v>
      </c>
      <c r="R1619" t="s">
        <v>6846</v>
      </c>
      <c r="S1619" t="s">
        <v>2885</v>
      </c>
      <c r="T1619" t="s">
        <v>2886</v>
      </c>
    </row>
    <row r="1620" spans="1:20">
      <c r="A1620" s="241">
        <v>44001</v>
      </c>
      <c r="B1620" t="s">
        <v>8031</v>
      </c>
      <c r="C1620" t="s">
        <v>614</v>
      </c>
      <c r="D1620" t="s">
        <v>631</v>
      </c>
      <c r="E1620" t="s">
        <v>1314</v>
      </c>
      <c r="F1620" t="s">
        <v>333</v>
      </c>
      <c r="G1620" t="s">
        <v>856</v>
      </c>
      <c r="H1620" t="s">
        <v>1769</v>
      </c>
      <c r="I1620" t="s">
        <v>325</v>
      </c>
      <c r="J1620" t="s">
        <v>1495</v>
      </c>
      <c r="K1620" t="s">
        <v>579</v>
      </c>
      <c r="L1620">
        <v>0.86</v>
      </c>
      <c r="M1620" t="s">
        <v>8032</v>
      </c>
      <c r="N1620" t="s">
        <v>8033</v>
      </c>
      <c r="O1620" t="s">
        <v>8034</v>
      </c>
      <c r="P1620" t="s">
        <v>485</v>
      </c>
      <c r="Q1620" t="s">
        <v>6845</v>
      </c>
      <c r="R1620" t="s">
        <v>6846</v>
      </c>
      <c r="S1620" t="s">
        <v>2885</v>
      </c>
      <c r="T1620" t="s">
        <v>2886</v>
      </c>
    </row>
    <row r="1621" spans="1:20">
      <c r="A1621" s="241">
        <v>44001</v>
      </c>
      <c r="B1621" t="s">
        <v>8035</v>
      </c>
      <c r="C1621" t="s">
        <v>625</v>
      </c>
      <c r="D1621" t="s">
        <v>2478</v>
      </c>
      <c r="E1621" t="s">
        <v>1102</v>
      </c>
      <c r="F1621" t="s">
        <v>354</v>
      </c>
      <c r="G1621" t="s">
        <v>1832</v>
      </c>
      <c r="H1621" t="s">
        <v>566</v>
      </c>
      <c r="I1621" t="s">
        <v>325</v>
      </c>
      <c r="J1621" t="s">
        <v>1495</v>
      </c>
      <c r="K1621" t="s">
        <v>579</v>
      </c>
      <c r="L1621">
        <v>0.86</v>
      </c>
      <c r="M1621" t="s">
        <v>8036</v>
      </c>
      <c r="N1621" t="s">
        <v>8037</v>
      </c>
      <c r="O1621" t="s">
        <v>8038</v>
      </c>
      <c r="P1621" t="s">
        <v>485</v>
      </c>
      <c r="Q1621" t="s">
        <v>6845</v>
      </c>
      <c r="R1621" t="s">
        <v>6846</v>
      </c>
      <c r="S1621" t="s">
        <v>2885</v>
      </c>
      <c r="T1621" t="s">
        <v>2886</v>
      </c>
    </row>
    <row r="1622" spans="1:20">
      <c r="A1622" s="241">
        <v>44001</v>
      </c>
      <c r="B1622" t="s">
        <v>8039</v>
      </c>
      <c r="C1622" t="s">
        <v>645</v>
      </c>
      <c r="D1622" t="s">
        <v>2478</v>
      </c>
      <c r="E1622" t="s">
        <v>646</v>
      </c>
      <c r="F1622" t="s">
        <v>454</v>
      </c>
      <c r="G1622" t="s">
        <v>1832</v>
      </c>
      <c r="H1622" t="s">
        <v>366</v>
      </c>
      <c r="I1622" t="s">
        <v>347</v>
      </c>
      <c r="J1622" t="s">
        <v>326</v>
      </c>
      <c r="K1622" t="s">
        <v>268</v>
      </c>
      <c r="L1622">
        <v>0.86</v>
      </c>
      <c r="M1622" t="s">
        <v>8040</v>
      </c>
      <c r="N1622" t="s">
        <v>8041</v>
      </c>
      <c r="O1622" t="s">
        <v>8042</v>
      </c>
      <c r="P1622" t="s">
        <v>485</v>
      </c>
      <c r="Q1622" t="s">
        <v>6845</v>
      </c>
      <c r="R1622" t="s">
        <v>6846</v>
      </c>
      <c r="S1622" t="s">
        <v>2885</v>
      </c>
      <c r="T1622" t="s">
        <v>2886</v>
      </c>
    </row>
    <row r="1623" spans="1:20">
      <c r="A1623" s="241">
        <v>44001</v>
      </c>
      <c r="B1623" t="s">
        <v>8043</v>
      </c>
      <c r="C1623" t="s">
        <v>294</v>
      </c>
      <c r="D1623" t="s">
        <v>2535</v>
      </c>
      <c r="E1623" t="s">
        <v>2544</v>
      </c>
      <c r="F1623" t="s">
        <v>1536</v>
      </c>
      <c r="G1623" t="s">
        <v>1110</v>
      </c>
      <c r="H1623" t="s">
        <v>1291</v>
      </c>
      <c r="I1623" t="s">
        <v>1523</v>
      </c>
      <c r="J1623" t="s">
        <v>1868</v>
      </c>
      <c r="K1623" t="s">
        <v>268</v>
      </c>
      <c r="L1623">
        <v>0.86</v>
      </c>
      <c r="M1623" t="s">
        <v>8044</v>
      </c>
      <c r="N1623" t="s">
        <v>8045</v>
      </c>
      <c r="O1623" t="s">
        <v>8046</v>
      </c>
      <c r="P1623" t="s">
        <v>485</v>
      </c>
      <c r="Q1623" t="s">
        <v>6845</v>
      </c>
      <c r="R1623" t="s">
        <v>6846</v>
      </c>
      <c r="S1623" t="s">
        <v>2885</v>
      </c>
      <c r="T1623" t="s">
        <v>2886</v>
      </c>
    </row>
    <row r="1624" spans="1:20">
      <c r="A1624" s="241">
        <v>44001</v>
      </c>
      <c r="B1624" t="s">
        <v>8047</v>
      </c>
      <c r="C1624" t="s">
        <v>679</v>
      </c>
      <c r="D1624" t="s">
        <v>631</v>
      </c>
      <c r="E1624" t="s">
        <v>1314</v>
      </c>
      <c r="F1624" t="s">
        <v>2579</v>
      </c>
      <c r="G1624" t="s">
        <v>375</v>
      </c>
      <c r="H1624" t="s">
        <v>1552</v>
      </c>
      <c r="I1624" t="s">
        <v>674</v>
      </c>
      <c r="J1624" t="s">
        <v>665</v>
      </c>
      <c r="K1624" t="s">
        <v>268</v>
      </c>
      <c r="L1624">
        <v>0.86</v>
      </c>
      <c r="M1624" t="s">
        <v>8048</v>
      </c>
      <c r="N1624" t="s">
        <v>8049</v>
      </c>
      <c r="O1624" t="s">
        <v>8050</v>
      </c>
      <c r="P1624" t="s">
        <v>485</v>
      </c>
      <c r="Q1624" t="s">
        <v>6845</v>
      </c>
      <c r="R1624" t="s">
        <v>6846</v>
      </c>
      <c r="S1624" t="s">
        <v>2885</v>
      </c>
      <c r="T1624" t="s">
        <v>2886</v>
      </c>
    </row>
    <row r="1625" spans="1:20">
      <c r="A1625" s="241">
        <v>44001</v>
      </c>
      <c r="B1625" t="s">
        <v>8051</v>
      </c>
      <c r="C1625" t="s">
        <v>712</v>
      </c>
      <c r="D1625" t="s">
        <v>2535</v>
      </c>
      <c r="E1625" t="s">
        <v>632</v>
      </c>
      <c r="F1625" t="s">
        <v>433</v>
      </c>
      <c r="G1625" t="s">
        <v>384</v>
      </c>
      <c r="H1625" t="s">
        <v>364</v>
      </c>
      <c r="I1625" t="s">
        <v>1140</v>
      </c>
      <c r="J1625" t="s">
        <v>1141</v>
      </c>
      <c r="K1625" t="s">
        <v>666</v>
      </c>
      <c r="L1625">
        <v>0.86</v>
      </c>
      <c r="M1625" t="s">
        <v>8052</v>
      </c>
      <c r="N1625" t="s">
        <v>8053</v>
      </c>
      <c r="O1625" t="s">
        <v>8054</v>
      </c>
      <c r="P1625" t="s">
        <v>485</v>
      </c>
      <c r="Q1625" t="s">
        <v>6845</v>
      </c>
      <c r="R1625" t="s">
        <v>6846</v>
      </c>
      <c r="S1625" t="s">
        <v>2885</v>
      </c>
      <c r="T1625" t="s">
        <v>2886</v>
      </c>
    </row>
    <row r="1626" spans="1:20">
      <c r="A1626" s="241">
        <v>44001</v>
      </c>
      <c r="B1626" t="s">
        <v>8055</v>
      </c>
      <c r="C1626" t="s">
        <v>2478</v>
      </c>
      <c r="D1626" t="s">
        <v>631</v>
      </c>
      <c r="E1626" t="s">
        <v>1049</v>
      </c>
      <c r="F1626" t="s">
        <v>3438</v>
      </c>
      <c r="G1626" t="s">
        <v>434</v>
      </c>
      <c r="H1626" t="s">
        <v>2579</v>
      </c>
      <c r="I1626" t="s">
        <v>7947</v>
      </c>
      <c r="J1626" t="s">
        <v>7242</v>
      </c>
      <c r="K1626" t="s">
        <v>666</v>
      </c>
      <c r="L1626">
        <v>0.86</v>
      </c>
      <c r="M1626" t="s">
        <v>8056</v>
      </c>
      <c r="N1626" t="s">
        <v>8057</v>
      </c>
      <c r="O1626" t="s">
        <v>8058</v>
      </c>
      <c r="P1626" t="s">
        <v>485</v>
      </c>
      <c r="Q1626" t="s">
        <v>6845</v>
      </c>
      <c r="R1626" t="s">
        <v>6846</v>
      </c>
      <c r="S1626" t="s">
        <v>2885</v>
      </c>
      <c r="T1626" t="s">
        <v>2886</v>
      </c>
    </row>
    <row r="1627" spans="1:20">
      <c r="A1627" s="241">
        <v>44001</v>
      </c>
      <c r="B1627" t="s">
        <v>8059</v>
      </c>
      <c r="C1627" t="s">
        <v>236</v>
      </c>
      <c r="D1627" t="s">
        <v>1348</v>
      </c>
      <c r="E1627" t="s">
        <v>382</v>
      </c>
      <c r="F1627" t="s">
        <v>226</v>
      </c>
      <c r="G1627" t="s">
        <v>8060</v>
      </c>
      <c r="H1627" t="s">
        <v>970</v>
      </c>
      <c r="I1627" t="s">
        <v>8061</v>
      </c>
      <c r="J1627" t="s">
        <v>8062</v>
      </c>
      <c r="K1627" t="s">
        <v>8063</v>
      </c>
      <c r="L1627">
        <v>0.89</v>
      </c>
      <c r="M1627" t="s">
        <v>8064</v>
      </c>
      <c r="N1627" t="s">
        <v>8065</v>
      </c>
      <c r="O1627" t="s">
        <v>8066</v>
      </c>
      <c r="P1627" t="s">
        <v>485</v>
      </c>
      <c r="Q1627" t="s">
        <v>6845</v>
      </c>
      <c r="R1627" t="s">
        <v>6846</v>
      </c>
      <c r="S1627" t="s">
        <v>2885</v>
      </c>
      <c r="T1627" t="s">
        <v>2886</v>
      </c>
    </row>
    <row r="1628" spans="1:20">
      <c r="A1628" s="241">
        <v>44001</v>
      </c>
      <c r="B1628" t="s">
        <v>8067</v>
      </c>
      <c r="C1628" t="s">
        <v>1357</v>
      </c>
      <c r="D1628" t="s">
        <v>1665</v>
      </c>
      <c r="E1628" t="s">
        <v>423</v>
      </c>
      <c r="F1628" t="s">
        <v>970</v>
      </c>
      <c r="G1628" t="s">
        <v>3128</v>
      </c>
      <c r="H1628" t="s">
        <v>1205</v>
      </c>
      <c r="I1628" t="s">
        <v>5271</v>
      </c>
      <c r="J1628" t="s">
        <v>5272</v>
      </c>
      <c r="K1628" t="s">
        <v>5273</v>
      </c>
      <c r="L1628">
        <v>0.89</v>
      </c>
      <c r="M1628" t="s">
        <v>8068</v>
      </c>
      <c r="N1628" t="s">
        <v>8069</v>
      </c>
      <c r="O1628" t="s">
        <v>8070</v>
      </c>
      <c r="P1628" t="s">
        <v>485</v>
      </c>
      <c r="Q1628" t="s">
        <v>6845</v>
      </c>
      <c r="R1628" t="s">
        <v>6846</v>
      </c>
      <c r="S1628" t="s">
        <v>2885</v>
      </c>
      <c r="T1628" t="s">
        <v>2886</v>
      </c>
    </row>
    <row r="1629" spans="1:20">
      <c r="A1629" s="241">
        <v>44001</v>
      </c>
      <c r="B1629" t="s">
        <v>8071</v>
      </c>
      <c r="C1629" t="s">
        <v>2431</v>
      </c>
      <c r="D1629" t="s">
        <v>1376</v>
      </c>
      <c r="E1629" t="s">
        <v>249</v>
      </c>
      <c r="F1629" t="s">
        <v>1378</v>
      </c>
      <c r="G1629" t="s">
        <v>767</v>
      </c>
      <c r="H1629" t="s">
        <v>2256</v>
      </c>
      <c r="I1629" t="s">
        <v>5482</v>
      </c>
      <c r="J1629" t="s">
        <v>5279</v>
      </c>
      <c r="K1629" t="s">
        <v>771</v>
      </c>
      <c r="L1629">
        <v>0.89</v>
      </c>
      <c r="M1629" t="s">
        <v>8072</v>
      </c>
      <c r="N1629" t="s">
        <v>8073</v>
      </c>
      <c r="O1629" t="s">
        <v>8074</v>
      </c>
      <c r="P1629" t="s">
        <v>485</v>
      </c>
      <c r="Q1629" t="s">
        <v>6845</v>
      </c>
      <c r="R1629" t="s">
        <v>6846</v>
      </c>
      <c r="S1629" t="s">
        <v>2885</v>
      </c>
      <c r="T1629" t="s">
        <v>2886</v>
      </c>
    </row>
    <row r="1630" spans="1:20">
      <c r="A1630" s="241">
        <v>44001</v>
      </c>
      <c r="B1630" t="s">
        <v>8075</v>
      </c>
      <c r="C1630" t="s">
        <v>2636</v>
      </c>
      <c r="D1630" t="s">
        <v>2811</v>
      </c>
      <c r="E1630" t="s">
        <v>249</v>
      </c>
      <c r="F1630" t="s">
        <v>1655</v>
      </c>
      <c r="G1630" t="s">
        <v>2255</v>
      </c>
      <c r="H1630" t="s">
        <v>3504</v>
      </c>
      <c r="I1630" t="s">
        <v>973</v>
      </c>
      <c r="J1630" t="s">
        <v>4155</v>
      </c>
      <c r="K1630" t="s">
        <v>1200</v>
      </c>
      <c r="L1630">
        <v>0.89</v>
      </c>
      <c r="M1630" t="s">
        <v>8076</v>
      </c>
      <c r="N1630" t="s">
        <v>8077</v>
      </c>
      <c r="O1630" t="s">
        <v>8078</v>
      </c>
      <c r="P1630" t="s">
        <v>485</v>
      </c>
      <c r="Q1630" t="s">
        <v>6845</v>
      </c>
      <c r="R1630" t="s">
        <v>6846</v>
      </c>
      <c r="S1630" t="s">
        <v>2885</v>
      </c>
      <c r="T1630" t="s">
        <v>2886</v>
      </c>
    </row>
    <row r="1631" spans="1:20">
      <c r="A1631" s="241">
        <v>44001</v>
      </c>
      <c r="B1631" t="s">
        <v>8079</v>
      </c>
      <c r="C1631" t="s">
        <v>614</v>
      </c>
      <c r="D1631" t="s">
        <v>392</v>
      </c>
      <c r="E1631" t="s">
        <v>632</v>
      </c>
      <c r="F1631" t="s">
        <v>1388</v>
      </c>
      <c r="G1631" t="s">
        <v>3839</v>
      </c>
      <c r="H1631" t="s">
        <v>3161</v>
      </c>
      <c r="I1631" t="s">
        <v>3153</v>
      </c>
      <c r="J1631" t="s">
        <v>780</v>
      </c>
      <c r="K1631" t="s">
        <v>2668</v>
      </c>
      <c r="L1631">
        <v>0.86</v>
      </c>
      <c r="M1631" t="s">
        <v>8080</v>
      </c>
      <c r="N1631" t="s">
        <v>8081</v>
      </c>
      <c r="O1631" t="s">
        <v>8082</v>
      </c>
      <c r="P1631" t="s">
        <v>485</v>
      </c>
      <c r="Q1631" t="s">
        <v>6845</v>
      </c>
      <c r="R1631" t="s">
        <v>6846</v>
      </c>
      <c r="S1631" t="s">
        <v>2885</v>
      </c>
      <c r="T1631" t="s">
        <v>2886</v>
      </c>
    </row>
    <row r="1632" spans="1:20">
      <c r="A1632" s="241">
        <v>44001</v>
      </c>
      <c r="B1632" t="s">
        <v>8083</v>
      </c>
      <c r="C1632" t="s">
        <v>625</v>
      </c>
      <c r="D1632" t="s">
        <v>631</v>
      </c>
      <c r="E1632" t="s">
        <v>1121</v>
      </c>
      <c r="F1632" t="s">
        <v>1478</v>
      </c>
      <c r="G1632" t="s">
        <v>1008</v>
      </c>
      <c r="H1632" t="s">
        <v>787</v>
      </c>
      <c r="I1632" t="s">
        <v>522</v>
      </c>
      <c r="J1632" t="s">
        <v>1405</v>
      </c>
      <c r="K1632" t="s">
        <v>1399</v>
      </c>
      <c r="L1632">
        <v>0.86</v>
      </c>
      <c r="M1632" t="s">
        <v>8084</v>
      </c>
      <c r="N1632" t="s">
        <v>8085</v>
      </c>
      <c r="O1632" t="s">
        <v>8086</v>
      </c>
      <c r="P1632" t="s">
        <v>485</v>
      </c>
      <c r="Q1632" t="s">
        <v>6845</v>
      </c>
      <c r="R1632" t="s">
        <v>6846</v>
      </c>
      <c r="S1632" t="s">
        <v>2885</v>
      </c>
      <c r="T1632" t="s">
        <v>2886</v>
      </c>
    </row>
    <row r="1633" spans="1:20">
      <c r="A1633" s="241">
        <v>44001</v>
      </c>
      <c r="B1633" t="s">
        <v>8087</v>
      </c>
      <c r="C1633" t="s">
        <v>712</v>
      </c>
      <c r="D1633" t="s">
        <v>712</v>
      </c>
      <c r="E1633" t="s">
        <v>646</v>
      </c>
      <c r="F1633" t="s">
        <v>1069</v>
      </c>
      <c r="G1633" t="s">
        <v>1214</v>
      </c>
      <c r="H1633" t="s">
        <v>541</v>
      </c>
      <c r="I1633" t="s">
        <v>1019</v>
      </c>
      <c r="J1633" t="s">
        <v>1405</v>
      </c>
      <c r="K1633" t="s">
        <v>1406</v>
      </c>
      <c r="L1633">
        <v>0.86</v>
      </c>
      <c r="M1633" t="s">
        <v>8088</v>
      </c>
      <c r="N1633" t="s">
        <v>8089</v>
      </c>
      <c r="O1633" t="s">
        <v>8090</v>
      </c>
      <c r="P1633" t="s">
        <v>485</v>
      </c>
      <c r="Q1633" t="s">
        <v>6845</v>
      </c>
      <c r="R1633" t="s">
        <v>6846</v>
      </c>
      <c r="S1633" t="s">
        <v>2885</v>
      </c>
      <c r="T1633" t="s">
        <v>2886</v>
      </c>
    </row>
    <row r="1634" spans="1:20">
      <c r="A1634" s="241">
        <v>44001</v>
      </c>
      <c r="B1634" t="s">
        <v>8091</v>
      </c>
      <c r="C1634" t="s">
        <v>442</v>
      </c>
      <c r="D1634" t="s">
        <v>2478</v>
      </c>
      <c r="E1634" t="s">
        <v>812</v>
      </c>
      <c r="F1634" t="s">
        <v>307</v>
      </c>
      <c r="G1634" t="s">
        <v>2314</v>
      </c>
      <c r="H1634" t="s">
        <v>541</v>
      </c>
      <c r="I1634" t="s">
        <v>532</v>
      </c>
      <c r="J1634" t="s">
        <v>2681</v>
      </c>
      <c r="K1634" t="s">
        <v>1003</v>
      </c>
      <c r="L1634">
        <v>0.86</v>
      </c>
      <c r="M1634" t="s">
        <v>8092</v>
      </c>
      <c r="N1634" t="s">
        <v>8093</v>
      </c>
      <c r="O1634" t="s">
        <v>8094</v>
      </c>
      <c r="P1634" t="s">
        <v>485</v>
      </c>
      <c r="Q1634" t="s">
        <v>6845</v>
      </c>
      <c r="R1634" t="s">
        <v>6846</v>
      </c>
      <c r="S1634" t="s">
        <v>2885</v>
      </c>
      <c r="T1634" t="s">
        <v>2886</v>
      </c>
    </row>
    <row r="1635" spans="1:20">
      <c r="A1635" s="241">
        <v>44001</v>
      </c>
      <c r="B1635" t="s">
        <v>8095</v>
      </c>
      <c r="C1635" t="s">
        <v>671</v>
      </c>
      <c r="D1635" t="s">
        <v>645</v>
      </c>
      <c r="E1635" t="s">
        <v>632</v>
      </c>
      <c r="F1635" t="s">
        <v>822</v>
      </c>
      <c r="G1635" t="s">
        <v>2291</v>
      </c>
      <c r="H1635" t="s">
        <v>559</v>
      </c>
      <c r="I1635" t="s">
        <v>550</v>
      </c>
      <c r="J1635" t="s">
        <v>2044</v>
      </c>
      <c r="K1635" t="s">
        <v>1234</v>
      </c>
      <c r="L1635">
        <v>0.86</v>
      </c>
      <c r="M1635" t="s">
        <v>8096</v>
      </c>
      <c r="N1635" t="s">
        <v>8097</v>
      </c>
      <c r="O1635" t="s">
        <v>8098</v>
      </c>
      <c r="P1635" t="s">
        <v>485</v>
      </c>
      <c r="Q1635" t="s">
        <v>6845</v>
      </c>
      <c r="R1635" t="s">
        <v>6846</v>
      </c>
      <c r="S1635" t="s">
        <v>2885</v>
      </c>
      <c r="T1635" t="s">
        <v>2886</v>
      </c>
    </row>
    <row r="1636" spans="1:20">
      <c r="A1636" s="241">
        <v>44001</v>
      </c>
      <c r="B1636" t="s">
        <v>8099</v>
      </c>
      <c r="C1636" t="s">
        <v>671</v>
      </c>
      <c r="D1636" t="s">
        <v>712</v>
      </c>
      <c r="E1636" t="s">
        <v>632</v>
      </c>
      <c r="F1636" t="s">
        <v>1050</v>
      </c>
      <c r="G1636" t="s">
        <v>548</v>
      </c>
      <c r="H1636" t="s">
        <v>1726</v>
      </c>
      <c r="I1636" t="s">
        <v>1747</v>
      </c>
      <c r="J1636" t="s">
        <v>2881</v>
      </c>
      <c r="K1636" t="s">
        <v>524</v>
      </c>
      <c r="L1636">
        <v>0.86</v>
      </c>
      <c r="M1636" t="s">
        <v>8100</v>
      </c>
      <c r="N1636" t="s">
        <v>8101</v>
      </c>
      <c r="O1636" t="s">
        <v>8102</v>
      </c>
      <c r="P1636" t="s">
        <v>485</v>
      </c>
      <c r="Q1636" t="s">
        <v>6845</v>
      </c>
      <c r="R1636" t="s">
        <v>6846</v>
      </c>
      <c r="S1636" t="s">
        <v>2885</v>
      </c>
      <c r="T1636" t="s">
        <v>2886</v>
      </c>
    </row>
    <row r="1637" spans="1:20">
      <c r="A1637" s="241">
        <v>44001</v>
      </c>
      <c r="B1637" t="s">
        <v>8103</v>
      </c>
      <c r="C1637" t="s">
        <v>631</v>
      </c>
      <c r="D1637" t="s">
        <v>392</v>
      </c>
      <c r="E1637" t="s">
        <v>696</v>
      </c>
      <c r="F1637" t="s">
        <v>239</v>
      </c>
      <c r="G1637" t="s">
        <v>210</v>
      </c>
      <c r="H1637" t="s">
        <v>241</v>
      </c>
      <c r="I1637" t="s">
        <v>816</v>
      </c>
      <c r="J1637" t="s">
        <v>2881</v>
      </c>
      <c r="K1637" t="s">
        <v>1234</v>
      </c>
      <c r="L1637">
        <v>0.86</v>
      </c>
      <c r="M1637" t="s">
        <v>8104</v>
      </c>
      <c r="N1637" t="s">
        <v>8105</v>
      </c>
      <c r="O1637" t="s">
        <v>8106</v>
      </c>
      <c r="P1637" t="s">
        <v>485</v>
      </c>
      <c r="Q1637" t="s">
        <v>6845</v>
      </c>
      <c r="R1637" t="s">
        <v>6846</v>
      </c>
      <c r="S1637" t="s">
        <v>2885</v>
      </c>
      <c r="T1637" t="s">
        <v>2886</v>
      </c>
    </row>
    <row r="1638" spans="1:20">
      <c r="A1638" s="241">
        <v>44001</v>
      </c>
      <c r="B1638" t="s">
        <v>8107</v>
      </c>
      <c r="C1638" t="s">
        <v>2478</v>
      </c>
      <c r="D1638" t="s">
        <v>614</v>
      </c>
      <c r="E1638" t="s">
        <v>1102</v>
      </c>
      <c r="F1638" t="s">
        <v>881</v>
      </c>
      <c r="G1638" t="s">
        <v>2075</v>
      </c>
      <c r="H1638" t="s">
        <v>1257</v>
      </c>
      <c r="I1638" t="s">
        <v>1747</v>
      </c>
      <c r="J1638" t="s">
        <v>213</v>
      </c>
      <c r="K1638" t="s">
        <v>515</v>
      </c>
      <c r="L1638">
        <v>0.86</v>
      </c>
      <c r="M1638" t="s">
        <v>8108</v>
      </c>
      <c r="N1638" t="s">
        <v>8109</v>
      </c>
      <c r="O1638" t="s">
        <v>8110</v>
      </c>
      <c r="P1638" t="s">
        <v>485</v>
      </c>
      <c r="Q1638" t="s">
        <v>6845</v>
      </c>
      <c r="R1638" t="s">
        <v>6846</v>
      </c>
      <c r="S1638" t="s">
        <v>2885</v>
      </c>
      <c r="T1638" t="s">
        <v>2886</v>
      </c>
    </row>
    <row r="1639" spans="1:20">
      <c r="A1639" s="241">
        <v>44001</v>
      </c>
      <c r="B1639" t="s">
        <v>8111</v>
      </c>
      <c r="C1639" t="s">
        <v>625</v>
      </c>
      <c r="D1639" t="s">
        <v>645</v>
      </c>
      <c r="E1639" t="s">
        <v>1102</v>
      </c>
      <c r="F1639" t="s">
        <v>584</v>
      </c>
      <c r="G1639" t="s">
        <v>210</v>
      </c>
      <c r="H1639" t="s">
        <v>1388</v>
      </c>
      <c r="I1639" t="s">
        <v>1250</v>
      </c>
      <c r="J1639" t="s">
        <v>807</v>
      </c>
      <c r="K1639" t="s">
        <v>1012</v>
      </c>
      <c r="L1639">
        <v>0.86</v>
      </c>
      <c r="M1639" t="s">
        <v>8112</v>
      </c>
      <c r="N1639" t="s">
        <v>8113</v>
      </c>
      <c r="O1639" t="s">
        <v>8114</v>
      </c>
      <c r="P1639" t="s">
        <v>485</v>
      </c>
      <c r="Q1639" t="s">
        <v>6845</v>
      </c>
      <c r="R1639" t="s">
        <v>6846</v>
      </c>
      <c r="S1639" t="s">
        <v>2885</v>
      </c>
      <c r="T1639" t="s">
        <v>2886</v>
      </c>
    </row>
    <row r="1640" spans="1:20">
      <c r="A1640" s="241">
        <v>44001</v>
      </c>
      <c r="B1640" t="s">
        <v>8115</v>
      </c>
      <c r="C1640" t="s">
        <v>679</v>
      </c>
      <c r="D1640" t="s">
        <v>1139</v>
      </c>
      <c r="E1640" t="s">
        <v>680</v>
      </c>
      <c r="F1640" t="s">
        <v>848</v>
      </c>
      <c r="G1640" t="s">
        <v>296</v>
      </c>
      <c r="H1640" t="s">
        <v>529</v>
      </c>
      <c r="I1640" t="s">
        <v>1264</v>
      </c>
      <c r="J1640" t="s">
        <v>1786</v>
      </c>
      <c r="K1640" t="s">
        <v>524</v>
      </c>
      <c r="L1640">
        <v>0.86</v>
      </c>
      <c r="M1640" t="s">
        <v>8116</v>
      </c>
      <c r="N1640" t="s">
        <v>8117</v>
      </c>
      <c r="O1640" t="s">
        <v>8118</v>
      </c>
      <c r="P1640" t="s">
        <v>485</v>
      </c>
      <c r="Q1640" t="s">
        <v>6845</v>
      </c>
      <c r="R1640" t="s">
        <v>6846</v>
      </c>
      <c r="S1640" t="s">
        <v>2885</v>
      </c>
      <c r="T1640" t="s">
        <v>2886</v>
      </c>
    </row>
    <row r="1641" spans="1:20">
      <c r="A1641" s="241">
        <v>44001</v>
      </c>
      <c r="B1641" t="s">
        <v>8119</v>
      </c>
      <c r="C1641" t="s">
        <v>442</v>
      </c>
      <c r="D1641" t="s">
        <v>382</v>
      </c>
      <c r="E1641" t="s">
        <v>646</v>
      </c>
      <c r="F1641" t="s">
        <v>1817</v>
      </c>
      <c r="G1641" t="s">
        <v>1256</v>
      </c>
      <c r="H1641" t="s">
        <v>2910</v>
      </c>
      <c r="I1641" t="s">
        <v>278</v>
      </c>
      <c r="J1641" t="s">
        <v>2330</v>
      </c>
      <c r="K1641" t="s">
        <v>515</v>
      </c>
      <c r="L1641">
        <v>0.86</v>
      </c>
      <c r="M1641" t="s">
        <v>8120</v>
      </c>
      <c r="N1641" t="s">
        <v>8121</v>
      </c>
      <c r="O1641" t="s">
        <v>8122</v>
      </c>
      <c r="P1641" t="s">
        <v>485</v>
      </c>
      <c r="Q1641" t="s">
        <v>6845</v>
      </c>
      <c r="R1641" t="s">
        <v>6846</v>
      </c>
      <c r="S1641" t="s">
        <v>2885</v>
      </c>
      <c r="T1641" t="s">
        <v>2886</v>
      </c>
    </row>
    <row r="1642" spans="1:20">
      <c r="A1642" s="241">
        <v>44001</v>
      </c>
      <c r="B1642" t="s">
        <v>8123</v>
      </c>
      <c r="C1642" t="s">
        <v>274</v>
      </c>
      <c r="D1642" t="s">
        <v>382</v>
      </c>
      <c r="E1642" t="s">
        <v>1314</v>
      </c>
      <c r="F1642" t="s">
        <v>1552</v>
      </c>
      <c r="G1642" t="s">
        <v>1068</v>
      </c>
      <c r="H1642" t="s">
        <v>307</v>
      </c>
      <c r="I1642" t="s">
        <v>288</v>
      </c>
      <c r="J1642" t="s">
        <v>279</v>
      </c>
      <c r="K1642" t="s">
        <v>1032</v>
      </c>
      <c r="L1642">
        <v>0.86</v>
      </c>
      <c r="M1642" t="s">
        <v>8124</v>
      </c>
      <c r="N1642" t="s">
        <v>8125</v>
      </c>
      <c r="O1642" t="s">
        <v>8126</v>
      </c>
      <c r="P1642" t="s">
        <v>485</v>
      </c>
      <c r="Q1642" t="s">
        <v>6845</v>
      </c>
      <c r="R1642" t="s">
        <v>6846</v>
      </c>
      <c r="S1642" t="s">
        <v>2885</v>
      </c>
      <c r="T1642" t="s">
        <v>2886</v>
      </c>
    </row>
    <row r="1643" spans="1:20">
      <c r="A1643" s="241">
        <v>44001</v>
      </c>
      <c r="B1643" t="s">
        <v>8127</v>
      </c>
      <c r="C1643" t="s">
        <v>615</v>
      </c>
      <c r="D1643" t="s">
        <v>2535</v>
      </c>
      <c r="E1643" t="s">
        <v>1314</v>
      </c>
      <c r="F1643" t="s">
        <v>395</v>
      </c>
      <c r="G1643" t="s">
        <v>1269</v>
      </c>
      <c r="H1643" t="s">
        <v>307</v>
      </c>
      <c r="I1643" t="s">
        <v>1264</v>
      </c>
      <c r="J1643" t="s">
        <v>1063</v>
      </c>
      <c r="K1643" t="s">
        <v>214</v>
      </c>
      <c r="L1643">
        <v>0.86</v>
      </c>
      <c r="M1643" t="s">
        <v>8128</v>
      </c>
      <c r="N1643" t="s">
        <v>8129</v>
      </c>
      <c r="O1643" t="s">
        <v>8130</v>
      </c>
      <c r="P1643" t="s">
        <v>485</v>
      </c>
      <c r="Q1643" t="s">
        <v>6845</v>
      </c>
      <c r="R1643" t="s">
        <v>6846</v>
      </c>
      <c r="S1643" t="s">
        <v>2885</v>
      </c>
      <c r="T1643" t="s">
        <v>2886</v>
      </c>
    </row>
    <row r="1644" spans="1:20">
      <c r="A1644" s="241">
        <v>44001</v>
      </c>
      <c r="B1644" t="s">
        <v>8131</v>
      </c>
      <c r="C1644" t="s">
        <v>712</v>
      </c>
      <c r="D1644" t="s">
        <v>2535</v>
      </c>
      <c r="E1644" t="s">
        <v>1102</v>
      </c>
      <c r="F1644" t="s">
        <v>1147</v>
      </c>
      <c r="G1644" t="s">
        <v>1477</v>
      </c>
      <c r="H1644" t="s">
        <v>1231</v>
      </c>
      <c r="I1644" t="s">
        <v>863</v>
      </c>
      <c r="J1644" t="s">
        <v>298</v>
      </c>
      <c r="K1644" t="s">
        <v>214</v>
      </c>
      <c r="L1644">
        <v>0.86</v>
      </c>
      <c r="M1644" t="s">
        <v>8132</v>
      </c>
      <c r="N1644" t="s">
        <v>8133</v>
      </c>
      <c r="O1644" t="s">
        <v>8134</v>
      </c>
      <c r="P1644" t="s">
        <v>485</v>
      </c>
      <c r="Q1644" t="s">
        <v>6845</v>
      </c>
      <c r="R1644" t="s">
        <v>6846</v>
      </c>
      <c r="S1644" t="s">
        <v>2885</v>
      </c>
      <c r="T1644" t="s">
        <v>2886</v>
      </c>
    </row>
    <row r="1645" spans="1:20">
      <c r="A1645" s="241">
        <v>44001</v>
      </c>
      <c r="B1645" t="s">
        <v>8135</v>
      </c>
      <c r="C1645" t="s">
        <v>631</v>
      </c>
      <c r="D1645" t="s">
        <v>712</v>
      </c>
      <c r="E1645" t="s">
        <v>2893</v>
      </c>
      <c r="F1645" t="s">
        <v>706</v>
      </c>
      <c r="G1645" t="s">
        <v>306</v>
      </c>
      <c r="H1645" t="s">
        <v>2927</v>
      </c>
      <c r="I1645" t="s">
        <v>609</v>
      </c>
      <c r="J1645" t="s">
        <v>592</v>
      </c>
      <c r="K1645" t="s">
        <v>214</v>
      </c>
      <c r="L1645">
        <v>0.86</v>
      </c>
      <c r="M1645" t="s">
        <v>8136</v>
      </c>
      <c r="N1645" t="s">
        <v>8137</v>
      </c>
      <c r="O1645" t="s">
        <v>8138</v>
      </c>
      <c r="P1645" t="s">
        <v>485</v>
      </c>
      <c r="Q1645" t="s">
        <v>6845</v>
      </c>
      <c r="R1645" t="s">
        <v>6846</v>
      </c>
      <c r="S1645" t="s">
        <v>2885</v>
      </c>
      <c r="T1645" t="s">
        <v>2886</v>
      </c>
    </row>
    <row r="1646" spans="1:20">
      <c r="A1646" s="241">
        <v>44001</v>
      </c>
      <c r="B1646" t="s">
        <v>8139</v>
      </c>
      <c r="C1646" t="s">
        <v>392</v>
      </c>
      <c r="D1646" t="s">
        <v>631</v>
      </c>
      <c r="E1646" t="s">
        <v>2584</v>
      </c>
      <c r="F1646" t="s">
        <v>1511</v>
      </c>
      <c r="G1646" t="s">
        <v>345</v>
      </c>
      <c r="H1646" t="s">
        <v>346</v>
      </c>
      <c r="I1646" t="s">
        <v>1087</v>
      </c>
      <c r="J1646" t="s">
        <v>309</v>
      </c>
      <c r="K1646" t="s">
        <v>1032</v>
      </c>
      <c r="L1646">
        <v>0.86</v>
      </c>
      <c r="M1646" t="s">
        <v>8140</v>
      </c>
      <c r="N1646" t="s">
        <v>8141</v>
      </c>
      <c r="O1646" t="s">
        <v>8142</v>
      </c>
      <c r="P1646" t="s">
        <v>485</v>
      </c>
      <c r="Q1646" t="s">
        <v>6845</v>
      </c>
      <c r="R1646" t="s">
        <v>6846</v>
      </c>
      <c r="S1646" t="s">
        <v>2885</v>
      </c>
      <c r="T1646" t="s">
        <v>2886</v>
      </c>
    </row>
    <row r="1647" spans="1:20">
      <c r="A1647" s="241">
        <v>44001</v>
      </c>
      <c r="B1647" t="s">
        <v>8143</v>
      </c>
      <c r="C1647" t="s">
        <v>1079</v>
      </c>
      <c r="D1647" t="s">
        <v>645</v>
      </c>
      <c r="E1647" t="s">
        <v>2769</v>
      </c>
      <c r="F1647" t="s">
        <v>1493</v>
      </c>
      <c r="G1647" t="s">
        <v>334</v>
      </c>
      <c r="H1647" t="s">
        <v>316</v>
      </c>
      <c r="I1647" t="s">
        <v>869</v>
      </c>
      <c r="J1647" t="s">
        <v>1484</v>
      </c>
      <c r="K1647" t="s">
        <v>214</v>
      </c>
      <c r="L1647">
        <v>0.86</v>
      </c>
      <c r="M1647" t="s">
        <v>8144</v>
      </c>
      <c r="N1647" t="s">
        <v>8145</v>
      </c>
      <c r="O1647" t="s">
        <v>8146</v>
      </c>
      <c r="P1647" t="s">
        <v>485</v>
      </c>
      <c r="Q1647" t="s">
        <v>6845</v>
      </c>
      <c r="R1647" t="s">
        <v>6846</v>
      </c>
      <c r="S1647" t="s">
        <v>2885</v>
      </c>
      <c r="T1647" t="s">
        <v>2886</v>
      </c>
    </row>
    <row r="1648" spans="1:20">
      <c r="A1648" s="241">
        <v>44001</v>
      </c>
      <c r="B1648" t="s">
        <v>8147</v>
      </c>
      <c r="C1648" t="s">
        <v>208</v>
      </c>
      <c r="D1648" t="s">
        <v>2535</v>
      </c>
      <c r="E1648" t="s">
        <v>696</v>
      </c>
      <c r="F1648" t="s">
        <v>323</v>
      </c>
      <c r="G1648" t="s">
        <v>2764</v>
      </c>
      <c r="H1648" t="s">
        <v>649</v>
      </c>
      <c r="I1648" t="s">
        <v>325</v>
      </c>
      <c r="J1648" t="s">
        <v>1495</v>
      </c>
      <c r="K1648" t="s">
        <v>579</v>
      </c>
      <c r="L1648">
        <v>0.86</v>
      </c>
      <c r="M1648" t="s">
        <v>8148</v>
      </c>
      <c r="N1648" t="s">
        <v>8149</v>
      </c>
      <c r="O1648" t="s">
        <v>8150</v>
      </c>
      <c r="P1648" t="s">
        <v>485</v>
      </c>
      <c r="Q1648" t="s">
        <v>6845</v>
      </c>
      <c r="R1648" t="s">
        <v>6846</v>
      </c>
      <c r="S1648" t="s">
        <v>2885</v>
      </c>
      <c r="T1648" t="s">
        <v>2886</v>
      </c>
    </row>
    <row r="1649" spans="1:20">
      <c r="A1649" s="241">
        <v>44001</v>
      </c>
      <c r="B1649" t="s">
        <v>8151</v>
      </c>
      <c r="C1649" t="s">
        <v>1079</v>
      </c>
      <c r="D1649" t="s">
        <v>645</v>
      </c>
      <c r="E1649" t="s">
        <v>1049</v>
      </c>
      <c r="F1649" t="s">
        <v>639</v>
      </c>
      <c r="G1649" t="s">
        <v>617</v>
      </c>
      <c r="H1649" t="s">
        <v>251</v>
      </c>
      <c r="I1649" t="s">
        <v>325</v>
      </c>
      <c r="J1649" t="s">
        <v>1495</v>
      </c>
      <c r="K1649" t="s">
        <v>299</v>
      </c>
      <c r="L1649">
        <v>0.86</v>
      </c>
      <c r="M1649" t="s">
        <v>8152</v>
      </c>
      <c r="N1649" t="s">
        <v>8153</v>
      </c>
      <c r="O1649" t="s">
        <v>8154</v>
      </c>
      <c r="P1649" t="s">
        <v>485</v>
      </c>
      <c r="Q1649" t="s">
        <v>6845</v>
      </c>
      <c r="R1649" t="s">
        <v>6846</v>
      </c>
      <c r="S1649" t="s">
        <v>2885</v>
      </c>
      <c r="T1649" t="s">
        <v>2886</v>
      </c>
    </row>
    <row r="1650" spans="1:20">
      <c r="A1650" s="241">
        <v>44001</v>
      </c>
      <c r="B1650" t="s">
        <v>8155</v>
      </c>
      <c r="C1650" t="s">
        <v>1079</v>
      </c>
      <c r="D1650" t="s">
        <v>2549</v>
      </c>
      <c r="E1650" t="s">
        <v>696</v>
      </c>
      <c r="F1650" t="s">
        <v>897</v>
      </c>
      <c r="G1650" t="s">
        <v>2764</v>
      </c>
      <c r="H1650" t="s">
        <v>263</v>
      </c>
      <c r="I1650" t="s">
        <v>347</v>
      </c>
      <c r="J1650" t="s">
        <v>326</v>
      </c>
      <c r="K1650" t="s">
        <v>256</v>
      </c>
      <c r="L1650">
        <v>0.86</v>
      </c>
      <c r="M1650" t="s">
        <v>8156</v>
      </c>
      <c r="N1650" t="s">
        <v>8157</v>
      </c>
      <c r="O1650" t="s">
        <v>8158</v>
      </c>
      <c r="P1650" t="s">
        <v>485</v>
      </c>
      <c r="Q1650" t="s">
        <v>6845</v>
      </c>
      <c r="R1650" t="s">
        <v>6846</v>
      </c>
      <c r="S1650" t="s">
        <v>2885</v>
      </c>
      <c r="T1650" t="s">
        <v>2886</v>
      </c>
    </row>
    <row r="1651" spans="1:20">
      <c r="A1651" s="241">
        <v>44001</v>
      </c>
      <c r="B1651" t="s">
        <v>8159</v>
      </c>
      <c r="C1651" t="s">
        <v>679</v>
      </c>
      <c r="D1651" t="s">
        <v>679</v>
      </c>
      <c r="E1651" t="s">
        <v>646</v>
      </c>
      <c r="F1651" t="s">
        <v>729</v>
      </c>
      <c r="G1651" t="s">
        <v>1590</v>
      </c>
      <c r="H1651" t="s">
        <v>335</v>
      </c>
      <c r="I1651" t="s">
        <v>1518</v>
      </c>
      <c r="J1651" t="s">
        <v>337</v>
      </c>
      <c r="K1651" t="s">
        <v>299</v>
      </c>
      <c r="L1651">
        <v>0.86</v>
      </c>
      <c r="M1651" t="s">
        <v>8160</v>
      </c>
      <c r="N1651" t="s">
        <v>8161</v>
      </c>
      <c r="O1651" t="s">
        <v>8162</v>
      </c>
      <c r="P1651" t="s">
        <v>485</v>
      </c>
      <c r="Q1651" t="s">
        <v>6845</v>
      </c>
      <c r="R1651" t="s">
        <v>6846</v>
      </c>
      <c r="S1651" t="s">
        <v>2885</v>
      </c>
      <c r="T1651" t="s">
        <v>2886</v>
      </c>
    </row>
    <row r="1652" spans="1:20">
      <c r="A1652" s="241">
        <v>44001</v>
      </c>
      <c r="B1652" t="s">
        <v>8163</v>
      </c>
      <c r="C1652" t="s">
        <v>442</v>
      </c>
      <c r="D1652" t="s">
        <v>382</v>
      </c>
      <c r="E1652" t="s">
        <v>1102</v>
      </c>
      <c r="F1652" t="s">
        <v>897</v>
      </c>
      <c r="G1652" t="s">
        <v>2393</v>
      </c>
      <c r="H1652" t="s">
        <v>285</v>
      </c>
      <c r="I1652" t="s">
        <v>664</v>
      </c>
      <c r="J1652" t="s">
        <v>1116</v>
      </c>
      <c r="K1652" t="s">
        <v>256</v>
      </c>
      <c r="L1652">
        <v>0.86</v>
      </c>
      <c r="M1652" t="s">
        <v>8164</v>
      </c>
      <c r="N1652" t="s">
        <v>8165</v>
      </c>
      <c r="O1652" t="s">
        <v>8166</v>
      </c>
      <c r="P1652" t="s">
        <v>485</v>
      </c>
      <c r="Q1652" t="s">
        <v>6845</v>
      </c>
      <c r="R1652" t="s">
        <v>6846</v>
      </c>
      <c r="S1652" t="s">
        <v>2885</v>
      </c>
      <c r="T1652" t="s">
        <v>2886</v>
      </c>
    </row>
    <row r="1653" spans="1:20">
      <c r="A1653" s="241">
        <v>44001</v>
      </c>
      <c r="B1653" t="s">
        <v>8167</v>
      </c>
      <c r="C1653" t="s">
        <v>671</v>
      </c>
      <c r="D1653" t="s">
        <v>631</v>
      </c>
      <c r="E1653" t="s">
        <v>1102</v>
      </c>
      <c r="F1653" t="s">
        <v>672</v>
      </c>
      <c r="G1653" t="s">
        <v>1562</v>
      </c>
      <c r="H1653" t="s">
        <v>1262</v>
      </c>
      <c r="I1653" t="s">
        <v>656</v>
      </c>
      <c r="J1653" t="s">
        <v>358</v>
      </c>
      <c r="K1653" t="s">
        <v>280</v>
      </c>
      <c r="L1653">
        <v>0.86</v>
      </c>
      <c r="M1653" t="s">
        <v>8168</v>
      </c>
      <c r="N1653" t="s">
        <v>8169</v>
      </c>
      <c r="O1653" t="s">
        <v>8170</v>
      </c>
      <c r="P1653" t="s">
        <v>485</v>
      </c>
      <c r="Q1653" t="s">
        <v>6845</v>
      </c>
      <c r="R1653" t="s">
        <v>6846</v>
      </c>
      <c r="S1653" t="s">
        <v>2885</v>
      </c>
      <c r="T1653" t="s">
        <v>2886</v>
      </c>
    </row>
    <row r="1654" spans="1:20">
      <c r="A1654" s="241">
        <v>44001</v>
      </c>
      <c r="B1654" t="s">
        <v>8171</v>
      </c>
      <c r="C1654" t="s">
        <v>645</v>
      </c>
      <c r="D1654" t="s">
        <v>382</v>
      </c>
      <c r="E1654" t="s">
        <v>646</v>
      </c>
      <c r="F1654" t="s">
        <v>2206</v>
      </c>
      <c r="G1654" t="s">
        <v>673</v>
      </c>
      <c r="H1654" t="s">
        <v>1467</v>
      </c>
      <c r="I1654" t="s">
        <v>376</v>
      </c>
      <c r="J1654" t="s">
        <v>899</v>
      </c>
      <c r="K1654" t="s">
        <v>268</v>
      </c>
      <c r="L1654">
        <v>0.86</v>
      </c>
      <c r="M1654" t="s">
        <v>8172</v>
      </c>
      <c r="N1654" t="s">
        <v>8173</v>
      </c>
      <c r="O1654" t="s">
        <v>8174</v>
      </c>
      <c r="P1654" t="s">
        <v>485</v>
      </c>
      <c r="Q1654" t="s">
        <v>6845</v>
      </c>
      <c r="R1654" t="s">
        <v>6846</v>
      </c>
      <c r="S1654" t="s">
        <v>2885</v>
      </c>
      <c r="T1654" t="s">
        <v>2886</v>
      </c>
    </row>
    <row r="1655" spans="1:20">
      <c r="A1655" s="241">
        <v>44001</v>
      </c>
      <c r="B1655" t="s">
        <v>8175</v>
      </c>
      <c r="C1655" t="s">
        <v>1139</v>
      </c>
      <c r="D1655" t="s">
        <v>2535</v>
      </c>
      <c r="E1655" t="s">
        <v>606</v>
      </c>
      <c r="F1655" t="s">
        <v>1127</v>
      </c>
      <c r="G1655" t="s">
        <v>673</v>
      </c>
      <c r="H1655" t="s">
        <v>1552</v>
      </c>
      <c r="I1655" t="s">
        <v>674</v>
      </c>
      <c r="J1655" t="s">
        <v>899</v>
      </c>
      <c r="K1655" t="s">
        <v>299</v>
      </c>
      <c r="L1655">
        <v>0.86</v>
      </c>
      <c r="M1655" t="s">
        <v>8176</v>
      </c>
      <c r="N1655" t="s">
        <v>8177</v>
      </c>
      <c r="O1655" t="s">
        <v>8178</v>
      </c>
      <c r="P1655" t="s">
        <v>485</v>
      </c>
      <c r="Q1655" t="s">
        <v>6845</v>
      </c>
      <c r="R1655" t="s">
        <v>6846</v>
      </c>
      <c r="S1655" t="s">
        <v>2885</v>
      </c>
      <c r="T1655" t="s">
        <v>2886</v>
      </c>
    </row>
    <row r="1656" spans="1:20">
      <c r="A1656" s="241">
        <v>44001</v>
      </c>
      <c r="B1656" t="s">
        <v>8179</v>
      </c>
      <c r="C1656" t="s">
        <v>671</v>
      </c>
      <c r="D1656" t="s">
        <v>443</v>
      </c>
      <c r="E1656" t="s">
        <v>1314</v>
      </c>
      <c r="F1656" t="s">
        <v>393</v>
      </c>
      <c r="G1656" t="s">
        <v>1297</v>
      </c>
      <c r="H1656" t="s">
        <v>682</v>
      </c>
      <c r="I1656" t="s">
        <v>911</v>
      </c>
      <c r="J1656" t="s">
        <v>1298</v>
      </c>
      <c r="K1656" t="s">
        <v>338</v>
      </c>
      <c r="L1656">
        <v>0.86</v>
      </c>
      <c r="M1656" t="s">
        <v>8180</v>
      </c>
      <c r="N1656" t="s">
        <v>8181</v>
      </c>
      <c r="O1656" t="s">
        <v>8182</v>
      </c>
      <c r="P1656" t="s">
        <v>485</v>
      </c>
      <c r="Q1656" t="s">
        <v>6845</v>
      </c>
      <c r="R1656" t="s">
        <v>6846</v>
      </c>
      <c r="S1656" t="s">
        <v>2885</v>
      </c>
      <c r="T1656" t="s">
        <v>2886</v>
      </c>
    </row>
    <row r="1657" spans="1:20">
      <c r="A1657" s="241">
        <v>44001</v>
      </c>
      <c r="B1657" t="s">
        <v>8183</v>
      </c>
      <c r="C1657" t="s">
        <v>392</v>
      </c>
      <c r="D1657" t="s">
        <v>2535</v>
      </c>
      <c r="E1657" t="s">
        <v>1049</v>
      </c>
      <c r="F1657" t="s">
        <v>433</v>
      </c>
      <c r="G1657" t="s">
        <v>404</v>
      </c>
      <c r="H1657" t="s">
        <v>426</v>
      </c>
      <c r="I1657" t="s">
        <v>690</v>
      </c>
      <c r="J1657" t="s">
        <v>1298</v>
      </c>
      <c r="K1657" t="s">
        <v>268</v>
      </c>
      <c r="L1657">
        <v>0.86</v>
      </c>
      <c r="M1657" t="s">
        <v>8184</v>
      </c>
      <c r="N1657" t="s">
        <v>8185</v>
      </c>
      <c r="O1657" t="s">
        <v>8186</v>
      </c>
      <c r="P1657" t="s">
        <v>485</v>
      </c>
      <c r="Q1657" t="s">
        <v>6845</v>
      </c>
      <c r="R1657" t="s">
        <v>6846</v>
      </c>
      <c r="S1657" t="s">
        <v>2885</v>
      </c>
      <c r="T1657" t="s">
        <v>2886</v>
      </c>
    </row>
    <row r="1658" spans="1:20">
      <c r="A1658" s="241">
        <v>44001</v>
      </c>
      <c r="B1658" t="s">
        <v>8187</v>
      </c>
      <c r="C1658" t="s">
        <v>1079</v>
      </c>
      <c r="D1658" t="s">
        <v>2535</v>
      </c>
      <c r="E1658" t="s">
        <v>2893</v>
      </c>
      <c r="F1658" t="s">
        <v>937</v>
      </c>
      <c r="G1658" t="s">
        <v>918</v>
      </c>
      <c r="H1658" t="s">
        <v>1147</v>
      </c>
      <c r="I1658" t="s">
        <v>690</v>
      </c>
      <c r="J1658" t="s">
        <v>1569</v>
      </c>
      <c r="K1658" t="s">
        <v>338</v>
      </c>
      <c r="L1658">
        <v>0.86</v>
      </c>
      <c r="M1658" t="s">
        <v>8188</v>
      </c>
      <c r="N1658" t="s">
        <v>8189</v>
      </c>
      <c r="O1658" t="s">
        <v>8190</v>
      </c>
      <c r="P1658" t="s">
        <v>485</v>
      </c>
      <c r="Q1658" t="s">
        <v>6845</v>
      </c>
      <c r="R1658" t="s">
        <v>6846</v>
      </c>
      <c r="S1658" t="s">
        <v>2885</v>
      </c>
      <c r="T1658" t="s">
        <v>2886</v>
      </c>
    </row>
    <row r="1659" spans="1:20">
      <c r="A1659" s="241">
        <v>44001</v>
      </c>
      <c r="B1659" t="s">
        <v>8191</v>
      </c>
      <c r="C1659" t="s">
        <v>631</v>
      </c>
      <c r="D1659" t="s">
        <v>392</v>
      </c>
      <c r="E1659" t="s">
        <v>2731</v>
      </c>
      <c r="F1659" t="s">
        <v>1604</v>
      </c>
      <c r="G1659" t="s">
        <v>425</v>
      </c>
      <c r="H1659" t="s">
        <v>639</v>
      </c>
      <c r="I1659" t="s">
        <v>1923</v>
      </c>
      <c r="J1659" t="s">
        <v>699</v>
      </c>
      <c r="K1659" t="s">
        <v>268</v>
      </c>
      <c r="L1659">
        <v>0.86</v>
      </c>
      <c r="M1659" t="s">
        <v>8192</v>
      </c>
      <c r="N1659" t="s">
        <v>8193</v>
      </c>
      <c r="O1659" t="s">
        <v>8194</v>
      </c>
      <c r="P1659" t="s">
        <v>485</v>
      </c>
      <c r="Q1659" t="s">
        <v>6845</v>
      </c>
      <c r="R1659" t="s">
        <v>6846</v>
      </c>
      <c r="S1659" t="s">
        <v>2885</v>
      </c>
      <c r="T1659" t="s">
        <v>2886</v>
      </c>
    </row>
    <row r="1660" spans="1:20">
      <c r="A1660" s="241">
        <v>44001</v>
      </c>
      <c r="B1660" t="s">
        <v>8195</v>
      </c>
      <c r="C1660" t="s">
        <v>208</v>
      </c>
      <c r="D1660" t="s">
        <v>712</v>
      </c>
      <c r="E1660" t="s">
        <v>2893</v>
      </c>
      <c r="F1660" t="s">
        <v>937</v>
      </c>
      <c r="G1660" t="s">
        <v>728</v>
      </c>
      <c r="H1660" t="s">
        <v>1620</v>
      </c>
      <c r="I1660" t="s">
        <v>416</v>
      </c>
      <c r="J1660" t="s">
        <v>1304</v>
      </c>
      <c r="K1660" t="s">
        <v>349</v>
      </c>
      <c r="L1660">
        <v>0.86</v>
      </c>
      <c r="M1660" t="s">
        <v>8196</v>
      </c>
      <c r="N1660" t="s">
        <v>8197</v>
      </c>
      <c r="O1660" t="s">
        <v>8198</v>
      </c>
      <c r="P1660" t="s">
        <v>485</v>
      </c>
      <c r="Q1660" t="s">
        <v>6845</v>
      </c>
      <c r="R1660" t="s">
        <v>6846</v>
      </c>
      <c r="S1660" t="s">
        <v>2885</v>
      </c>
      <c r="T1660" t="s">
        <v>2886</v>
      </c>
    </row>
    <row r="1661" spans="1:20">
      <c r="A1661" s="241">
        <v>44001</v>
      </c>
      <c r="B1661" t="s">
        <v>8199</v>
      </c>
      <c r="C1661" t="s">
        <v>2549</v>
      </c>
      <c r="D1661" t="s">
        <v>631</v>
      </c>
      <c r="E1661" t="s">
        <v>1049</v>
      </c>
      <c r="F1661" t="s">
        <v>727</v>
      </c>
      <c r="G1661" t="s">
        <v>946</v>
      </c>
      <c r="H1661" t="s">
        <v>647</v>
      </c>
      <c r="I1661" t="s">
        <v>1158</v>
      </c>
      <c r="J1661" t="s">
        <v>1309</v>
      </c>
      <c r="K1661" t="s">
        <v>651</v>
      </c>
      <c r="L1661">
        <v>0.86</v>
      </c>
      <c r="M1661" t="s">
        <v>8200</v>
      </c>
      <c r="N1661" t="s">
        <v>8201</v>
      </c>
      <c r="O1661" t="s">
        <v>8202</v>
      </c>
      <c r="P1661" t="s">
        <v>485</v>
      </c>
      <c r="Q1661" t="s">
        <v>6845</v>
      </c>
      <c r="R1661" t="s">
        <v>6846</v>
      </c>
      <c r="S1661" t="s">
        <v>2885</v>
      </c>
      <c r="T1661" t="s">
        <v>2886</v>
      </c>
    </row>
    <row r="1662" spans="1:20">
      <c r="A1662" s="241">
        <v>44001</v>
      </c>
      <c r="B1662" t="s">
        <v>8203</v>
      </c>
      <c r="C1662" t="s">
        <v>625</v>
      </c>
      <c r="D1662" t="s">
        <v>250</v>
      </c>
      <c r="E1662" t="s">
        <v>1049</v>
      </c>
      <c r="F1662" t="s">
        <v>945</v>
      </c>
      <c r="G1662" t="s">
        <v>946</v>
      </c>
      <c r="H1662" t="s">
        <v>1561</v>
      </c>
      <c r="I1662" t="s">
        <v>721</v>
      </c>
      <c r="J1662" t="s">
        <v>954</v>
      </c>
      <c r="K1662" t="s">
        <v>666</v>
      </c>
      <c r="L1662">
        <v>0.86</v>
      </c>
      <c r="M1662" t="s">
        <v>8204</v>
      </c>
      <c r="N1662" t="s">
        <v>8205</v>
      </c>
      <c r="O1662" t="s">
        <v>8206</v>
      </c>
      <c r="P1662" t="s">
        <v>485</v>
      </c>
      <c r="Q1662" t="s">
        <v>6845</v>
      </c>
      <c r="R1662" t="s">
        <v>6846</v>
      </c>
      <c r="S1662" t="s">
        <v>2885</v>
      </c>
      <c r="T1662" t="s">
        <v>2886</v>
      </c>
    </row>
    <row r="1663" spans="1:20">
      <c r="A1663" s="241">
        <v>44001</v>
      </c>
      <c r="B1663" t="s">
        <v>8207</v>
      </c>
      <c r="C1663" t="s">
        <v>712</v>
      </c>
      <c r="D1663" t="s">
        <v>2549</v>
      </c>
      <c r="E1663" t="s">
        <v>1049</v>
      </c>
      <c r="F1663" t="s">
        <v>3086</v>
      </c>
      <c r="G1663" t="s">
        <v>1146</v>
      </c>
      <c r="H1663" t="s">
        <v>729</v>
      </c>
      <c r="I1663" t="s">
        <v>446</v>
      </c>
      <c r="J1663" t="s">
        <v>437</v>
      </c>
      <c r="K1663" t="s">
        <v>666</v>
      </c>
      <c r="L1663">
        <v>0.86</v>
      </c>
      <c r="M1663" t="s">
        <v>8208</v>
      </c>
      <c r="N1663" t="s">
        <v>8209</v>
      </c>
      <c r="O1663" t="s">
        <v>8210</v>
      </c>
      <c r="P1663" t="s">
        <v>485</v>
      </c>
      <c r="Q1663" t="s">
        <v>6845</v>
      </c>
      <c r="R1663" t="s">
        <v>6846</v>
      </c>
      <c r="S1663" t="s">
        <v>2885</v>
      </c>
      <c r="T1663" t="s">
        <v>2886</v>
      </c>
    </row>
    <row r="1664" spans="1:20">
      <c r="A1664" s="241">
        <v>44001</v>
      </c>
      <c r="B1664" t="s">
        <v>8211</v>
      </c>
      <c r="C1664" t="s">
        <v>645</v>
      </c>
      <c r="D1664" t="s">
        <v>224</v>
      </c>
      <c r="E1664" t="s">
        <v>402</v>
      </c>
      <c r="F1664" t="s">
        <v>3414</v>
      </c>
      <c r="G1664" t="s">
        <v>453</v>
      </c>
      <c r="H1664" t="s">
        <v>5788</v>
      </c>
      <c r="I1664" t="s">
        <v>8212</v>
      </c>
      <c r="J1664" t="s">
        <v>8213</v>
      </c>
      <c r="K1664" t="s">
        <v>2657</v>
      </c>
      <c r="L1664">
        <v>0.87</v>
      </c>
      <c r="M1664" t="s">
        <v>8214</v>
      </c>
      <c r="N1664" t="s">
        <v>8215</v>
      </c>
      <c r="O1664" t="s">
        <v>8216</v>
      </c>
      <c r="P1664" t="s">
        <v>485</v>
      </c>
      <c r="Q1664" t="s">
        <v>6845</v>
      </c>
      <c r="R1664" t="s">
        <v>6846</v>
      </c>
      <c r="S1664" t="s">
        <v>2885</v>
      </c>
      <c r="T1664" t="s">
        <v>2886</v>
      </c>
    </row>
    <row r="1665" spans="1:20">
      <c r="A1665" s="241">
        <v>44001</v>
      </c>
      <c r="B1665" t="s">
        <v>8217</v>
      </c>
      <c r="C1665" t="s">
        <v>2431</v>
      </c>
      <c r="D1665" t="s">
        <v>2431</v>
      </c>
      <c r="E1665" t="s">
        <v>223</v>
      </c>
      <c r="F1665" t="s">
        <v>7565</v>
      </c>
      <c r="G1665" t="s">
        <v>4619</v>
      </c>
      <c r="H1665" t="s">
        <v>2638</v>
      </c>
      <c r="I1665" t="s">
        <v>6111</v>
      </c>
      <c r="J1665" t="s">
        <v>974</v>
      </c>
      <c r="K1665" t="s">
        <v>7269</v>
      </c>
      <c r="L1665">
        <v>0.89</v>
      </c>
      <c r="M1665" t="s">
        <v>8218</v>
      </c>
      <c r="N1665" t="s">
        <v>8219</v>
      </c>
      <c r="O1665" t="s">
        <v>8220</v>
      </c>
      <c r="P1665" t="s">
        <v>485</v>
      </c>
      <c r="Q1665" t="s">
        <v>6845</v>
      </c>
      <c r="R1665" t="s">
        <v>6846</v>
      </c>
      <c r="S1665" t="s">
        <v>2885</v>
      </c>
      <c r="T1665" t="s">
        <v>2886</v>
      </c>
    </row>
    <row r="1666" spans="1:20">
      <c r="A1666" s="241">
        <v>44001</v>
      </c>
      <c r="B1666" t="s">
        <v>8221</v>
      </c>
      <c r="C1666" t="s">
        <v>1348</v>
      </c>
      <c r="D1666" t="s">
        <v>2448</v>
      </c>
      <c r="E1666" t="s">
        <v>1196</v>
      </c>
      <c r="F1666" t="s">
        <v>3688</v>
      </c>
      <c r="G1666" t="s">
        <v>477</v>
      </c>
      <c r="H1666" t="s">
        <v>8222</v>
      </c>
      <c r="I1666" t="s">
        <v>3970</v>
      </c>
      <c r="J1666" t="s">
        <v>6233</v>
      </c>
      <c r="K1666" t="s">
        <v>761</v>
      </c>
      <c r="L1666">
        <v>0.89</v>
      </c>
      <c r="M1666" t="s">
        <v>8223</v>
      </c>
      <c r="N1666" t="s">
        <v>8224</v>
      </c>
      <c r="O1666" t="s">
        <v>8225</v>
      </c>
      <c r="P1666" t="s">
        <v>485</v>
      </c>
      <c r="Q1666" t="s">
        <v>6845</v>
      </c>
      <c r="R1666" t="s">
        <v>6846</v>
      </c>
      <c r="S1666" t="s">
        <v>2885</v>
      </c>
      <c r="T1666" t="s">
        <v>2886</v>
      </c>
    </row>
    <row r="1667" spans="1:20">
      <c r="A1667" s="241">
        <v>44001</v>
      </c>
      <c r="B1667" t="s">
        <v>8226</v>
      </c>
      <c r="C1667" t="s">
        <v>1357</v>
      </c>
      <c r="D1667" t="s">
        <v>463</v>
      </c>
      <c r="E1667" t="s">
        <v>223</v>
      </c>
      <c r="F1667" t="s">
        <v>1667</v>
      </c>
      <c r="G1667" t="s">
        <v>1656</v>
      </c>
      <c r="H1667" t="s">
        <v>768</v>
      </c>
      <c r="I1667" t="s">
        <v>1658</v>
      </c>
      <c r="J1667" t="s">
        <v>8227</v>
      </c>
      <c r="K1667" t="s">
        <v>771</v>
      </c>
      <c r="L1667">
        <v>0.89</v>
      </c>
      <c r="M1667" t="s">
        <v>8228</v>
      </c>
      <c r="N1667" t="s">
        <v>8229</v>
      </c>
      <c r="O1667" t="s">
        <v>8230</v>
      </c>
      <c r="P1667" t="s">
        <v>485</v>
      </c>
      <c r="Q1667" t="s">
        <v>6845</v>
      </c>
      <c r="R1667" t="s">
        <v>6846</v>
      </c>
      <c r="S1667" t="s">
        <v>2885</v>
      </c>
      <c r="T1667" t="s">
        <v>2886</v>
      </c>
    </row>
    <row r="1668" spans="1:20">
      <c r="A1668" s="241">
        <v>44001</v>
      </c>
      <c r="B1668" t="s">
        <v>8231</v>
      </c>
      <c r="C1668" t="s">
        <v>261</v>
      </c>
      <c r="D1668" t="s">
        <v>442</v>
      </c>
      <c r="E1668" t="s">
        <v>1102</v>
      </c>
      <c r="F1668" t="s">
        <v>8232</v>
      </c>
      <c r="G1668" t="s">
        <v>8233</v>
      </c>
      <c r="H1668" t="s">
        <v>778</v>
      </c>
      <c r="I1668" t="s">
        <v>8234</v>
      </c>
      <c r="J1668" t="s">
        <v>8235</v>
      </c>
      <c r="K1668" t="s">
        <v>3162</v>
      </c>
      <c r="L1668">
        <v>0.87</v>
      </c>
      <c r="M1668" t="s">
        <v>8236</v>
      </c>
      <c r="N1668" t="s">
        <v>8237</v>
      </c>
      <c r="O1668" t="s">
        <v>8238</v>
      </c>
      <c r="P1668" t="s">
        <v>485</v>
      </c>
      <c r="Q1668" t="s">
        <v>6845</v>
      </c>
      <c r="R1668" t="s">
        <v>6846</v>
      </c>
      <c r="S1668" t="s">
        <v>2885</v>
      </c>
      <c r="T1668" t="s">
        <v>2886</v>
      </c>
    </row>
    <row r="1669" spans="1:20">
      <c r="A1669" s="241">
        <v>44001</v>
      </c>
      <c r="B1669" t="s">
        <v>8239</v>
      </c>
      <c r="C1669" t="s">
        <v>442</v>
      </c>
      <c r="D1669" t="s">
        <v>294</v>
      </c>
      <c r="E1669" t="s">
        <v>812</v>
      </c>
      <c r="F1669" t="s">
        <v>307</v>
      </c>
      <c r="G1669" t="s">
        <v>2023</v>
      </c>
      <c r="H1669" t="s">
        <v>1009</v>
      </c>
      <c r="I1669" t="s">
        <v>1698</v>
      </c>
      <c r="J1669" t="s">
        <v>1699</v>
      </c>
      <c r="K1669" t="s">
        <v>1399</v>
      </c>
      <c r="L1669">
        <v>0.87</v>
      </c>
      <c r="M1669" t="s">
        <v>8240</v>
      </c>
      <c r="N1669" t="s">
        <v>8241</v>
      </c>
      <c r="O1669" t="s">
        <v>8242</v>
      </c>
      <c r="P1669" t="s">
        <v>485</v>
      </c>
      <c r="Q1669" t="s">
        <v>6845</v>
      </c>
      <c r="R1669" t="s">
        <v>6846</v>
      </c>
      <c r="S1669" t="s">
        <v>2885</v>
      </c>
      <c r="T1669" t="s">
        <v>2886</v>
      </c>
    </row>
    <row r="1670" spans="1:20">
      <c r="A1670" s="241">
        <v>44001</v>
      </c>
      <c r="B1670" t="s">
        <v>8243</v>
      </c>
      <c r="C1670" t="s">
        <v>294</v>
      </c>
      <c r="D1670" t="s">
        <v>712</v>
      </c>
      <c r="E1670" t="s">
        <v>304</v>
      </c>
      <c r="F1670" t="s">
        <v>585</v>
      </c>
      <c r="G1670" t="s">
        <v>2080</v>
      </c>
      <c r="H1670" t="s">
        <v>787</v>
      </c>
      <c r="I1670" t="s">
        <v>1226</v>
      </c>
      <c r="J1670" t="s">
        <v>2473</v>
      </c>
      <c r="K1670" t="s">
        <v>1399</v>
      </c>
      <c r="L1670">
        <v>0.86</v>
      </c>
      <c r="M1670" t="s">
        <v>8244</v>
      </c>
      <c r="N1670" t="s">
        <v>8245</v>
      </c>
      <c r="O1670" t="s">
        <v>8246</v>
      </c>
      <c r="P1670" t="s">
        <v>485</v>
      </c>
      <c r="Q1670" t="s">
        <v>6845</v>
      </c>
      <c r="R1670" t="s">
        <v>6846</v>
      </c>
      <c r="S1670" t="s">
        <v>2885</v>
      </c>
      <c r="T1670" t="s">
        <v>2886</v>
      </c>
    </row>
    <row r="1671" spans="1:20">
      <c r="A1671" s="241">
        <v>44001</v>
      </c>
      <c r="B1671" t="s">
        <v>8247</v>
      </c>
      <c r="C1671" t="s">
        <v>294</v>
      </c>
      <c r="D1671" t="s">
        <v>294</v>
      </c>
      <c r="E1671" t="s">
        <v>680</v>
      </c>
      <c r="F1671" t="s">
        <v>1231</v>
      </c>
      <c r="G1671" t="s">
        <v>2291</v>
      </c>
      <c r="H1671" t="s">
        <v>549</v>
      </c>
      <c r="I1671" t="s">
        <v>532</v>
      </c>
      <c r="J1671" t="s">
        <v>1233</v>
      </c>
      <c r="K1671" t="s">
        <v>1234</v>
      </c>
      <c r="L1671">
        <v>0.86</v>
      </c>
      <c r="M1671" t="s">
        <v>8248</v>
      </c>
      <c r="N1671" t="s">
        <v>8249</v>
      </c>
      <c r="O1671" t="s">
        <v>8250</v>
      </c>
      <c r="P1671" t="s">
        <v>485</v>
      </c>
      <c r="Q1671" t="s">
        <v>6845</v>
      </c>
      <c r="R1671" t="s">
        <v>6846</v>
      </c>
      <c r="S1671" t="s">
        <v>2885</v>
      </c>
      <c r="T1671" t="s">
        <v>2886</v>
      </c>
    </row>
    <row r="1672" spans="1:20">
      <c r="A1672" s="241">
        <v>44001</v>
      </c>
      <c r="B1672" t="s">
        <v>8251</v>
      </c>
      <c r="C1672" t="s">
        <v>423</v>
      </c>
      <c r="D1672" t="s">
        <v>614</v>
      </c>
      <c r="E1672" t="s">
        <v>680</v>
      </c>
      <c r="F1672" t="s">
        <v>881</v>
      </c>
      <c r="G1672" t="s">
        <v>1411</v>
      </c>
      <c r="H1672" t="s">
        <v>2305</v>
      </c>
      <c r="I1672" t="s">
        <v>1427</v>
      </c>
      <c r="J1672" t="s">
        <v>551</v>
      </c>
      <c r="K1672" t="s">
        <v>1032</v>
      </c>
      <c r="L1672">
        <v>0.86</v>
      </c>
      <c r="M1672" t="s">
        <v>8252</v>
      </c>
      <c r="N1672" t="s">
        <v>8253</v>
      </c>
      <c r="O1672" t="s">
        <v>8254</v>
      </c>
      <c r="P1672" t="s">
        <v>485</v>
      </c>
      <c r="Q1672" t="s">
        <v>6845</v>
      </c>
      <c r="R1672" t="s">
        <v>6846</v>
      </c>
      <c r="S1672" t="s">
        <v>2885</v>
      </c>
      <c r="T1672" t="s">
        <v>2886</v>
      </c>
    </row>
    <row r="1673" spans="1:20">
      <c r="A1673" s="241">
        <v>44001</v>
      </c>
      <c r="B1673" t="s">
        <v>8255</v>
      </c>
      <c r="C1673" t="s">
        <v>625</v>
      </c>
      <c r="D1673" t="s">
        <v>294</v>
      </c>
      <c r="E1673" t="s">
        <v>597</v>
      </c>
      <c r="F1673" t="s">
        <v>822</v>
      </c>
      <c r="G1673" t="s">
        <v>1433</v>
      </c>
      <c r="H1673" t="s">
        <v>1746</v>
      </c>
      <c r="I1673" t="s">
        <v>1747</v>
      </c>
      <c r="J1673" t="s">
        <v>817</v>
      </c>
      <c r="K1673" t="s">
        <v>1032</v>
      </c>
      <c r="L1673">
        <v>0.86</v>
      </c>
      <c r="M1673" t="s">
        <v>8256</v>
      </c>
      <c r="N1673" t="s">
        <v>8257</v>
      </c>
      <c r="O1673" t="s">
        <v>8258</v>
      </c>
      <c r="P1673" t="s">
        <v>485</v>
      </c>
      <c r="Q1673" t="s">
        <v>6845</v>
      </c>
      <c r="R1673" t="s">
        <v>6846</v>
      </c>
      <c r="S1673" t="s">
        <v>2885</v>
      </c>
      <c r="T1673" t="s">
        <v>2886</v>
      </c>
    </row>
    <row r="1674" spans="1:20">
      <c r="A1674" s="241">
        <v>44001</v>
      </c>
      <c r="B1674" t="s">
        <v>8259</v>
      </c>
      <c r="C1674" t="s">
        <v>712</v>
      </c>
      <c r="D1674" t="s">
        <v>294</v>
      </c>
      <c r="E1674" t="s">
        <v>238</v>
      </c>
      <c r="F1674" t="s">
        <v>239</v>
      </c>
      <c r="G1674" t="s">
        <v>814</v>
      </c>
      <c r="H1674" t="s">
        <v>1051</v>
      </c>
      <c r="I1674" t="s">
        <v>806</v>
      </c>
      <c r="J1674" t="s">
        <v>807</v>
      </c>
      <c r="K1674" t="s">
        <v>1032</v>
      </c>
      <c r="L1674">
        <v>0.86</v>
      </c>
      <c r="M1674" t="s">
        <v>8260</v>
      </c>
      <c r="N1674" t="s">
        <v>8261</v>
      </c>
      <c r="O1674" t="s">
        <v>8262</v>
      </c>
      <c r="P1674" t="s">
        <v>485</v>
      </c>
      <c r="Q1674" t="s">
        <v>6845</v>
      </c>
      <c r="R1674" t="s">
        <v>6846</v>
      </c>
      <c r="S1674" t="s">
        <v>2885</v>
      </c>
      <c r="T1674" t="s">
        <v>2886</v>
      </c>
    </row>
    <row r="1675" spans="1:20">
      <c r="A1675" s="241">
        <v>44001</v>
      </c>
      <c r="B1675" t="s">
        <v>8263</v>
      </c>
      <c r="C1675" t="s">
        <v>614</v>
      </c>
      <c r="D1675" t="s">
        <v>442</v>
      </c>
      <c r="E1675" t="s">
        <v>1121</v>
      </c>
      <c r="F1675" t="s">
        <v>1452</v>
      </c>
      <c r="G1675" t="s">
        <v>558</v>
      </c>
      <c r="H1675" t="s">
        <v>228</v>
      </c>
      <c r="I1675" t="s">
        <v>824</v>
      </c>
      <c r="J1675" t="s">
        <v>243</v>
      </c>
      <c r="K1675" t="s">
        <v>515</v>
      </c>
      <c r="L1675">
        <v>0.86</v>
      </c>
      <c r="M1675" t="s">
        <v>8264</v>
      </c>
      <c r="N1675" t="s">
        <v>8265</v>
      </c>
      <c r="O1675" t="s">
        <v>8266</v>
      </c>
      <c r="P1675" t="s">
        <v>485</v>
      </c>
      <c r="Q1675" t="s">
        <v>6845</v>
      </c>
      <c r="R1675" t="s">
        <v>6846</v>
      </c>
      <c r="S1675" t="s">
        <v>2885</v>
      </c>
      <c r="T1675" t="s">
        <v>2886</v>
      </c>
    </row>
    <row r="1676" spans="1:20">
      <c r="A1676" s="241">
        <v>44001</v>
      </c>
      <c r="B1676" t="s">
        <v>8267</v>
      </c>
      <c r="C1676" t="s">
        <v>645</v>
      </c>
      <c r="D1676" t="s">
        <v>712</v>
      </c>
      <c r="E1676" t="s">
        <v>812</v>
      </c>
      <c r="F1676" t="s">
        <v>1452</v>
      </c>
      <c r="G1676" t="s">
        <v>227</v>
      </c>
      <c r="H1676" t="s">
        <v>228</v>
      </c>
      <c r="I1676" t="s">
        <v>229</v>
      </c>
      <c r="J1676" t="s">
        <v>243</v>
      </c>
      <c r="K1676" t="s">
        <v>1032</v>
      </c>
      <c r="L1676">
        <v>0.86</v>
      </c>
      <c r="M1676" t="s">
        <v>8268</v>
      </c>
      <c r="N1676" t="s">
        <v>8269</v>
      </c>
      <c r="O1676" t="s">
        <v>8270</v>
      </c>
      <c r="P1676" t="s">
        <v>485</v>
      </c>
      <c r="Q1676" t="s">
        <v>6845</v>
      </c>
      <c r="R1676" t="s">
        <v>6846</v>
      </c>
      <c r="S1676" t="s">
        <v>2885</v>
      </c>
      <c r="T1676" t="s">
        <v>2886</v>
      </c>
    </row>
    <row r="1677" spans="1:20">
      <c r="A1677" s="241">
        <v>44001</v>
      </c>
      <c r="B1677" t="s">
        <v>8271</v>
      </c>
      <c r="C1677" t="s">
        <v>614</v>
      </c>
      <c r="D1677" t="s">
        <v>625</v>
      </c>
      <c r="E1677" t="s">
        <v>646</v>
      </c>
      <c r="F1677" t="s">
        <v>1756</v>
      </c>
      <c r="G1677" t="s">
        <v>227</v>
      </c>
      <c r="H1677" t="s">
        <v>1017</v>
      </c>
      <c r="I1677" t="s">
        <v>569</v>
      </c>
      <c r="J1677" t="s">
        <v>825</v>
      </c>
      <c r="K1677" t="s">
        <v>515</v>
      </c>
      <c r="L1677">
        <v>0.86</v>
      </c>
      <c r="M1677" t="s">
        <v>8272</v>
      </c>
      <c r="N1677" t="s">
        <v>8273</v>
      </c>
      <c r="O1677" t="s">
        <v>8274</v>
      </c>
      <c r="P1677" t="s">
        <v>485</v>
      </c>
      <c r="Q1677" t="s">
        <v>6845</v>
      </c>
      <c r="R1677" t="s">
        <v>6846</v>
      </c>
      <c r="S1677" t="s">
        <v>2885</v>
      </c>
      <c r="T1677" t="s">
        <v>2886</v>
      </c>
    </row>
    <row r="1678" spans="1:20">
      <c r="A1678" s="241">
        <v>44001</v>
      </c>
      <c r="B1678" t="s">
        <v>8275</v>
      </c>
      <c r="C1678" t="s">
        <v>294</v>
      </c>
      <c r="D1678" t="s">
        <v>294</v>
      </c>
      <c r="E1678" t="s">
        <v>1121</v>
      </c>
      <c r="F1678" t="s">
        <v>598</v>
      </c>
      <c r="G1678" t="s">
        <v>1447</v>
      </c>
      <c r="H1678" t="s">
        <v>1057</v>
      </c>
      <c r="I1678" t="s">
        <v>278</v>
      </c>
      <c r="J1678" t="s">
        <v>1786</v>
      </c>
      <c r="K1678" t="s">
        <v>571</v>
      </c>
      <c r="L1678">
        <v>0.86</v>
      </c>
      <c r="M1678" t="s">
        <v>8276</v>
      </c>
      <c r="N1678" t="s">
        <v>8277</v>
      </c>
      <c r="O1678" t="s">
        <v>8278</v>
      </c>
      <c r="P1678" t="s">
        <v>485</v>
      </c>
      <c r="Q1678" t="s">
        <v>6845</v>
      </c>
      <c r="R1678" t="s">
        <v>6846</v>
      </c>
      <c r="S1678" t="s">
        <v>2885</v>
      </c>
      <c r="T1678" t="s">
        <v>2886</v>
      </c>
    </row>
    <row r="1679" spans="1:20">
      <c r="A1679" s="241">
        <v>44001</v>
      </c>
      <c r="B1679" t="s">
        <v>8279</v>
      </c>
      <c r="C1679" t="s">
        <v>423</v>
      </c>
      <c r="D1679" t="s">
        <v>645</v>
      </c>
      <c r="E1679" t="s">
        <v>680</v>
      </c>
      <c r="F1679" t="s">
        <v>385</v>
      </c>
      <c r="G1679" t="s">
        <v>296</v>
      </c>
      <c r="H1679" t="s">
        <v>1057</v>
      </c>
      <c r="I1679" t="s">
        <v>1062</v>
      </c>
      <c r="J1679" t="s">
        <v>1063</v>
      </c>
      <c r="K1679" t="s">
        <v>571</v>
      </c>
      <c r="L1679">
        <v>0.86</v>
      </c>
      <c r="M1679" t="s">
        <v>8280</v>
      </c>
      <c r="N1679" t="s">
        <v>8281</v>
      </c>
      <c r="O1679" t="s">
        <v>8282</v>
      </c>
      <c r="P1679" t="s">
        <v>485</v>
      </c>
      <c r="Q1679" t="s">
        <v>6845</v>
      </c>
      <c r="R1679" t="s">
        <v>6846</v>
      </c>
      <c r="S1679" t="s">
        <v>2885</v>
      </c>
      <c r="T1679" t="s">
        <v>2886</v>
      </c>
    </row>
    <row r="1680" spans="1:20">
      <c r="A1680" s="241">
        <v>44001</v>
      </c>
      <c r="B1680" t="s">
        <v>8283</v>
      </c>
      <c r="C1680" t="s">
        <v>631</v>
      </c>
      <c r="D1680" t="s">
        <v>614</v>
      </c>
      <c r="E1680" t="s">
        <v>812</v>
      </c>
      <c r="F1680" t="s">
        <v>285</v>
      </c>
      <c r="G1680" t="s">
        <v>1269</v>
      </c>
      <c r="H1680" t="s">
        <v>307</v>
      </c>
      <c r="I1680" t="s">
        <v>1468</v>
      </c>
      <c r="J1680" t="s">
        <v>1070</v>
      </c>
      <c r="K1680" t="s">
        <v>244</v>
      </c>
      <c r="L1680">
        <v>0.86</v>
      </c>
      <c r="M1680" t="s">
        <v>8284</v>
      </c>
      <c r="N1680" t="s">
        <v>8285</v>
      </c>
      <c r="O1680" t="s">
        <v>8286</v>
      </c>
      <c r="P1680" t="s">
        <v>485</v>
      </c>
      <c r="Q1680" t="s">
        <v>6845</v>
      </c>
      <c r="R1680" t="s">
        <v>6846</v>
      </c>
      <c r="S1680" t="s">
        <v>2885</v>
      </c>
      <c r="T1680" t="s">
        <v>2886</v>
      </c>
    </row>
    <row r="1681" spans="1:20">
      <c r="A1681" s="241">
        <v>44001</v>
      </c>
      <c r="B1681" t="s">
        <v>8287</v>
      </c>
      <c r="C1681" t="s">
        <v>645</v>
      </c>
      <c r="D1681" t="s">
        <v>645</v>
      </c>
      <c r="E1681" t="s">
        <v>597</v>
      </c>
      <c r="F1681" t="s">
        <v>305</v>
      </c>
      <c r="G1681" t="s">
        <v>836</v>
      </c>
      <c r="H1681" t="s">
        <v>307</v>
      </c>
      <c r="I1681" t="s">
        <v>849</v>
      </c>
      <c r="J1681" t="s">
        <v>289</v>
      </c>
      <c r="K1681" t="s">
        <v>231</v>
      </c>
      <c r="L1681">
        <v>0.86</v>
      </c>
      <c r="M1681" t="s">
        <v>8288</v>
      </c>
      <c r="N1681" t="s">
        <v>8289</v>
      </c>
      <c r="O1681" t="s">
        <v>8290</v>
      </c>
      <c r="P1681" t="s">
        <v>485</v>
      </c>
      <c r="Q1681" t="s">
        <v>6845</v>
      </c>
      <c r="R1681" t="s">
        <v>6846</v>
      </c>
      <c r="S1681" t="s">
        <v>2885</v>
      </c>
      <c r="T1681" t="s">
        <v>2886</v>
      </c>
    </row>
    <row r="1682" spans="1:20">
      <c r="A1682" s="241">
        <v>44001</v>
      </c>
      <c r="B1682" t="s">
        <v>8291</v>
      </c>
      <c r="C1682" t="s">
        <v>615</v>
      </c>
      <c r="D1682" t="s">
        <v>671</v>
      </c>
      <c r="E1682" t="s">
        <v>1049</v>
      </c>
      <c r="F1682" t="s">
        <v>305</v>
      </c>
      <c r="G1682" t="s">
        <v>843</v>
      </c>
      <c r="H1682" t="s">
        <v>2927</v>
      </c>
      <c r="I1682" t="s">
        <v>308</v>
      </c>
      <c r="J1682" t="s">
        <v>298</v>
      </c>
      <c r="K1682" t="s">
        <v>571</v>
      </c>
      <c r="L1682">
        <v>0.86</v>
      </c>
      <c r="M1682" t="s">
        <v>8292</v>
      </c>
      <c r="N1682" t="s">
        <v>8293</v>
      </c>
      <c r="O1682" t="s">
        <v>8294</v>
      </c>
      <c r="P1682" t="s">
        <v>485</v>
      </c>
      <c r="Q1682" t="s">
        <v>6845</v>
      </c>
      <c r="R1682" t="s">
        <v>6846</v>
      </c>
      <c r="S1682" t="s">
        <v>2885</v>
      </c>
      <c r="T1682" t="s">
        <v>2886</v>
      </c>
    </row>
    <row r="1683" spans="1:20">
      <c r="A1683" s="241">
        <v>44001</v>
      </c>
      <c r="B1683" t="s">
        <v>8295</v>
      </c>
      <c r="C1683" t="s">
        <v>679</v>
      </c>
      <c r="D1683" t="s">
        <v>645</v>
      </c>
      <c r="E1683" t="s">
        <v>1121</v>
      </c>
      <c r="F1683" t="s">
        <v>1109</v>
      </c>
      <c r="G1683" t="s">
        <v>591</v>
      </c>
      <c r="H1683" t="s">
        <v>346</v>
      </c>
      <c r="I1683" t="s">
        <v>619</v>
      </c>
      <c r="J1683" t="s">
        <v>1812</v>
      </c>
      <c r="K1683" t="s">
        <v>244</v>
      </c>
      <c r="L1683">
        <v>0.86</v>
      </c>
      <c r="M1683" t="s">
        <v>8296</v>
      </c>
      <c r="N1683" t="s">
        <v>8297</v>
      </c>
      <c r="O1683" t="s">
        <v>8298</v>
      </c>
      <c r="P1683" t="s">
        <v>485</v>
      </c>
      <c r="Q1683" t="s">
        <v>6845</v>
      </c>
      <c r="R1683" t="s">
        <v>6846</v>
      </c>
      <c r="S1683" t="s">
        <v>2885</v>
      </c>
      <c r="T1683" t="s">
        <v>2886</v>
      </c>
    </row>
    <row r="1684" spans="1:20">
      <c r="A1684" s="241">
        <v>44001</v>
      </c>
      <c r="B1684" t="s">
        <v>8299</v>
      </c>
      <c r="C1684" t="s">
        <v>671</v>
      </c>
      <c r="D1684" t="s">
        <v>671</v>
      </c>
      <c r="E1684" t="s">
        <v>632</v>
      </c>
      <c r="F1684" t="s">
        <v>405</v>
      </c>
      <c r="G1684" t="s">
        <v>3284</v>
      </c>
      <c r="H1684" t="s">
        <v>1231</v>
      </c>
      <c r="I1684" t="s">
        <v>863</v>
      </c>
      <c r="J1684" t="s">
        <v>857</v>
      </c>
      <c r="K1684" t="s">
        <v>571</v>
      </c>
      <c r="L1684">
        <v>0.86</v>
      </c>
      <c r="M1684" t="s">
        <v>8300</v>
      </c>
      <c r="N1684" t="s">
        <v>8301</v>
      </c>
      <c r="O1684" t="s">
        <v>8302</v>
      </c>
      <c r="P1684" t="s">
        <v>485</v>
      </c>
      <c r="Q1684" t="s">
        <v>6845</v>
      </c>
      <c r="R1684" t="s">
        <v>6846</v>
      </c>
      <c r="S1684" t="s">
        <v>2885</v>
      </c>
      <c r="T1684" t="s">
        <v>2886</v>
      </c>
    </row>
    <row r="1685" spans="1:20">
      <c r="A1685" s="241">
        <v>44001</v>
      </c>
      <c r="B1685" t="s">
        <v>8303</v>
      </c>
      <c r="C1685" t="s">
        <v>614</v>
      </c>
      <c r="D1685" t="s">
        <v>645</v>
      </c>
      <c r="E1685" t="s">
        <v>680</v>
      </c>
      <c r="F1685" t="s">
        <v>1511</v>
      </c>
      <c r="G1685" t="s">
        <v>591</v>
      </c>
      <c r="H1685" t="s">
        <v>335</v>
      </c>
      <c r="I1685" t="s">
        <v>317</v>
      </c>
      <c r="J1685" t="s">
        <v>620</v>
      </c>
      <c r="K1685" t="s">
        <v>244</v>
      </c>
      <c r="L1685">
        <v>0.86</v>
      </c>
      <c r="M1685" t="s">
        <v>8304</v>
      </c>
      <c r="N1685" t="s">
        <v>8305</v>
      </c>
      <c r="O1685" t="s">
        <v>8306</v>
      </c>
      <c r="P1685" t="s">
        <v>485</v>
      </c>
      <c r="Q1685" t="s">
        <v>6845</v>
      </c>
      <c r="R1685" t="s">
        <v>6846</v>
      </c>
      <c r="S1685" t="s">
        <v>2885</v>
      </c>
      <c r="T1685" t="s">
        <v>2886</v>
      </c>
    </row>
    <row r="1686" spans="1:20">
      <c r="A1686" s="241">
        <v>44001</v>
      </c>
      <c r="B1686" t="s">
        <v>8307</v>
      </c>
      <c r="C1686" t="s">
        <v>1079</v>
      </c>
      <c r="D1686" t="s">
        <v>712</v>
      </c>
      <c r="E1686" t="s">
        <v>696</v>
      </c>
      <c r="F1686" t="s">
        <v>1493</v>
      </c>
      <c r="G1686" t="s">
        <v>1081</v>
      </c>
      <c r="H1686" t="s">
        <v>346</v>
      </c>
      <c r="I1686" t="s">
        <v>317</v>
      </c>
      <c r="J1686" t="s">
        <v>620</v>
      </c>
      <c r="K1686" t="s">
        <v>244</v>
      </c>
      <c r="L1686">
        <v>0.86</v>
      </c>
      <c r="M1686" t="s">
        <v>8308</v>
      </c>
      <c r="N1686" t="s">
        <v>8309</v>
      </c>
      <c r="O1686" t="s">
        <v>8310</v>
      </c>
      <c r="P1686" t="s">
        <v>485</v>
      </c>
      <c r="Q1686" t="s">
        <v>6845</v>
      </c>
      <c r="R1686" t="s">
        <v>6846</v>
      </c>
      <c r="S1686" t="s">
        <v>2885</v>
      </c>
      <c r="T1686" t="s">
        <v>2886</v>
      </c>
    </row>
    <row r="1687" spans="1:20">
      <c r="A1687" s="241">
        <v>44001</v>
      </c>
      <c r="B1687" t="s">
        <v>8311</v>
      </c>
      <c r="C1687" t="s">
        <v>614</v>
      </c>
      <c r="D1687" t="s">
        <v>2478</v>
      </c>
      <c r="E1687" t="s">
        <v>225</v>
      </c>
      <c r="F1687" t="s">
        <v>639</v>
      </c>
      <c r="G1687" t="s">
        <v>1483</v>
      </c>
      <c r="H1687" t="s">
        <v>566</v>
      </c>
      <c r="I1687" t="s">
        <v>1494</v>
      </c>
      <c r="J1687" t="s">
        <v>1495</v>
      </c>
      <c r="K1687" t="s">
        <v>268</v>
      </c>
      <c r="L1687">
        <v>0.86</v>
      </c>
      <c r="M1687" t="s">
        <v>8312</v>
      </c>
      <c r="N1687" t="s">
        <v>8313</v>
      </c>
      <c r="O1687" t="s">
        <v>8314</v>
      </c>
      <c r="P1687" t="s">
        <v>485</v>
      </c>
      <c r="Q1687" t="s">
        <v>6845</v>
      </c>
      <c r="R1687" t="s">
        <v>6846</v>
      </c>
      <c r="S1687" t="s">
        <v>2885</v>
      </c>
      <c r="T1687" t="s">
        <v>2886</v>
      </c>
    </row>
    <row r="1688" spans="1:20">
      <c r="A1688" s="241">
        <v>44001</v>
      </c>
      <c r="B1688" t="s">
        <v>8315</v>
      </c>
      <c r="C1688" t="s">
        <v>423</v>
      </c>
      <c r="D1688" t="s">
        <v>1079</v>
      </c>
      <c r="E1688" t="s">
        <v>632</v>
      </c>
      <c r="F1688" t="s">
        <v>1541</v>
      </c>
      <c r="G1688" t="s">
        <v>355</v>
      </c>
      <c r="H1688" t="s">
        <v>356</v>
      </c>
      <c r="I1688" t="s">
        <v>888</v>
      </c>
      <c r="J1688" t="s">
        <v>1868</v>
      </c>
      <c r="K1688" t="s">
        <v>327</v>
      </c>
      <c r="L1688">
        <v>0.86</v>
      </c>
      <c r="M1688" t="s">
        <v>8316</v>
      </c>
      <c r="N1688" t="s">
        <v>8317</v>
      </c>
      <c r="O1688" t="s">
        <v>8318</v>
      </c>
      <c r="P1688" t="s">
        <v>485</v>
      </c>
      <c r="Q1688" t="s">
        <v>6845</v>
      </c>
      <c r="R1688" t="s">
        <v>6846</v>
      </c>
      <c r="S1688" t="s">
        <v>2885</v>
      </c>
      <c r="T1688" t="s">
        <v>2886</v>
      </c>
    </row>
    <row r="1689" spans="1:20">
      <c r="A1689" s="241">
        <v>44001</v>
      </c>
      <c r="B1689" t="s">
        <v>8319</v>
      </c>
      <c r="C1689" t="s">
        <v>631</v>
      </c>
      <c r="D1689" t="s">
        <v>615</v>
      </c>
      <c r="E1689" t="s">
        <v>632</v>
      </c>
      <c r="F1689" t="s">
        <v>887</v>
      </c>
      <c r="G1689" t="s">
        <v>617</v>
      </c>
      <c r="H1689" t="s">
        <v>649</v>
      </c>
      <c r="I1689" t="s">
        <v>1518</v>
      </c>
      <c r="J1689" t="s">
        <v>2372</v>
      </c>
      <c r="K1689" t="s">
        <v>338</v>
      </c>
      <c r="L1689">
        <v>0.86</v>
      </c>
      <c r="M1689" t="s">
        <v>8320</v>
      </c>
      <c r="N1689" t="s">
        <v>8321</v>
      </c>
      <c r="O1689" t="s">
        <v>8322</v>
      </c>
      <c r="P1689" t="s">
        <v>485</v>
      </c>
      <c r="Q1689" t="s">
        <v>6845</v>
      </c>
      <c r="R1689" t="s">
        <v>6846</v>
      </c>
      <c r="S1689" t="s">
        <v>2885</v>
      </c>
      <c r="T1689" t="s">
        <v>2886</v>
      </c>
    </row>
    <row r="1690" spans="1:20">
      <c r="A1690" s="241">
        <v>44001</v>
      </c>
      <c r="B1690" t="s">
        <v>8323</v>
      </c>
      <c r="C1690" t="s">
        <v>294</v>
      </c>
      <c r="D1690" t="s">
        <v>1079</v>
      </c>
      <c r="E1690" t="s">
        <v>632</v>
      </c>
      <c r="F1690" t="s">
        <v>1561</v>
      </c>
      <c r="G1690" t="s">
        <v>2774</v>
      </c>
      <c r="H1690" t="s">
        <v>1056</v>
      </c>
      <c r="I1690" t="s">
        <v>664</v>
      </c>
      <c r="J1690" t="s">
        <v>657</v>
      </c>
      <c r="K1690" t="s">
        <v>280</v>
      </c>
      <c r="L1690">
        <v>0.86</v>
      </c>
      <c r="M1690" t="s">
        <v>8324</v>
      </c>
      <c r="N1690" t="s">
        <v>8325</v>
      </c>
      <c r="O1690" t="s">
        <v>8326</v>
      </c>
      <c r="P1690" t="s">
        <v>485</v>
      </c>
      <c r="Q1690" t="s">
        <v>6845</v>
      </c>
      <c r="R1690" t="s">
        <v>6846</v>
      </c>
      <c r="S1690" t="s">
        <v>2885</v>
      </c>
      <c r="T1690" t="s">
        <v>2886</v>
      </c>
    </row>
    <row r="1691" spans="1:20">
      <c r="A1691" s="241">
        <v>44001</v>
      </c>
      <c r="B1691" t="s">
        <v>8327</v>
      </c>
      <c r="C1691" t="s">
        <v>615</v>
      </c>
      <c r="D1691" t="s">
        <v>671</v>
      </c>
      <c r="E1691" t="s">
        <v>812</v>
      </c>
      <c r="F1691" t="s">
        <v>672</v>
      </c>
      <c r="G1691" t="s">
        <v>1115</v>
      </c>
      <c r="H1691" t="s">
        <v>598</v>
      </c>
      <c r="I1691" t="s">
        <v>664</v>
      </c>
      <c r="J1691" t="s">
        <v>899</v>
      </c>
      <c r="K1691" t="s">
        <v>651</v>
      </c>
      <c r="L1691">
        <v>0.86</v>
      </c>
      <c r="M1691" t="s">
        <v>8328</v>
      </c>
      <c r="N1691" t="s">
        <v>8329</v>
      </c>
      <c r="O1691" t="s">
        <v>8330</v>
      </c>
      <c r="P1691" t="s">
        <v>485</v>
      </c>
      <c r="Q1691" t="s">
        <v>6845</v>
      </c>
      <c r="R1691" t="s">
        <v>6846</v>
      </c>
      <c r="S1691" t="s">
        <v>2885</v>
      </c>
      <c r="T1691" t="s">
        <v>2886</v>
      </c>
    </row>
    <row r="1692" spans="1:20">
      <c r="A1692" s="241">
        <v>44001</v>
      </c>
      <c r="B1692" t="s">
        <v>8331</v>
      </c>
      <c r="C1692" t="s">
        <v>274</v>
      </c>
      <c r="D1692" t="s">
        <v>671</v>
      </c>
      <c r="E1692" t="s">
        <v>606</v>
      </c>
      <c r="F1692" t="s">
        <v>1882</v>
      </c>
      <c r="G1692" t="s">
        <v>2764</v>
      </c>
      <c r="H1692" t="s">
        <v>1467</v>
      </c>
      <c r="I1692" t="s">
        <v>656</v>
      </c>
      <c r="J1692" t="s">
        <v>358</v>
      </c>
      <c r="K1692" t="s">
        <v>268</v>
      </c>
      <c r="L1692">
        <v>0.86</v>
      </c>
      <c r="M1692" t="s">
        <v>8332</v>
      </c>
      <c r="N1692" t="s">
        <v>8333</v>
      </c>
      <c r="O1692" t="s">
        <v>8334</v>
      </c>
      <c r="P1692" t="s">
        <v>485</v>
      </c>
      <c r="Q1692" t="s">
        <v>6845</v>
      </c>
      <c r="R1692" t="s">
        <v>6846</v>
      </c>
      <c r="S1692" t="s">
        <v>2885</v>
      </c>
      <c r="T1692" t="s">
        <v>2886</v>
      </c>
    </row>
    <row r="1693" spans="1:20">
      <c r="A1693" s="241">
        <v>44001</v>
      </c>
      <c r="B1693" t="s">
        <v>8335</v>
      </c>
      <c r="C1693" t="s">
        <v>261</v>
      </c>
      <c r="D1693" t="s">
        <v>1139</v>
      </c>
      <c r="E1693" t="s">
        <v>1121</v>
      </c>
      <c r="F1693" t="s">
        <v>909</v>
      </c>
      <c r="G1693" t="s">
        <v>375</v>
      </c>
      <c r="H1693" t="s">
        <v>1546</v>
      </c>
      <c r="I1693" t="s">
        <v>376</v>
      </c>
      <c r="J1693" t="s">
        <v>665</v>
      </c>
      <c r="K1693" t="s">
        <v>651</v>
      </c>
      <c r="L1693">
        <v>0.86</v>
      </c>
      <c r="M1693" t="s">
        <v>8336</v>
      </c>
      <c r="N1693" t="s">
        <v>8337</v>
      </c>
      <c r="O1693" t="s">
        <v>8338</v>
      </c>
      <c r="P1693" t="s">
        <v>485</v>
      </c>
      <c r="Q1693" t="s">
        <v>6845</v>
      </c>
      <c r="R1693" t="s">
        <v>6846</v>
      </c>
      <c r="S1693" t="s">
        <v>2885</v>
      </c>
      <c r="T1693" t="s">
        <v>2886</v>
      </c>
    </row>
    <row r="1694" spans="1:20">
      <c r="A1694" s="241">
        <v>44001</v>
      </c>
      <c r="B1694" t="s">
        <v>8339</v>
      </c>
      <c r="C1694" t="s">
        <v>712</v>
      </c>
      <c r="D1694" t="s">
        <v>679</v>
      </c>
      <c r="E1694" t="s">
        <v>646</v>
      </c>
      <c r="F1694" t="s">
        <v>433</v>
      </c>
      <c r="G1694" t="s">
        <v>1562</v>
      </c>
      <c r="H1694" t="s">
        <v>1546</v>
      </c>
      <c r="I1694" t="s">
        <v>1563</v>
      </c>
      <c r="J1694" t="s">
        <v>1128</v>
      </c>
      <c r="K1694" t="s">
        <v>280</v>
      </c>
      <c r="L1694">
        <v>0.86</v>
      </c>
      <c r="M1694" t="s">
        <v>8340</v>
      </c>
      <c r="N1694" t="s">
        <v>8341</v>
      </c>
      <c r="O1694" t="s">
        <v>8342</v>
      </c>
      <c r="P1694" t="s">
        <v>485</v>
      </c>
      <c r="Q1694" t="s">
        <v>6845</v>
      </c>
      <c r="R1694" t="s">
        <v>6846</v>
      </c>
      <c r="S1694" t="s">
        <v>2885</v>
      </c>
      <c r="T1694" t="s">
        <v>2886</v>
      </c>
    </row>
    <row r="1695" spans="1:20">
      <c r="A1695" s="241">
        <v>44001</v>
      </c>
      <c r="B1695" t="s">
        <v>8343</v>
      </c>
      <c r="C1695" t="s">
        <v>645</v>
      </c>
      <c r="D1695" t="s">
        <v>679</v>
      </c>
      <c r="E1695" t="s">
        <v>1121</v>
      </c>
      <c r="F1695" t="s">
        <v>2574</v>
      </c>
      <c r="G1695" t="s">
        <v>2774</v>
      </c>
      <c r="H1695" t="s">
        <v>435</v>
      </c>
      <c r="I1695" t="s">
        <v>683</v>
      </c>
      <c r="J1695" t="s">
        <v>684</v>
      </c>
      <c r="K1695" t="s">
        <v>666</v>
      </c>
      <c r="L1695">
        <v>0.86</v>
      </c>
      <c r="M1695" t="s">
        <v>8344</v>
      </c>
      <c r="N1695" t="s">
        <v>8345</v>
      </c>
      <c r="O1695" t="s">
        <v>8346</v>
      </c>
      <c r="P1695" t="s">
        <v>485</v>
      </c>
      <c r="Q1695" t="s">
        <v>6845</v>
      </c>
      <c r="R1695" t="s">
        <v>6846</v>
      </c>
      <c r="S1695" t="s">
        <v>2885</v>
      </c>
      <c r="T1695" t="s">
        <v>2886</v>
      </c>
    </row>
    <row r="1696" spans="1:20">
      <c r="A1696" s="241">
        <v>44001</v>
      </c>
      <c r="B1696" t="s">
        <v>8347</v>
      </c>
      <c r="C1696" t="s">
        <v>614</v>
      </c>
      <c r="D1696" t="s">
        <v>2478</v>
      </c>
      <c r="E1696" t="s">
        <v>1314</v>
      </c>
      <c r="F1696" t="s">
        <v>917</v>
      </c>
      <c r="G1696" t="s">
        <v>673</v>
      </c>
      <c r="H1696" t="s">
        <v>405</v>
      </c>
      <c r="I1696" t="s">
        <v>1134</v>
      </c>
      <c r="J1696" t="s">
        <v>1298</v>
      </c>
      <c r="K1696" t="s">
        <v>666</v>
      </c>
      <c r="L1696">
        <v>0.86</v>
      </c>
      <c r="M1696" t="s">
        <v>8348</v>
      </c>
      <c r="N1696" t="s">
        <v>8349</v>
      </c>
      <c r="O1696" t="s">
        <v>8350</v>
      </c>
      <c r="P1696" t="s">
        <v>485</v>
      </c>
      <c r="Q1696" t="s">
        <v>6845</v>
      </c>
      <c r="R1696" t="s">
        <v>6846</v>
      </c>
      <c r="S1696" t="s">
        <v>2885</v>
      </c>
      <c r="T1696" t="s">
        <v>2886</v>
      </c>
    </row>
    <row r="1697" spans="1:20">
      <c r="A1697" s="241">
        <v>44001</v>
      </c>
      <c r="B1697" t="s">
        <v>8351</v>
      </c>
      <c r="C1697" t="s">
        <v>671</v>
      </c>
      <c r="D1697" t="s">
        <v>712</v>
      </c>
      <c r="E1697" t="s">
        <v>1049</v>
      </c>
      <c r="F1697" t="s">
        <v>1625</v>
      </c>
      <c r="G1697" t="s">
        <v>1590</v>
      </c>
      <c r="H1697" t="s">
        <v>639</v>
      </c>
      <c r="I1697" t="s">
        <v>406</v>
      </c>
      <c r="J1697" t="s">
        <v>919</v>
      </c>
      <c r="K1697" t="s">
        <v>359</v>
      </c>
      <c r="L1697">
        <v>0.86</v>
      </c>
      <c r="M1697" t="s">
        <v>8352</v>
      </c>
      <c r="N1697" t="s">
        <v>8353</v>
      </c>
      <c r="O1697" t="s">
        <v>8354</v>
      </c>
      <c r="P1697" t="s">
        <v>485</v>
      </c>
      <c r="Q1697" t="s">
        <v>6845</v>
      </c>
      <c r="R1697" t="s">
        <v>6846</v>
      </c>
      <c r="S1697" t="s">
        <v>2885</v>
      </c>
      <c r="T1697" t="s">
        <v>2886</v>
      </c>
    </row>
    <row r="1698" spans="1:20">
      <c r="A1698" s="241">
        <v>44001</v>
      </c>
      <c r="B1698" t="s">
        <v>8355</v>
      </c>
      <c r="C1698" t="s">
        <v>645</v>
      </c>
      <c r="D1698" t="s">
        <v>1139</v>
      </c>
      <c r="E1698" t="s">
        <v>632</v>
      </c>
      <c r="F1698" t="s">
        <v>1604</v>
      </c>
      <c r="G1698" t="s">
        <v>1585</v>
      </c>
      <c r="H1698" t="s">
        <v>435</v>
      </c>
      <c r="I1698" t="s">
        <v>698</v>
      </c>
      <c r="J1698" t="s">
        <v>1141</v>
      </c>
      <c r="K1698" t="s">
        <v>349</v>
      </c>
      <c r="L1698">
        <v>0.86</v>
      </c>
      <c r="M1698" t="s">
        <v>8356</v>
      </c>
      <c r="N1698" t="s">
        <v>8357</v>
      </c>
      <c r="O1698" t="s">
        <v>8358</v>
      </c>
      <c r="P1698" t="s">
        <v>485</v>
      </c>
      <c r="Q1698" t="s">
        <v>6845</v>
      </c>
      <c r="R1698" t="s">
        <v>6846</v>
      </c>
      <c r="S1698" t="s">
        <v>2885</v>
      </c>
      <c r="T1698" t="s">
        <v>2886</v>
      </c>
    </row>
    <row r="1699" spans="1:20">
      <c r="A1699" s="241">
        <v>44001</v>
      </c>
      <c r="B1699" t="s">
        <v>8359</v>
      </c>
      <c r="C1699" t="s">
        <v>1079</v>
      </c>
      <c r="D1699" t="s">
        <v>625</v>
      </c>
      <c r="E1699" t="s">
        <v>1102</v>
      </c>
      <c r="F1699" t="s">
        <v>937</v>
      </c>
      <c r="G1699" t="s">
        <v>1610</v>
      </c>
      <c r="H1699" t="s">
        <v>713</v>
      </c>
      <c r="I1699" t="s">
        <v>932</v>
      </c>
      <c r="J1699" t="s">
        <v>707</v>
      </c>
      <c r="K1699" t="s">
        <v>349</v>
      </c>
      <c r="L1699">
        <v>0.86</v>
      </c>
      <c r="M1699" t="s">
        <v>8360</v>
      </c>
      <c r="N1699" t="s">
        <v>8361</v>
      </c>
      <c r="O1699" t="s">
        <v>8362</v>
      </c>
      <c r="P1699" t="s">
        <v>485</v>
      </c>
      <c r="Q1699" t="s">
        <v>6845</v>
      </c>
      <c r="R1699" t="s">
        <v>6846</v>
      </c>
      <c r="S1699" t="s">
        <v>2885</v>
      </c>
      <c r="T1699" t="s">
        <v>2886</v>
      </c>
    </row>
    <row r="1700" spans="1:20">
      <c r="A1700" s="241">
        <v>44001</v>
      </c>
      <c r="B1700" t="s">
        <v>8363</v>
      </c>
      <c r="C1700" t="s">
        <v>645</v>
      </c>
      <c r="D1700" t="s">
        <v>631</v>
      </c>
      <c r="E1700" t="s">
        <v>1049</v>
      </c>
      <c r="F1700" t="s">
        <v>937</v>
      </c>
      <c r="G1700" t="s">
        <v>931</v>
      </c>
      <c r="H1700" t="s">
        <v>713</v>
      </c>
      <c r="I1700" t="s">
        <v>1923</v>
      </c>
      <c r="J1700" t="s">
        <v>1304</v>
      </c>
      <c r="K1700" t="s">
        <v>700</v>
      </c>
      <c r="L1700">
        <v>0.86</v>
      </c>
      <c r="M1700" t="s">
        <v>8364</v>
      </c>
      <c r="N1700" t="s">
        <v>8365</v>
      </c>
      <c r="O1700" t="s">
        <v>8366</v>
      </c>
      <c r="P1700" t="s">
        <v>485</v>
      </c>
      <c r="Q1700" t="s">
        <v>6845</v>
      </c>
      <c r="R1700" t="s">
        <v>6846</v>
      </c>
      <c r="S1700" t="s">
        <v>2885</v>
      </c>
      <c r="T1700" t="s">
        <v>2886</v>
      </c>
    </row>
    <row r="1701" spans="1:20">
      <c r="A1701" s="241">
        <v>44001</v>
      </c>
      <c r="B1701" t="s">
        <v>8367</v>
      </c>
      <c r="C1701" t="s">
        <v>294</v>
      </c>
      <c r="D1701" t="s">
        <v>443</v>
      </c>
      <c r="E1701" t="s">
        <v>696</v>
      </c>
      <c r="F1701" t="s">
        <v>1156</v>
      </c>
      <c r="G1701" t="s">
        <v>953</v>
      </c>
      <c r="H1701" t="s">
        <v>445</v>
      </c>
      <c r="I1701" t="s">
        <v>1158</v>
      </c>
      <c r="J1701" t="s">
        <v>437</v>
      </c>
      <c r="K1701" t="s">
        <v>369</v>
      </c>
      <c r="L1701">
        <v>0.86</v>
      </c>
      <c r="M1701" t="s">
        <v>8368</v>
      </c>
      <c r="N1701" t="s">
        <v>8369</v>
      </c>
      <c r="O1701" t="s">
        <v>8370</v>
      </c>
      <c r="P1701" t="s">
        <v>485</v>
      </c>
      <c r="Q1701" t="s">
        <v>6845</v>
      </c>
      <c r="R1701" t="s">
        <v>6846</v>
      </c>
      <c r="S1701" t="s">
        <v>2885</v>
      </c>
      <c r="T1701" t="s">
        <v>2886</v>
      </c>
    </row>
    <row r="1702" spans="1:20">
      <c r="A1702" s="241">
        <v>44001</v>
      </c>
      <c r="B1702" t="s">
        <v>8371</v>
      </c>
      <c r="C1702" t="s">
        <v>1079</v>
      </c>
      <c r="D1702" t="s">
        <v>274</v>
      </c>
      <c r="E1702" t="s">
        <v>606</v>
      </c>
      <c r="F1702" t="s">
        <v>1625</v>
      </c>
      <c r="G1702" t="s">
        <v>728</v>
      </c>
      <c r="H1702" t="s">
        <v>1620</v>
      </c>
      <c r="I1702" t="s">
        <v>446</v>
      </c>
      <c r="J1702" t="s">
        <v>954</v>
      </c>
      <c r="K1702" t="s">
        <v>359</v>
      </c>
      <c r="L1702">
        <v>0.86</v>
      </c>
      <c r="M1702" t="s">
        <v>8372</v>
      </c>
      <c r="N1702" t="s">
        <v>8373</v>
      </c>
      <c r="O1702" t="s">
        <v>8374</v>
      </c>
      <c r="P1702" t="s">
        <v>485</v>
      </c>
      <c r="Q1702" t="s">
        <v>6845</v>
      </c>
      <c r="R1702" t="s">
        <v>6846</v>
      </c>
      <c r="S1702" t="s">
        <v>2885</v>
      </c>
      <c r="T1702" t="s">
        <v>2886</v>
      </c>
    </row>
    <row r="1703" spans="1:20">
      <c r="A1703" s="241">
        <v>44001</v>
      </c>
      <c r="B1703" t="s">
        <v>8375</v>
      </c>
      <c r="C1703" t="s">
        <v>712</v>
      </c>
      <c r="D1703" t="s">
        <v>679</v>
      </c>
      <c r="E1703" t="s">
        <v>304</v>
      </c>
      <c r="F1703" t="s">
        <v>1630</v>
      </c>
      <c r="G1703" t="s">
        <v>719</v>
      </c>
      <c r="H1703" t="s">
        <v>729</v>
      </c>
      <c r="I1703" t="s">
        <v>1631</v>
      </c>
      <c r="J1703" t="s">
        <v>7242</v>
      </c>
      <c r="K1703" t="s">
        <v>457</v>
      </c>
      <c r="L1703">
        <v>0.86</v>
      </c>
      <c r="M1703" t="s">
        <v>8376</v>
      </c>
      <c r="N1703" t="s">
        <v>8377</v>
      </c>
      <c r="O1703" t="s">
        <v>8378</v>
      </c>
      <c r="P1703" t="s">
        <v>485</v>
      </c>
      <c r="Q1703" t="s">
        <v>6845</v>
      </c>
      <c r="R1703" t="s">
        <v>6846</v>
      </c>
      <c r="S1703" t="s">
        <v>2885</v>
      </c>
      <c r="T1703" t="s">
        <v>2886</v>
      </c>
    </row>
    <row r="1704" spans="1:20">
      <c r="A1704" s="241">
        <v>44001</v>
      </c>
      <c r="B1704" t="s">
        <v>8379</v>
      </c>
      <c r="C1704" t="s">
        <v>294</v>
      </c>
      <c r="D1704" t="s">
        <v>1079</v>
      </c>
      <c r="E1704" t="s">
        <v>1314</v>
      </c>
      <c r="F1704" t="s">
        <v>3414</v>
      </c>
      <c r="G1704" t="s">
        <v>2228</v>
      </c>
      <c r="H1704" t="s">
        <v>364</v>
      </c>
      <c r="I1704" t="s">
        <v>3807</v>
      </c>
      <c r="J1704" t="s">
        <v>447</v>
      </c>
      <c r="K1704" t="s">
        <v>359</v>
      </c>
      <c r="L1704">
        <v>0.86</v>
      </c>
      <c r="M1704" t="s">
        <v>8380</v>
      </c>
      <c r="N1704" t="s">
        <v>8381</v>
      </c>
      <c r="O1704" t="s">
        <v>8382</v>
      </c>
      <c r="P1704" t="s">
        <v>485</v>
      </c>
      <c r="Q1704" t="s">
        <v>6845</v>
      </c>
      <c r="R1704" t="s">
        <v>6846</v>
      </c>
      <c r="S1704" t="s">
        <v>2885</v>
      </c>
      <c r="T1704" t="s">
        <v>2886</v>
      </c>
    </row>
    <row r="1705" spans="1:20">
      <c r="A1705" s="241">
        <v>44001</v>
      </c>
      <c r="B1705" t="s">
        <v>8383</v>
      </c>
      <c r="C1705" t="s">
        <v>1376</v>
      </c>
      <c r="D1705" t="s">
        <v>2811</v>
      </c>
      <c r="E1705" t="s">
        <v>207</v>
      </c>
      <c r="F1705" t="s">
        <v>6457</v>
      </c>
      <c r="G1705" t="s">
        <v>502</v>
      </c>
      <c r="H1705" t="s">
        <v>476</v>
      </c>
      <c r="I1705" t="s">
        <v>740</v>
      </c>
      <c r="J1705" t="s">
        <v>741</v>
      </c>
      <c r="K1705" t="s">
        <v>8384</v>
      </c>
      <c r="L1705">
        <v>0.89</v>
      </c>
      <c r="M1705" t="s">
        <v>8385</v>
      </c>
      <c r="N1705" t="s">
        <v>8386</v>
      </c>
      <c r="O1705" t="s">
        <v>8387</v>
      </c>
      <c r="P1705" t="s">
        <v>485</v>
      </c>
      <c r="Q1705" t="s">
        <v>6845</v>
      </c>
      <c r="R1705" t="s">
        <v>6846</v>
      </c>
      <c r="S1705" t="s">
        <v>2885</v>
      </c>
      <c r="T1705" t="s">
        <v>2886</v>
      </c>
    </row>
    <row r="1706" spans="1:20">
      <c r="A1706" s="241">
        <v>44001</v>
      </c>
      <c r="B1706" t="s">
        <v>8388</v>
      </c>
      <c r="C1706" t="s">
        <v>1376</v>
      </c>
      <c r="D1706" t="s">
        <v>959</v>
      </c>
      <c r="E1706" t="s">
        <v>224</v>
      </c>
      <c r="F1706" t="s">
        <v>4354</v>
      </c>
      <c r="G1706" t="s">
        <v>1648</v>
      </c>
      <c r="H1706" t="s">
        <v>7282</v>
      </c>
      <c r="I1706" t="s">
        <v>4902</v>
      </c>
      <c r="J1706" t="s">
        <v>1361</v>
      </c>
      <c r="K1706" t="s">
        <v>3972</v>
      </c>
      <c r="L1706">
        <v>0.89</v>
      </c>
      <c r="M1706" t="s">
        <v>8389</v>
      </c>
      <c r="N1706" t="s">
        <v>8390</v>
      </c>
      <c r="O1706" t="s">
        <v>8391</v>
      </c>
      <c r="P1706" t="s">
        <v>485</v>
      </c>
      <c r="Q1706" t="s">
        <v>6845</v>
      </c>
      <c r="R1706" t="s">
        <v>6846</v>
      </c>
      <c r="S1706" t="s">
        <v>2885</v>
      </c>
      <c r="T1706" t="s">
        <v>2886</v>
      </c>
    </row>
    <row r="1707" spans="1:20">
      <c r="A1707" s="241">
        <v>44001</v>
      </c>
      <c r="B1707" t="s">
        <v>8392</v>
      </c>
      <c r="C1707" t="s">
        <v>736</v>
      </c>
      <c r="D1707" t="s">
        <v>959</v>
      </c>
      <c r="E1707" t="s">
        <v>206</v>
      </c>
      <c r="F1707" t="s">
        <v>962</v>
      </c>
      <c r="G1707" t="s">
        <v>8393</v>
      </c>
      <c r="H1707" t="s">
        <v>1207</v>
      </c>
      <c r="I1707" t="s">
        <v>2442</v>
      </c>
      <c r="J1707" t="s">
        <v>984</v>
      </c>
      <c r="K1707" t="s">
        <v>1989</v>
      </c>
      <c r="L1707">
        <v>0.89</v>
      </c>
      <c r="M1707" t="s">
        <v>8394</v>
      </c>
      <c r="N1707" t="s">
        <v>8395</v>
      </c>
      <c r="O1707" t="s">
        <v>8396</v>
      </c>
      <c r="P1707" t="s">
        <v>485</v>
      </c>
      <c r="Q1707" t="s">
        <v>6845</v>
      </c>
      <c r="R1707" t="s">
        <v>6846</v>
      </c>
      <c r="S1707" t="s">
        <v>2885</v>
      </c>
      <c r="T1707" t="s">
        <v>2886</v>
      </c>
    </row>
    <row r="1708" spans="1:20">
      <c r="A1708" s="241">
        <v>44001</v>
      </c>
      <c r="B1708" t="s">
        <v>8397</v>
      </c>
      <c r="C1708" t="s">
        <v>2636</v>
      </c>
      <c r="D1708" t="s">
        <v>3831</v>
      </c>
      <c r="E1708" t="s">
        <v>207</v>
      </c>
      <c r="F1708" t="s">
        <v>766</v>
      </c>
      <c r="G1708" t="s">
        <v>1668</v>
      </c>
      <c r="H1708" t="s">
        <v>8398</v>
      </c>
      <c r="I1708" t="s">
        <v>8399</v>
      </c>
      <c r="J1708" t="s">
        <v>8400</v>
      </c>
      <c r="K1708" t="s">
        <v>8401</v>
      </c>
      <c r="L1708">
        <v>0.89</v>
      </c>
      <c r="M1708" t="s">
        <v>8402</v>
      </c>
      <c r="N1708" t="s">
        <v>8403</v>
      </c>
      <c r="O1708" t="s">
        <v>8404</v>
      </c>
      <c r="P1708" t="s">
        <v>485</v>
      </c>
      <c r="Q1708" t="s">
        <v>6845</v>
      </c>
      <c r="R1708" t="s">
        <v>6846</v>
      </c>
      <c r="S1708" t="s">
        <v>2885</v>
      </c>
      <c r="T1708" t="s">
        <v>2886</v>
      </c>
    </row>
    <row r="1709" spans="1:20">
      <c r="A1709" s="241">
        <v>44001</v>
      </c>
      <c r="B1709" t="s">
        <v>8405</v>
      </c>
      <c r="C1709" t="s">
        <v>712</v>
      </c>
      <c r="D1709" t="s">
        <v>442</v>
      </c>
      <c r="E1709" t="s">
        <v>225</v>
      </c>
      <c r="F1709" t="s">
        <v>1057</v>
      </c>
      <c r="G1709" t="s">
        <v>1715</v>
      </c>
      <c r="H1709" t="s">
        <v>1697</v>
      </c>
      <c r="I1709" t="s">
        <v>2029</v>
      </c>
      <c r="J1709" t="s">
        <v>1405</v>
      </c>
      <c r="K1709" t="s">
        <v>524</v>
      </c>
      <c r="L1709">
        <v>0.87</v>
      </c>
      <c r="M1709" t="s">
        <v>8406</v>
      </c>
      <c r="N1709" t="s">
        <v>8407</v>
      </c>
      <c r="O1709" t="s">
        <v>8408</v>
      </c>
      <c r="P1709" t="s">
        <v>485</v>
      </c>
      <c r="Q1709" t="s">
        <v>6845</v>
      </c>
      <c r="R1709" t="s">
        <v>6846</v>
      </c>
      <c r="S1709" t="s">
        <v>2885</v>
      </c>
      <c r="T1709" t="s">
        <v>2886</v>
      </c>
    </row>
    <row r="1710" spans="1:20">
      <c r="A1710" s="241">
        <v>44001</v>
      </c>
      <c r="B1710" t="s">
        <v>8409</v>
      </c>
      <c r="C1710" t="s">
        <v>207</v>
      </c>
      <c r="D1710" t="s">
        <v>645</v>
      </c>
      <c r="E1710" t="s">
        <v>680</v>
      </c>
      <c r="F1710" t="s">
        <v>3554</v>
      </c>
      <c r="G1710" t="s">
        <v>2043</v>
      </c>
      <c r="H1710" t="s">
        <v>521</v>
      </c>
      <c r="I1710" t="s">
        <v>1698</v>
      </c>
      <c r="J1710" t="s">
        <v>514</v>
      </c>
      <c r="K1710" t="s">
        <v>1234</v>
      </c>
      <c r="L1710">
        <v>0.87</v>
      </c>
      <c r="M1710" t="s">
        <v>8410</v>
      </c>
      <c r="N1710" t="s">
        <v>8411</v>
      </c>
      <c r="O1710" t="s">
        <v>8412</v>
      </c>
      <c r="P1710" t="s">
        <v>485</v>
      </c>
      <c r="Q1710" t="s">
        <v>6845</v>
      </c>
      <c r="R1710" t="s">
        <v>6846</v>
      </c>
      <c r="S1710" t="s">
        <v>2885</v>
      </c>
      <c r="T1710" t="s">
        <v>2886</v>
      </c>
    </row>
    <row r="1711" spans="1:20">
      <c r="A1711" s="241">
        <v>44001</v>
      </c>
      <c r="B1711" t="s">
        <v>8413</v>
      </c>
      <c r="C1711" t="s">
        <v>294</v>
      </c>
      <c r="D1711" t="s">
        <v>625</v>
      </c>
      <c r="E1711" t="s">
        <v>597</v>
      </c>
      <c r="F1711" t="s">
        <v>868</v>
      </c>
      <c r="G1711" t="s">
        <v>1398</v>
      </c>
      <c r="H1711" t="s">
        <v>1009</v>
      </c>
      <c r="I1711" t="s">
        <v>2472</v>
      </c>
      <c r="J1711" t="s">
        <v>1020</v>
      </c>
      <c r="K1711" t="s">
        <v>1406</v>
      </c>
      <c r="L1711">
        <v>0.86</v>
      </c>
      <c r="M1711" t="s">
        <v>8414</v>
      </c>
      <c r="N1711" t="s">
        <v>8415</v>
      </c>
      <c r="O1711" t="s">
        <v>8416</v>
      </c>
      <c r="P1711" t="s">
        <v>485</v>
      </c>
      <c r="Q1711" t="s">
        <v>6845</v>
      </c>
      <c r="R1711" t="s">
        <v>6846</v>
      </c>
      <c r="S1711" t="s">
        <v>2885</v>
      </c>
      <c r="T1711" t="s">
        <v>2886</v>
      </c>
    </row>
    <row r="1712" spans="1:20">
      <c r="A1712" s="241">
        <v>44001</v>
      </c>
      <c r="B1712" t="s">
        <v>8417</v>
      </c>
      <c r="C1712" t="s">
        <v>625</v>
      </c>
      <c r="D1712" t="s">
        <v>261</v>
      </c>
      <c r="E1712" t="s">
        <v>597</v>
      </c>
      <c r="F1712" t="s">
        <v>265</v>
      </c>
      <c r="G1712" t="s">
        <v>530</v>
      </c>
      <c r="H1712" t="s">
        <v>2300</v>
      </c>
      <c r="I1712" t="s">
        <v>1019</v>
      </c>
      <c r="J1712" t="s">
        <v>1405</v>
      </c>
      <c r="K1712" t="s">
        <v>1406</v>
      </c>
      <c r="L1712">
        <v>0.86</v>
      </c>
      <c r="M1712" t="s">
        <v>8418</v>
      </c>
      <c r="N1712" t="s">
        <v>8419</v>
      </c>
      <c r="O1712" t="s">
        <v>8420</v>
      </c>
      <c r="P1712" t="s">
        <v>485</v>
      </c>
      <c r="Q1712" t="s">
        <v>6845</v>
      </c>
      <c r="R1712" t="s">
        <v>6846</v>
      </c>
      <c r="S1712" t="s">
        <v>2885</v>
      </c>
      <c r="T1712" t="s">
        <v>2886</v>
      </c>
    </row>
    <row r="1713" spans="1:20">
      <c r="A1713" s="241">
        <v>44001</v>
      </c>
      <c r="B1713" t="s">
        <v>8421</v>
      </c>
      <c r="C1713" t="s">
        <v>712</v>
      </c>
      <c r="D1713" t="s">
        <v>274</v>
      </c>
      <c r="E1713" t="s">
        <v>812</v>
      </c>
      <c r="F1713" t="s">
        <v>226</v>
      </c>
      <c r="G1713" t="s">
        <v>2034</v>
      </c>
      <c r="H1713" t="s">
        <v>776</v>
      </c>
      <c r="I1713" t="s">
        <v>532</v>
      </c>
      <c r="J1713" t="s">
        <v>1233</v>
      </c>
      <c r="K1713" t="s">
        <v>1012</v>
      </c>
      <c r="L1713">
        <v>0.86</v>
      </c>
      <c r="M1713" t="s">
        <v>8422</v>
      </c>
      <c r="N1713" t="s">
        <v>8423</v>
      </c>
      <c r="O1713" t="s">
        <v>8424</v>
      </c>
      <c r="P1713" t="s">
        <v>485</v>
      </c>
      <c r="Q1713" t="s">
        <v>6845</v>
      </c>
      <c r="R1713" t="s">
        <v>6846</v>
      </c>
      <c r="S1713" t="s">
        <v>2885</v>
      </c>
      <c r="T1713" t="s">
        <v>2886</v>
      </c>
    </row>
    <row r="1714" spans="1:20">
      <c r="A1714" s="241">
        <v>44001</v>
      </c>
      <c r="B1714" t="s">
        <v>8425</v>
      </c>
      <c r="C1714" t="s">
        <v>614</v>
      </c>
      <c r="D1714" t="s">
        <v>625</v>
      </c>
      <c r="E1714" t="s">
        <v>632</v>
      </c>
      <c r="F1714" t="s">
        <v>868</v>
      </c>
      <c r="G1714" t="s">
        <v>1725</v>
      </c>
      <c r="H1714" t="s">
        <v>559</v>
      </c>
      <c r="I1714" t="s">
        <v>1427</v>
      </c>
      <c r="J1714" t="s">
        <v>1428</v>
      </c>
      <c r="K1714" t="s">
        <v>524</v>
      </c>
      <c r="L1714">
        <v>0.86</v>
      </c>
      <c r="M1714" t="s">
        <v>8426</v>
      </c>
      <c r="N1714" t="s">
        <v>8427</v>
      </c>
      <c r="O1714" t="s">
        <v>8428</v>
      </c>
      <c r="P1714" t="s">
        <v>485</v>
      </c>
      <c r="Q1714" t="s">
        <v>6845</v>
      </c>
      <c r="R1714" t="s">
        <v>6846</v>
      </c>
      <c r="S1714" t="s">
        <v>2885</v>
      </c>
      <c r="T1714" t="s">
        <v>2886</v>
      </c>
    </row>
    <row r="1715" spans="1:20">
      <c r="A1715" s="241">
        <v>44001</v>
      </c>
      <c r="B1715" t="s">
        <v>8429</v>
      </c>
      <c r="C1715" t="s">
        <v>274</v>
      </c>
      <c r="D1715" t="s">
        <v>442</v>
      </c>
      <c r="E1715" t="s">
        <v>1102</v>
      </c>
      <c r="F1715" t="s">
        <v>566</v>
      </c>
      <c r="G1715" t="s">
        <v>2053</v>
      </c>
      <c r="H1715" t="s">
        <v>287</v>
      </c>
      <c r="I1715" t="s">
        <v>816</v>
      </c>
      <c r="J1715" t="s">
        <v>817</v>
      </c>
      <c r="K1715" t="s">
        <v>534</v>
      </c>
      <c r="L1715">
        <v>0.86</v>
      </c>
      <c r="M1715" t="s">
        <v>8430</v>
      </c>
      <c r="N1715" t="s">
        <v>8431</v>
      </c>
      <c r="O1715" t="s">
        <v>8432</v>
      </c>
      <c r="P1715" t="s">
        <v>485</v>
      </c>
      <c r="Q1715" t="s">
        <v>6845</v>
      </c>
      <c r="R1715" t="s">
        <v>6846</v>
      </c>
      <c r="S1715" t="s">
        <v>2885</v>
      </c>
      <c r="T1715" t="s">
        <v>2886</v>
      </c>
    </row>
    <row r="1716" spans="1:20">
      <c r="A1716" s="241">
        <v>44001</v>
      </c>
      <c r="B1716" t="s">
        <v>8433</v>
      </c>
      <c r="C1716" t="s">
        <v>712</v>
      </c>
      <c r="D1716" t="s">
        <v>679</v>
      </c>
      <c r="E1716" t="s">
        <v>238</v>
      </c>
      <c r="F1716" t="s">
        <v>1050</v>
      </c>
      <c r="G1716" t="s">
        <v>227</v>
      </c>
      <c r="H1716" t="s">
        <v>2324</v>
      </c>
      <c r="I1716" t="s">
        <v>1250</v>
      </c>
      <c r="J1716" t="s">
        <v>1245</v>
      </c>
      <c r="K1716" t="s">
        <v>1032</v>
      </c>
      <c r="L1716">
        <v>0.86</v>
      </c>
      <c r="M1716" t="s">
        <v>8434</v>
      </c>
      <c r="N1716" t="s">
        <v>8435</v>
      </c>
      <c r="O1716" t="s">
        <v>8436</v>
      </c>
      <c r="P1716" t="s">
        <v>485</v>
      </c>
      <c r="Q1716" t="s">
        <v>6845</v>
      </c>
      <c r="R1716" t="s">
        <v>6846</v>
      </c>
      <c r="S1716" t="s">
        <v>2885</v>
      </c>
      <c r="T1716" t="s">
        <v>2886</v>
      </c>
    </row>
    <row r="1717" spans="1:20">
      <c r="A1717" s="241">
        <v>44001</v>
      </c>
      <c r="B1717" t="s">
        <v>8437</v>
      </c>
      <c r="C1717" t="s">
        <v>261</v>
      </c>
      <c r="D1717" t="s">
        <v>625</v>
      </c>
      <c r="E1717" t="s">
        <v>1121</v>
      </c>
      <c r="F1717" t="s">
        <v>1050</v>
      </c>
      <c r="G1717" t="s">
        <v>240</v>
      </c>
      <c r="H1717" t="s">
        <v>2324</v>
      </c>
      <c r="I1717" t="s">
        <v>1250</v>
      </c>
      <c r="J1717" t="s">
        <v>561</v>
      </c>
      <c r="K1717" t="s">
        <v>515</v>
      </c>
      <c r="L1717">
        <v>0.86</v>
      </c>
      <c r="M1717" t="s">
        <v>8438</v>
      </c>
      <c r="N1717" t="s">
        <v>8439</v>
      </c>
      <c r="O1717" t="s">
        <v>8440</v>
      </c>
      <c r="P1717" t="s">
        <v>485</v>
      </c>
      <c r="Q1717" t="s">
        <v>6845</v>
      </c>
      <c r="R1717" t="s">
        <v>6846</v>
      </c>
      <c r="S1717" t="s">
        <v>2885</v>
      </c>
      <c r="T1717" t="s">
        <v>2886</v>
      </c>
    </row>
    <row r="1718" spans="1:20">
      <c r="A1718" s="241">
        <v>44001</v>
      </c>
      <c r="B1718" t="s">
        <v>8441</v>
      </c>
      <c r="C1718" t="s">
        <v>614</v>
      </c>
      <c r="D1718" t="s">
        <v>645</v>
      </c>
      <c r="E1718" t="s">
        <v>424</v>
      </c>
      <c r="F1718" t="s">
        <v>626</v>
      </c>
      <c r="G1718" t="s">
        <v>1239</v>
      </c>
      <c r="H1718" t="s">
        <v>1017</v>
      </c>
      <c r="I1718" t="s">
        <v>577</v>
      </c>
      <c r="J1718" t="s">
        <v>570</v>
      </c>
      <c r="K1718" t="s">
        <v>1032</v>
      </c>
      <c r="L1718">
        <v>0.86</v>
      </c>
      <c r="M1718" t="s">
        <v>8442</v>
      </c>
      <c r="N1718" t="s">
        <v>8443</v>
      </c>
      <c r="O1718" t="s">
        <v>8444</v>
      </c>
      <c r="P1718" t="s">
        <v>485</v>
      </c>
      <c r="Q1718" t="s">
        <v>6845</v>
      </c>
      <c r="R1718" t="s">
        <v>6846</v>
      </c>
      <c r="S1718" t="s">
        <v>2885</v>
      </c>
      <c r="T1718" t="s">
        <v>2886</v>
      </c>
    </row>
    <row r="1719" spans="1:20">
      <c r="A1719" s="241">
        <v>44001</v>
      </c>
      <c r="B1719" t="s">
        <v>8445</v>
      </c>
      <c r="C1719" t="s">
        <v>423</v>
      </c>
      <c r="D1719" t="s">
        <v>631</v>
      </c>
      <c r="E1719" t="s">
        <v>812</v>
      </c>
      <c r="F1719" t="s">
        <v>1050</v>
      </c>
      <c r="G1719" t="s">
        <v>1256</v>
      </c>
      <c r="H1719" t="s">
        <v>568</v>
      </c>
      <c r="I1719" t="s">
        <v>569</v>
      </c>
      <c r="J1719" t="s">
        <v>825</v>
      </c>
      <c r="K1719" t="s">
        <v>534</v>
      </c>
      <c r="L1719">
        <v>0.86</v>
      </c>
      <c r="M1719" t="s">
        <v>8446</v>
      </c>
      <c r="N1719" t="s">
        <v>8447</v>
      </c>
      <c r="O1719" t="s">
        <v>8448</v>
      </c>
      <c r="P1719" t="s">
        <v>485</v>
      </c>
      <c r="Q1719" t="s">
        <v>6845</v>
      </c>
      <c r="R1719" t="s">
        <v>6846</v>
      </c>
      <c r="S1719" t="s">
        <v>2885</v>
      </c>
      <c r="T1719" t="s">
        <v>2886</v>
      </c>
    </row>
    <row r="1720" spans="1:20">
      <c r="A1720" s="241">
        <v>44001</v>
      </c>
      <c r="B1720" t="s">
        <v>8449</v>
      </c>
      <c r="C1720" t="s">
        <v>237</v>
      </c>
      <c r="D1720" t="s">
        <v>645</v>
      </c>
      <c r="E1720" t="s">
        <v>606</v>
      </c>
      <c r="F1720" t="s">
        <v>1467</v>
      </c>
      <c r="G1720" t="s">
        <v>814</v>
      </c>
      <c r="H1720" t="s">
        <v>209</v>
      </c>
      <c r="I1720" t="s">
        <v>266</v>
      </c>
      <c r="J1720" t="s">
        <v>2330</v>
      </c>
      <c r="K1720" t="s">
        <v>231</v>
      </c>
      <c r="L1720">
        <v>0.86</v>
      </c>
      <c r="M1720" t="s">
        <v>8450</v>
      </c>
      <c r="N1720" t="s">
        <v>8451</v>
      </c>
      <c r="O1720" t="s">
        <v>8452</v>
      </c>
      <c r="P1720" t="s">
        <v>485</v>
      </c>
      <c r="Q1720" t="s">
        <v>6845</v>
      </c>
      <c r="R1720" t="s">
        <v>6846</v>
      </c>
      <c r="S1720" t="s">
        <v>2885</v>
      </c>
      <c r="T1720" t="s">
        <v>2886</v>
      </c>
    </row>
    <row r="1721" spans="1:20">
      <c r="A1721" s="241">
        <v>44001</v>
      </c>
      <c r="B1721" t="s">
        <v>8453</v>
      </c>
      <c r="C1721" t="s">
        <v>614</v>
      </c>
      <c r="D1721" t="s">
        <v>1139</v>
      </c>
      <c r="E1721" t="s">
        <v>304</v>
      </c>
      <c r="F1721" t="s">
        <v>1552</v>
      </c>
      <c r="G1721" t="s">
        <v>1775</v>
      </c>
      <c r="H1721" t="s">
        <v>539</v>
      </c>
      <c r="I1721" t="s">
        <v>288</v>
      </c>
      <c r="J1721" t="s">
        <v>1070</v>
      </c>
      <c r="K1721" t="s">
        <v>231</v>
      </c>
      <c r="L1721">
        <v>0.86</v>
      </c>
      <c r="M1721" t="s">
        <v>8454</v>
      </c>
      <c r="N1721" t="s">
        <v>8455</v>
      </c>
      <c r="O1721" t="s">
        <v>8456</v>
      </c>
      <c r="P1721" t="s">
        <v>485</v>
      </c>
      <c r="Q1721" t="s">
        <v>6845</v>
      </c>
      <c r="R1721" t="s">
        <v>6846</v>
      </c>
      <c r="S1721" t="s">
        <v>2885</v>
      </c>
      <c r="T1721" t="s">
        <v>2886</v>
      </c>
    </row>
    <row r="1722" spans="1:20">
      <c r="A1722" s="241">
        <v>44001</v>
      </c>
      <c r="B1722" t="s">
        <v>8457</v>
      </c>
      <c r="C1722" t="s">
        <v>614</v>
      </c>
      <c r="D1722" t="s">
        <v>712</v>
      </c>
      <c r="E1722" t="s">
        <v>606</v>
      </c>
      <c r="F1722" t="s">
        <v>1817</v>
      </c>
      <c r="G1722" t="s">
        <v>599</v>
      </c>
      <c r="H1722" t="s">
        <v>1231</v>
      </c>
      <c r="I1722" t="s">
        <v>609</v>
      </c>
      <c r="J1722" t="s">
        <v>850</v>
      </c>
      <c r="K1722" t="s">
        <v>231</v>
      </c>
      <c r="L1722">
        <v>0.86</v>
      </c>
      <c r="M1722" t="s">
        <v>8458</v>
      </c>
      <c r="N1722" t="s">
        <v>8459</v>
      </c>
      <c r="O1722" t="s">
        <v>8460</v>
      </c>
      <c r="P1722" t="s">
        <v>485</v>
      </c>
      <c r="Q1722" t="s">
        <v>6845</v>
      </c>
      <c r="R1722" t="s">
        <v>6846</v>
      </c>
      <c r="S1722" t="s">
        <v>2885</v>
      </c>
      <c r="T1722" t="s">
        <v>2886</v>
      </c>
    </row>
    <row r="1723" spans="1:20">
      <c r="A1723" s="241">
        <v>44001</v>
      </c>
      <c r="B1723" t="s">
        <v>8461</v>
      </c>
      <c r="C1723" t="s">
        <v>671</v>
      </c>
      <c r="D1723" t="s">
        <v>442</v>
      </c>
      <c r="E1723" t="s">
        <v>696</v>
      </c>
      <c r="F1723" t="s">
        <v>926</v>
      </c>
      <c r="G1723" t="s">
        <v>1269</v>
      </c>
      <c r="H1723" t="s">
        <v>1069</v>
      </c>
      <c r="I1723" t="s">
        <v>609</v>
      </c>
      <c r="J1723" t="s">
        <v>298</v>
      </c>
      <c r="K1723" t="s">
        <v>579</v>
      </c>
      <c r="L1723">
        <v>0.86</v>
      </c>
      <c r="M1723" t="s">
        <v>8462</v>
      </c>
      <c r="N1723" t="s">
        <v>8463</v>
      </c>
      <c r="O1723" t="s">
        <v>8464</v>
      </c>
      <c r="P1723" t="s">
        <v>485</v>
      </c>
      <c r="Q1723" t="s">
        <v>6845</v>
      </c>
      <c r="R1723" t="s">
        <v>6846</v>
      </c>
      <c r="S1723" t="s">
        <v>2885</v>
      </c>
      <c r="T1723" t="s">
        <v>2886</v>
      </c>
    </row>
    <row r="1724" spans="1:20">
      <c r="A1724" s="241">
        <v>44001</v>
      </c>
      <c r="B1724" t="s">
        <v>8465</v>
      </c>
      <c r="C1724" t="s">
        <v>442</v>
      </c>
      <c r="D1724" t="s">
        <v>614</v>
      </c>
      <c r="E1724" t="s">
        <v>1121</v>
      </c>
      <c r="F1724" t="s">
        <v>855</v>
      </c>
      <c r="G1724" t="s">
        <v>1068</v>
      </c>
      <c r="H1724" t="s">
        <v>2927</v>
      </c>
      <c r="I1724" t="s">
        <v>297</v>
      </c>
      <c r="J1724" t="s">
        <v>298</v>
      </c>
      <c r="K1724" t="s">
        <v>579</v>
      </c>
      <c r="L1724">
        <v>0.86</v>
      </c>
      <c r="M1724" t="s">
        <v>8466</v>
      </c>
      <c r="N1724" t="s">
        <v>8467</v>
      </c>
      <c r="O1724" t="s">
        <v>8468</v>
      </c>
      <c r="P1724" t="s">
        <v>485</v>
      </c>
      <c r="Q1724" t="s">
        <v>6845</v>
      </c>
      <c r="R1724" t="s">
        <v>6846</v>
      </c>
      <c r="S1724" t="s">
        <v>2885</v>
      </c>
      <c r="T1724" t="s">
        <v>2886</v>
      </c>
    </row>
    <row r="1725" spans="1:20">
      <c r="A1725" s="241">
        <v>44001</v>
      </c>
      <c r="B1725" t="s">
        <v>8469</v>
      </c>
      <c r="C1725" t="s">
        <v>712</v>
      </c>
      <c r="D1725" t="s">
        <v>712</v>
      </c>
      <c r="E1725" t="s">
        <v>1121</v>
      </c>
      <c r="F1725" t="s">
        <v>435</v>
      </c>
      <c r="G1725" t="s">
        <v>843</v>
      </c>
      <c r="H1725" t="s">
        <v>813</v>
      </c>
      <c r="I1725" t="s">
        <v>1087</v>
      </c>
      <c r="J1725" t="s">
        <v>620</v>
      </c>
      <c r="K1725" t="s">
        <v>299</v>
      </c>
      <c r="L1725">
        <v>0.86</v>
      </c>
      <c r="M1725" t="s">
        <v>8470</v>
      </c>
      <c r="N1725" t="s">
        <v>8471</v>
      </c>
      <c r="O1725" t="s">
        <v>8472</v>
      </c>
      <c r="P1725" t="s">
        <v>485</v>
      </c>
      <c r="Q1725" t="s">
        <v>6845</v>
      </c>
      <c r="R1725" t="s">
        <v>6846</v>
      </c>
      <c r="S1725" t="s">
        <v>2885</v>
      </c>
      <c r="T1725" t="s">
        <v>2886</v>
      </c>
    </row>
    <row r="1726" spans="1:20">
      <c r="A1726" s="241">
        <v>44001</v>
      </c>
      <c r="B1726" t="s">
        <v>8473</v>
      </c>
      <c r="C1726" t="s">
        <v>614</v>
      </c>
      <c r="D1726" t="s">
        <v>645</v>
      </c>
      <c r="E1726" t="s">
        <v>1121</v>
      </c>
      <c r="F1726" t="s">
        <v>435</v>
      </c>
      <c r="G1726" t="s">
        <v>591</v>
      </c>
      <c r="H1726" t="s">
        <v>1255</v>
      </c>
      <c r="I1726" t="s">
        <v>317</v>
      </c>
      <c r="J1726" t="s">
        <v>870</v>
      </c>
      <c r="K1726" t="s">
        <v>299</v>
      </c>
      <c r="L1726">
        <v>0.86</v>
      </c>
      <c r="M1726" t="s">
        <v>8474</v>
      </c>
      <c r="N1726" t="s">
        <v>8475</v>
      </c>
      <c r="O1726" t="s">
        <v>8476</v>
      </c>
      <c r="P1726" t="s">
        <v>485</v>
      </c>
      <c r="Q1726" t="s">
        <v>6845</v>
      </c>
      <c r="R1726" t="s">
        <v>6846</v>
      </c>
      <c r="S1726" t="s">
        <v>2885</v>
      </c>
      <c r="T1726" t="s">
        <v>2886</v>
      </c>
    </row>
    <row r="1727" spans="1:20">
      <c r="A1727" s="241">
        <v>44001</v>
      </c>
      <c r="B1727" t="s">
        <v>8477</v>
      </c>
      <c r="C1727" t="s">
        <v>615</v>
      </c>
      <c r="D1727" t="s">
        <v>712</v>
      </c>
      <c r="E1727" t="s">
        <v>238</v>
      </c>
      <c r="F1727" t="s">
        <v>1511</v>
      </c>
      <c r="G1727" t="s">
        <v>1477</v>
      </c>
      <c r="H1727" t="s">
        <v>566</v>
      </c>
      <c r="I1727" t="s">
        <v>1494</v>
      </c>
      <c r="J1727" t="s">
        <v>1827</v>
      </c>
      <c r="K1727" t="s">
        <v>299</v>
      </c>
      <c r="L1727">
        <v>0.86</v>
      </c>
      <c r="M1727" t="s">
        <v>8478</v>
      </c>
      <c r="N1727" t="s">
        <v>8479</v>
      </c>
      <c r="O1727" t="s">
        <v>8480</v>
      </c>
      <c r="P1727" t="s">
        <v>485</v>
      </c>
      <c r="Q1727" t="s">
        <v>6845</v>
      </c>
      <c r="R1727" t="s">
        <v>6846</v>
      </c>
      <c r="S1727" t="s">
        <v>2885</v>
      </c>
      <c r="T1727" t="s">
        <v>2886</v>
      </c>
    </row>
    <row r="1728" spans="1:20">
      <c r="A1728" s="241">
        <v>44001</v>
      </c>
      <c r="B1728" t="s">
        <v>8481</v>
      </c>
      <c r="C1728" t="s">
        <v>274</v>
      </c>
      <c r="D1728" t="s">
        <v>625</v>
      </c>
      <c r="E1728" t="s">
        <v>680</v>
      </c>
      <c r="F1728" t="s">
        <v>1511</v>
      </c>
      <c r="G1728" t="s">
        <v>2142</v>
      </c>
      <c r="H1728" t="s">
        <v>263</v>
      </c>
      <c r="I1728" t="s">
        <v>1501</v>
      </c>
      <c r="J1728" t="s">
        <v>318</v>
      </c>
      <c r="K1728" t="s">
        <v>579</v>
      </c>
      <c r="L1728">
        <v>0.86</v>
      </c>
      <c r="M1728" t="s">
        <v>8482</v>
      </c>
      <c r="N1728" t="s">
        <v>8483</v>
      </c>
      <c r="O1728" t="s">
        <v>8484</v>
      </c>
      <c r="P1728" t="s">
        <v>485</v>
      </c>
      <c r="Q1728" t="s">
        <v>6845</v>
      </c>
      <c r="R1728" t="s">
        <v>6846</v>
      </c>
      <c r="S1728" t="s">
        <v>2885</v>
      </c>
      <c r="T1728" t="s">
        <v>2886</v>
      </c>
    </row>
    <row r="1729" spans="1:20">
      <c r="A1729" s="241">
        <v>44001</v>
      </c>
      <c r="B1729" t="s">
        <v>8485</v>
      </c>
      <c r="C1729" t="s">
        <v>631</v>
      </c>
      <c r="D1729" t="s">
        <v>625</v>
      </c>
      <c r="E1729" t="s">
        <v>304</v>
      </c>
      <c r="F1729" t="s">
        <v>445</v>
      </c>
      <c r="G1729" t="s">
        <v>1512</v>
      </c>
      <c r="H1729" t="s">
        <v>1050</v>
      </c>
      <c r="I1729" t="s">
        <v>336</v>
      </c>
      <c r="J1729" t="s">
        <v>337</v>
      </c>
      <c r="K1729" t="s">
        <v>651</v>
      </c>
      <c r="L1729">
        <v>0.86</v>
      </c>
      <c r="M1729" t="s">
        <v>8486</v>
      </c>
      <c r="N1729" t="s">
        <v>8487</v>
      </c>
      <c r="O1729" t="s">
        <v>8488</v>
      </c>
      <c r="P1729" t="s">
        <v>485</v>
      </c>
      <c r="Q1729" t="s">
        <v>6845</v>
      </c>
      <c r="R1729" t="s">
        <v>6846</v>
      </c>
      <c r="S1729" t="s">
        <v>2885</v>
      </c>
      <c r="T1729" t="s">
        <v>2886</v>
      </c>
    </row>
    <row r="1730" spans="1:20">
      <c r="A1730" s="241">
        <v>44001</v>
      </c>
      <c r="B1730" t="s">
        <v>8489</v>
      </c>
      <c r="C1730" t="s">
        <v>294</v>
      </c>
      <c r="D1730" t="s">
        <v>2535</v>
      </c>
      <c r="E1730" t="s">
        <v>696</v>
      </c>
      <c r="F1730" t="s">
        <v>639</v>
      </c>
      <c r="G1730" t="s">
        <v>1841</v>
      </c>
      <c r="H1730" t="s">
        <v>598</v>
      </c>
      <c r="I1730" t="s">
        <v>336</v>
      </c>
      <c r="J1730" t="s">
        <v>640</v>
      </c>
      <c r="K1730" t="s">
        <v>280</v>
      </c>
      <c r="L1730">
        <v>0.86</v>
      </c>
      <c r="M1730" t="s">
        <v>8490</v>
      </c>
      <c r="N1730" t="s">
        <v>8491</v>
      </c>
      <c r="O1730" t="s">
        <v>8492</v>
      </c>
      <c r="P1730" t="s">
        <v>485</v>
      </c>
      <c r="Q1730" t="s">
        <v>6845</v>
      </c>
      <c r="R1730" t="s">
        <v>6846</v>
      </c>
      <c r="S1730" t="s">
        <v>2885</v>
      </c>
      <c r="T1730" t="s">
        <v>2886</v>
      </c>
    </row>
    <row r="1731" spans="1:20">
      <c r="A1731" s="241">
        <v>44001</v>
      </c>
      <c r="B1731" t="s">
        <v>8493</v>
      </c>
      <c r="C1731" t="s">
        <v>274</v>
      </c>
      <c r="D1731" t="s">
        <v>645</v>
      </c>
      <c r="E1731" t="s">
        <v>597</v>
      </c>
      <c r="F1731" t="s">
        <v>1536</v>
      </c>
      <c r="G1731" t="s">
        <v>334</v>
      </c>
      <c r="H1731" t="s">
        <v>649</v>
      </c>
      <c r="I1731" t="s">
        <v>357</v>
      </c>
      <c r="J1731" t="s">
        <v>2372</v>
      </c>
      <c r="K1731" t="s">
        <v>268</v>
      </c>
      <c r="L1731">
        <v>0.86</v>
      </c>
      <c r="M1731" t="s">
        <v>8494</v>
      </c>
      <c r="N1731" t="s">
        <v>8495</v>
      </c>
      <c r="O1731" t="s">
        <v>8496</v>
      </c>
      <c r="P1731" t="s">
        <v>485</v>
      </c>
      <c r="Q1731" t="s">
        <v>6845</v>
      </c>
      <c r="R1731" t="s">
        <v>6846</v>
      </c>
      <c r="S1731" t="s">
        <v>2885</v>
      </c>
      <c r="T1731" t="s">
        <v>2886</v>
      </c>
    </row>
    <row r="1732" spans="1:20">
      <c r="A1732" s="241">
        <v>44001</v>
      </c>
      <c r="B1732" t="s">
        <v>8497</v>
      </c>
      <c r="C1732" t="s">
        <v>442</v>
      </c>
      <c r="D1732" t="s">
        <v>645</v>
      </c>
      <c r="E1732" t="s">
        <v>1121</v>
      </c>
      <c r="F1732" t="s">
        <v>1536</v>
      </c>
      <c r="G1732" t="s">
        <v>1110</v>
      </c>
      <c r="H1732" t="s">
        <v>1080</v>
      </c>
      <c r="I1732" t="s">
        <v>367</v>
      </c>
      <c r="J1732" t="s">
        <v>657</v>
      </c>
      <c r="K1732" t="s">
        <v>651</v>
      </c>
      <c r="L1732">
        <v>0.86</v>
      </c>
      <c r="M1732" t="s">
        <v>8498</v>
      </c>
      <c r="N1732" t="s">
        <v>8499</v>
      </c>
      <c r="O1732" t="s">
        <v>8500</v>
      </c>
      <c r="P1732" t="s">
        <v>485</v>
      </c>
      <c r="Q1732" t="s">
        <v>6845</v>
      </c>
      <c r="R1732" t="s">
        <v>6846</v>
      </c>
      <c r="S1732" t="s">
        <v>2885</v>
      </c>
      <c r="T1732" t="s">
        <v>2886</v>
      </c>
    </row>
    <row r="1733" spans="1:20">
      <c r="A1733" s="241">
        <v>44001</v>
      </c>
      <c r="B1733" t="s">
        <v>8501</v>
      </c>
      <c r="C1733" t="s">
        <v>645</v>
      </c>
      <c r="D1733" t="s">
        <v>614</v>
      </c>
      <c r="E1733" t="s">
        <v>646</v>
      </c>
      <c r="F1733" t="s">
        <v>672</v>
      </c>
      <c r="G1733" t="s">
        <v>1110</v>
      </c>
      <c r="H1733" t="s">
        <v>285</v>
      </c>
      <c r="I1733" t="s">
        <v>367</v>
      </c>
      <c r="J1733" t="s">
        <v>657</v>
      </c>
      <c r="K1733" t="s">
        <v>651</v>
      </c>
      <c r="L1733">
        <v>0.86</v>
      </c>
      <c r="M1733" t="s">
        <v>8502</v>
      </c>
      <c r="N1733" t="s">
        <v>8503</v>
      </c>
      <c r="O1733" t="s">
        <v>8504</v>
      </c>
      <c r="P1733" t="s">
        <v>485</v>
      </c>
      <c r="Q1733" t="s">
        <v>6845</v>
      </c>
      <c r="R1733" t="s">
        <v>6846</v>
      </c>
      <c r="S1733" t="s">
        <v>2885</v>
      </c>
      <c r="T1733" t="s">
        <v>2886</v>
      </c>
    </row>
    <row r="1734" spans="1:20">
      <c r="A1734" s="241">
        <v>44001</v>
      </c>
      <c r="B1734" t="s">
        <v>8505</v>
      </c>
      <c r="C1734" t="s">
        <v>615</v>
      </c>
      <c r="D1734" t="s">
        <v>1079</v>
      </c>
      <c r="E1734" t="s">
        <v>646</v>
      </c>
      <c r="F1734" t="s">
        <v>383</v>
      </c>
      <c r="G1734" t="s">
        <v>2774</v>
      </c>
      <c r="H1734" t="s">
        <v>598</v>
      </c>
      <c r="I1734" t="s">
        <v>367</v>
      </c>
      <c r="J1734" t="s">
        <v>1116</v>
      </c>
      <c r="K1734" t="s">
        <v>268</v>
      </c>
      <c r="L1734">
        <v>0.86</v>
      </c>
      <c r="M1734" t="s">
        <v>8506</v>
      </c>
      <c r="N1734" t="s">
        <v>8507</v>
      </c>
      <c r="O1734" t="s">
        <v>8508</v>
      </c>
      <c r="P1734" t="s">
        <v>485</v>
      </c>
      <c r="Q1734" t="s">
        <v>6845</v>
      </c>
      <c r="R1734" t="s">
        <v>6846</v>
      </c>
      <c r="S1734" t="s">
        <v>2885</v>
      </c>
      <c r="T1734" t="s">
        <v>2886</v>
      </c>
    </row>
    <row r="1735" spans="1:20">
      <c r="A1735" s="241">
        <v>44001</v>
      </c>
      <c r="B1735" t="s">
        <v>8509</v>
      </c>
      <c r="C1735" t="s">
        <v>625</v>
      </c>
      <c r="D1735" t="s">
        <v>679</v>
      </c>
      <c r="E1735" t="s">
        <v>1049</v>
      </c>
      <c r="F1735" t="s">
        <v>1561</v>
      </c>
      <c r="G1735" t="s">
        <v>394</v>
      </c>
      <c r="H1735" t="s">
        <v>395</v>
      </c>
      <c r="I1735" t="s">
        <v>674</v>
      </c>
      <c r="J1735" t="s">
        <v>377</v>
      </c>
      <c r="K1735" t="s">
        <v>327</v>
      </c>
      <c r="L1735">
        <v>0.86</v>
      </c>
      <c r="M1735" t="s">
        <v>8510</v>
      </c>
      <c r="N1735" t="s">
        <v>8511</v>
      </c>
      <c r="O1735" t="s">
        <v>8512</v>
      </c>
      <c r="P1735" t="s">
        <v>485</v>
      </c>
      <c r="Q1735" t="s">
        <v>6845</v>
      </c>
      <c r="R1735" t="s">
        <v>6846</v>
      </c>
      <c r="S1735" t="s">
        <v>2885</v>
      </c>
      <c r="T1735" t="s">
        <v>2886</v>
      </c>
    </row>
    <row r="1736" spans="1:20">
      <c r="A1736" s="241">
        <v>44001</v>
      </c>
      <c r="B1736" t="s">
        <v>8513</v>
      </c>
      <c r="C1736" t="s">
        <v>712</v>
      </c>
      <c r="D1736" t="s">
        <v>1079</v>
      </c>
      <c r="E1736" t="s">
        <v>1121</v>
      </c>
      <c r="F1736" t="s">
        <v>904</v>
      </c>
      <c r="G1736" t="s">
        <v>673</v>
      </c>
      <c r="H1736" t="s">
        <v>1552</v>
      </c>
      <c r="I1736" t="s">
        <v>1134</v>
      </c>
      <c r="J1736" t="s">
        <v>1128</v>
      </c>
      <c r="K1736" t="s">
        <v>256</v>
      </c>
      <c r="L1736">
        <v>0.86</v>
      </c>
      <c r="M1736" t="s">
        <v>8514</v>
      </c>
      <c r="N1736" t="s">
        <v>8515</v>
      </c>
      <c r="O1736" t="s">
        <v>8516</v>
      </c>
      <c r="P1736" t="s">
        <v>485</v>
      </c>
      <c r="Q1736" t="s">
        <v>6845</v>
      </c>
      <c r="R1736" t="s">
        <v>6846</v>
      </c>
      <c r="S1736" t="s">
        <v>2885</v>
      </c>
      <c r="T1736" t="s">
        <v>2886</v>
      </c>
    </row>
    <row r="1737" spans="1:20">
      <c r="A1737" s="241">
        <v>44001</v>
      </c>
      <c r="B1737" t="s">
        <v>8517</v>
      </c>
      <c r="C1737" t="s">
        <v>294</v>
      </c>
      <c r="D1737" t="s">
        <v>645</v>
      </c>
      <c r="E1737" t="s">
        <v>1314</v>
      </c>
      <c r="F1737" t="s">
        <v>1315</v>
      </c>
      <c r="G1737" t="s">
        <v>1568</v>
      </c>
      <c r="H1737" t="s">
        <v>405</v>
      </c>
      <c r="I1737" t="s">
        <v>396</v>
      </c>
      <c r="J1737" t="s">
        <v>1569</v>
      </c>
      <c r="K1737" t="s">
        <v>651</v>
      </c>
      <c r="L1737">
        <v>0.86</v>
      </c>
      <c r="M1737" t="s">
        <v>8518</v>
      </c>
      <c r="N1737" t="s">
        <v>8519</v>
      </c>
      <c r="O1737" t="s">
        <v>8520</v>
      </c>
      <c r="P1737" t="s">
        <v>485</v>
      </c>
      <c r="Q1737" t="s">
        <v>6845</v>
      </c>
      <c r="R1737" t="s">
        <v>6846</v>
      </c>
      <c r="S1737" t="s">
        <v>2885</v>
      </c>
      <c r="T1737" t="s">
        <v>2886</v>
      </c>
    </row>
    <row r="1738" spans="1:20">
      <c r="A1738" s="241">
        <v>44001</v>
      </c>
      <c r="B1738" t="s">
        <v>8521</v>
      </c>
      <c r="C1738" t="s">
        <v>679</v>
      </c>
      <c r="D1738" t="s">
        <v>615</v>
      </c>
      <c r="E1738" t="s">
        <v>1314</v>
      </c>
      <c r="F1738" t="s">
        <v>689</v>
      </c>
      <c r="G1738" t="s">
        <v>394</v>
      </c>
      <c r="H1738" t="s">
        <v>295</v>
      </c>
      <c r="I1738" t="s">
        <v>396</v>
      </c>
      <c r="J1738" t="s">
        <v>1569</v>
      </c>
      <c r="K1738" t="s">
        <v>651</v>
      </c>
      <c r="L1738">
        <v>0.86</v>
      </c>
      <c r="M1738" t="s">
        <v>8522</v>
      </c>
      <c r="N1738" t="s">
        <v>8523</v>
      </c>
      <c r="O1738" t="s">
        <v>8524</v>
      </c>
      <c r="P1738" t="s">
        <v>485</v>
      </c>
      <c r="Q1738" t="s">
        <v>6845</v>
      </c>
      <c r="R1738" t="s">
        <v>6846</v>
      </c>
      <c r="S1738" t="s">
        <v>2885</v>
      </c>
      <c r="T1738" t="s">
        <v>2886</v>
      </c>
    </row>
    <row r="1739" spans="1:20">
      <c r="A1739" s="241">
        <v>44001</v>
      </c>
      <c r="B1739" t="s">
        <v>8525</v>
      </c>
      <c r="C1739" t="s">
        <v>1139</v>
      </c>
      <c r="D1739" t="s">
        <v>671</v>
      </c>
      <c r="E1739" t="s">
        <v>225</v>
      </c>
      <c r="F1739" t="s">
        <v>433</v>
      </c>
      <c r="G1739" t="s">
        <v>1610</v>
      </c>
      <c r="H1739" t="s">
        <v>435</v>
      </c>
      <c r="I1739" t="s">
        <v>698</v>
      </c>
      <c r="J1739" t="s">
        <v>699</v>
      </c>
      <c r="K1739" t="s">
        <v>359</v>
      </c>
      <c r="L1739">
        <v>0.86</v>
      </c>
      <c r="M1739" t="s">
        <v>8526</v>
      </c>
      <c r="N1739" t="s">
        <v>8527</v>
      </c>
      <c r="O1739" t="s">
        <v>8528</v>
      </c>
      <c r="P1739" t="s">
        <v>485</v>
      </c>
      <c r="Q1739" t="s">
        <v>6845</v>
      </c>
      <c r="R1739" t="s">
        <v>6846</v>
      </c>
      <c r="S1739" t="s">
        <v>2885</v>
      </c>
      <c r="T1739" t="s">
        <v>2886</v>
      </c>
    </row>
    <row r="1740" spans="1:20">
      <c r="A1740" s="241">
        <v>44001</v>
      </c>
      <c r="B1740" t="s">
        <v>8529</v>
      </c>
      <c r="C1740" t="s">
        <v>614</v>
      </c>
      <c r="D1740" t="s">
        <v>1079</v>
      </c>
      <c r="E1740" t="s">
        <v>680</v>
      </c>
      <c r="F1740" t="s">
        <v>1177</v>
      </c>
      <c r="G1740" t="s">
        <v>394</v>
      </c>
      <c r="H1740" t="s">
        <v>426</v>
      </c>
      <c r="I1740" t="s">
        <v>1579</v>
      </c>
      <c r="J1740" t="s">
        <v>397</v>
      </c>
      <c r="K1740" t="s">
        <v>349</v>
      </c>
      <c r="L1740">
        <v>0.86</v>
      </c>
      <c r="M1740" t="s">
        <v>8530</v>
      </c>
      <c r="N1740" t="s">
        <v>8531</v>
      </c>
      <c r="O1740" t="s">
        <v>8532</v>
      </c>
      <c r="P1740" t="s">
        <v>485</v>
      </c>
      <c r="Q1740" t="s">
        <v>6845</v>
      </c>
      <c r="R1740" t="s">
        <v>6846</v>
      </c>
      <c r="S1740" t="s">
        <v>2885</v>
      </c>
      <c r="T1740" t="s">
        <v>2886</v>
      </c>
    </row>
    <row r="1741" spans="1:20">
      <c r="A1741" s="241">
        <v>44001</v>
      </c>
      <c r="B1741" t="s">
        <v>8533</v>
      </c>
      <c r="C1741" t="s">
        <v>207</v>
      </c>
      <c r="D1741" t="s">
        <v>208</v>
      </c>
      <c r="E1741" t="s">
        <v>646</v>
      </c>
      <c r="F1741" t="s">
        <v>1156</v>
      </c>
      <c r="G1741" t="s">
        <v>946</v>
      </c>
      <c r="H1741" t="s">
        <v>415</v>
      </c>
      <c r="I1741" t="s">
        <v>416</v>
      </c>
      <c r="J1741" t="s">
        <v>1309</v>
      </c>
      <c r="K1741" t="s">
        <v>359</v>
      </c>
      <c r="L1741">
        <v>0.86</v>
      </c>
      <c r="M1741" t="s">
        <v>8534</v>
      </c>
      <c r="N1741" t="s">
        <v>8535</v>
      </c>
      <c r="O1741" t="s">
        <v>8536</v>
      </c>
      <c r="P1741" t="s">
        <v>485</v>
      </c>
      <c r="Q1741" t="s">
        <v>6845</v>
      </c>
      <c r="R1741" t="s">
        <v>6846</v>
      </c>
      <c r="S1741" t="s">
        <v>2885</v>
      </c>
      <c r="T1741" t="s">
        <v>2886</v>
      </c>
    </row>
    <row r="1742" spans="1:20">
      <c r="A1742" s="241">
        <v>44001</v>
      </c>
      <c r="B1742" t="s">
        <v>8537</v>
      </c>
      <c r="C1742" t="s">
        <v>2478</v>
      </c>
      <c r="D1742" t="s">
        <v>645</v>
      </c>
      <c r="E1742" t="s">
        <v>597</v>
      </c>
      <c r="F1742" t="s">
        <v>444</v>
      </c>
      <c r="G1742" t="s">
        <v>705</v>
      </c>
      <c r="H1742" t="s">
        <v>647</v>
      </c>
      <c r="I1742" t="s">
        <v>436</v>
      </c>
      <c r="J1742" t="s">
        <v>1309</v>
      </c>
      <c r="K1742" t="s">
        <v>349</v>
      </c>
      <c r="L1742">
        <v>0.86</v>
      </c>
      <c r="M1742" t="s">
        <v>8538</v>
      </c>
      <c r="N1742" t="s">
        <v>8539</v>
      </c>
      <c r="O1742" t="s">
        <v>8540</v>
      </c>
      <c r="P1742" t="s">
        <v>485</v>
      </c>
      <c r="Q1742" t="s">
        <v>6845</v>
      </c>
      <c r="R1742" t="s">
        <v>6846</v>
      </c>
      <c r="S1742" t="s">
        <v>2885</v>
      </c>
      <c r="T1742" t="s">
        <v>2886</v>
      </c>
    </row>
    <row r="1743" spans="1:20">
      <c r="A1743" s="241">
        <v>44001</v>
      </c>
      <c r="B1743" t="s">
        <v>8541</v>
      </c>
      <c r="C1743" t="s">
        <v>442</v>
      </c>
      <c r="D1743" t="s">
        <v>1079</v>
      </c>
      <c r="E1743" t="s">
        <v>1102</v>
      </c>
      <c r="F1743" t="s">
        <v>3408</v>
      </c>
      <c r="G1743" t="s">
        <v>414</v>
      </c>
      <c r="H1743" t="s">
        <v>720</v>
      </c>
      <c r="I1743" t="s">
        <v>1158</v>
      </c>
      <c r="J1743" t="s">
        <v>940</v>
      </c>
      <c r="K1743" t="s">
        <v>359</v>
      </c>
      <c r="L1743">
        <v>0.86</v>
      </c>
      <c r="M1743" t="s">
        <v>8542</v>
      </c>
      <c r="N1743" t="s">
        <v>8543</v>
      </c>
      <c r="O1743" t="s">
        <v>8544</v>
      </c>
      <c r="P1743" t="s">
        <v>485</v>
      </c>
      <c r="Q1743" t="s">
        <v>6845</v>
      </c>
      <c r="R1743" t="s">
        <v>6846</v>
      </c>
      <c r="S1743" t="s">
        <v>2885</v>
      </c>
      <c r="T1743" t="s">
        <v>2886</v>
      </c>
    </row>
    <row r="1744" spans="1:20">
      <c r="A1744" s="241">
        <v>44001</v>
      </c>
      <c r="B1744" t="s">
        <v>8545</v>
      </c>
      <c r="C1744" t="s">
        <v>625</v>
      </c>
      <c r="D1744" t="s">
        <v>1139</v>
      </c>
      <c r="E1744" t="s">
        <v>1121</v>
      </c>
      <c r="F1744" t="s">
        <v>3408</v>
      </c>
      <c r="G1744" t="s">
        <v>2228</v>
      </c>
      <c r="H1744" t="s">
        <v>323</v>
      </c>
      <c r="I1744" t="s">
        <v>1165</v>
      </c>
      <c r="J1744" t="s">
        <v>437</v>
      </c>
      <c r="K1744" t="s">
        <v>359</v>
      </c>
      <c r="L1744">
        <v>0.86</v>
      </c>
      <c r="M1744" t="s">
        <v>8546</v>
      </c>
      <c r="N1744" t="s">
        <v>8547</v>
      </c>
      <c r="O1744" t="s">
        <v>8548</v>
      </c>
      <c r="P1744" t="s">
        <v>485</v>
      </c>
      <c r="Q1744" t="s">
        <v>6845</v>
      </c>
      <c r="R1744" t="s">
        <v>6846</v>
      </c>
      <c r="S1744" t="s">
        <v>2885</v>
      </c>
      <c r="T1744" t="s">
        <v>2886</v>
      </c>
    </row>
    <row r="1745" spans="1:20">
      <c r="A1745" s="241">
        <v>44001</v>
      </c>
      <c r="B1745" t="s">
        <v>8549</v>
      </c>
      <c r="C1745" t="s">
        <v>645</v>
      </c>
      <c r="D1745" t="s">
        <v>645</v>
      </c>
      <c r="E1745" t="s">
        <v>1314</v>
      </c>
      <c r="F1745" t="s">
        <v>718</v>
      </c>
      <c r="G1745" t="s">
        <v>3449</v>
      </c>
      <c r="H1745" t="s">
        <v>897</v>
      </c>
      <c r="I1745" t="s">
        <v>1631</v>
      </c>
      <c r="J1745" t="s">
        <v>730</v>
      </c>
      <c r="K1745" t="s">
        <v>700</v>
      </c>
      <c r="L1745">
        <v>0.86</v>
      </c>
      <c r="M1745" t="s">
        <v>8550</v>
      </c>
      <c r="N1745" t="s">
        <v>8551</v>
      </c>
      <c r="O1745" t="s">
        <v>8552</v>
      </c>
      <c r="P1745" t="s">
        <v>485</v>
      </c>
      <c r="Q1745" t="s">
        <v>6845</v>
      </c>
      <c r="R1745" t="s">
        <v>6846</v>
      </c>
      <c r="S1745" t="s">
        <v>2885</v>
      </c>
      <c r="T1745" t="s">
        <v>2886</v>
      </c>
    </row>
    <row r="1746" spans="1:20">
      <c r="A1746" s="241">
        <v>44001</v>
      </c>
      <c r="B1746" t="s">
        <v>8553</v>
      </c>
      <c r="C1746" t="s">
        <v>1079</v>
      </c>
      <c r="D1746" t="s">
        <v>274</v>
      </c>
      <c r="E1746" t="s">
        <v>238</v>
      </c>
      <c r="F1746" t="s">
        <v>3414</v>
      </c>
      <c r="G1746" t="s">
        <v>2617</v>
      </c>
      <c r="H1746" t="s">
        <v>8554</v>
      </c>
      <c r="I1746" t="s">
        <v>8555</v>
      </c>
      <c r="J1746" t="s">
        <v>8556</v>
      </c>
      <c r="K1746" t="s">
        <v>8557</v>
      </c>
      <c r="L1746">
        <v>0.86</v>
      </c>
      <c r="M1746" t="s">
        <v>8558</v>
      </c>
      <c r="N1746" t="s">
        <v>8559</v>
      </c>
      <c r="O1746" t="s">
        <v>8560</v>
      </c>
      <c r="P1746" t="s">
        <v>485</v>
      </c>
      <c r="Q1746" t="s">
        <v>6845</v>
      </c>
      <c r="R1746" t="s">
        <v>6846</v>
      </c>
      <c r="S1746" t="s">
        <v>2885</v>
      </c>
      <c r="T1746" t="s">
        <v>2886</v>
      </c>
    </row>
    <row r="1747" spans="1:20">
      <c r="A1747" s="241">
        <v>44001</v>
      </c>
      <c r="B1747" t="s">
        <v>8561</v>
      </c>
      <c r="C1747" t="s">
        <v>1348</v>
      </c>
      <c r="D1747" t="s">
        <v>959</v>
      </c>
      <c r="E1747" t="s">
        <v>423</v>
      </c>
      <c r="F1747" t="s">
        <v>748</v>
      </c>
      <c r="G1747" t="s">
        <v>5467</v>
      </c>
      <c r="H1747" t="s">
        <v>5468</v>
      </c>
      <c r="I1747" t="s">
        <v>7118</v>
      </c>
      <c r="J1747" t="s">
        <v>8562</v>
      </c>
      <c r="K1747" t="s">
        <v>975</v>
      </c>
      <c r="L1747">
        <v>0.89</v>
      </c>
      <c r="M1747" t="s">
        <v>8563</v>
      </c>
      <c r="N1747" t="s">
        <v>8564</v>
      </c>
      <c r="O1747" t="s">
        <v>8565</v>
      </c>
      <c r="P1747" t="s">
        <v>485</v>
      </c>
      <c r="Q1747" t="s">
        <v>6845</v>
      </c>
      <c r="R1747" t="s">
        <v>6846</v>
      </c>
      <c r="S1747" t="s">
        <v>2885</v>
      </c>
      <c r="T1747" t="s">
        <v>2886</v>
      </c>
    </row>
    <row r="1748" spans="1:20">
      <c r="A1748" s="241">
        <v>44001</v>
      </c>
      <c r="B1748" t="s">
        <v>8566</v>
      </c>
      <c r="C1748" t="s">
        <v>2636</v>
      </c>
      <c r="D1748" t="s">
        <v>1348</v>
      </c>
      <c r="E1748" t="s">
        <v>262</v>
      </c>
      <c r="F1748" t="s">
        <v>1358</v>
      </c>
      <c r="G1748" t="s">
        <v>3689</v>
      </c>
      <c r="H1748" t="s">
        <v>478</v>
      </c>
      <c r="I1748" t="s">
        <v>3970</v>
      </c>
      <c r="J1748" t="s">
        <v>3971</v>
      </c>
      <c r="K1748" t="s">
        <v>3972</v>
      </c>
      <c r="L1748">
        <v>0.89</v>
      </c>
      <c r="M1748" t="s">
        <v>8567</v>
      </c>
      <c r="N1748" t="s">
        <v>8568</v>
      </c>
      <c r="O1748" t="s">
        <v>8569</v>
      </c>
      <c r="P1748" t="s">
        <v>485</v>
      </c>
      <c r="Q1748" t="s">
        <v>6845</v>
      </c>
      <c r="R1748" t="s">
        <v>6846</v>
      </c>
      <c r="S1748" t="s">
        <v>2885</v>
      </c>
      <c r="T1748" t="s">
        <v>2886</v>
      </c>
    </row>
    <row r="1749" spans="1:20">
      <c r="A1749" s="241">
        <v>44001</v>
      </c>
      <c r="B1749" t="s">
        <v>8570</v>
      </c>
      <c r="C1749" t="s">
        <v>499</v>
      </c>
      <c r="D1749" t="s">
        <v>1348</v>
      </c>
      <c r="E1749" t="s">
        <v>237</v>
      </c>
      <c r="F1749" t="s">
        <v>2239</v>
      </c>
      <c r="G1749" t="s">
        <v>6708</v>
      </c>
      <c r="H1749" t="s">
        <v>991</v>
      </c>
      <c r="I1749" t="s">
        <v>1658</v>
      </c>
      <c r="J1749" t="s">
        <v>3516</v>
      </c>
      <c r="K1749" t="s">
        <v>8571</v>
      </c>
      <c r="L1749">
        <v>0.89</v>
      </c>
      <c r="M1749" t="s">
        <v>8572</v>
      </c>
      <c r="N1749" t="s">
        <v>8573</v>
      </c>
      <c r="O1749" t="s">
        <v>8574</v>
      </c>
      <c r="P1749" t="s">
        <v>485</v>
      </c>
      <c r="Q1749" t="s">
        <v>6845</v>
      </c>
      <c r="R1749" t="s">
        <v>6846</v>
      </c>
      <c r="S1749" t="s">
        <v>2885</v>
      </c>
      <c r="T1749" t="s">
        <v>2886</v>
      </c>
    </row>
    <row r="1750" spans="1:20">
      <c r="A1750" s="241">
        <v>44001</v>
      </c>
      <c r="B1750" t="s">
        <v>8575</v>
      </c>
      <c r="C1750" t="s">
        <v>614</v>
      </c>
      <c r="D1750" t="s">
        <v>645</v>
      </c>
      <c r="E1750" t="s">
        <v>597</v>
      </c>
      <c r="F1750" t="s">
        <v>823</v>
      </c>
      <c r="G1750" t="s">
        <v>2023</v>
      </c>
      <c r="H1750" t="s">
        <v>2275</v>
      </c>
      <c r="I1750" t="s">
        <v>6337</v>
      </c>
      <c r="J1750" t="s">
        <v>2832</v>
      </c>
      <c r="K1750" t="s">
        <v>781</v>
      </c>
      <c r="L1750">
        <v>0.87</v>
      </c>
      <c r="M1750" t="s">
        <v>8576</v>
      </c>
      <c r="N1750" t="s">
        <v>8577</v>
      </c>
      <c r="O1750" t="s">
        <v>8578</v>
      </c>
      <c r="P1750" t="s">
        <v>485</v>
      </c>
      <c r="Q1750" t="s">
        <v>6845</v>
      </c>
      <c r="R1750" t="s">
        <v>6846</v>
      </c>
      <c r="S1750" t="s">
        <v>2885</v>
      </c>
      <c r="T1750" t="s">
        <v>2886</v>
      </c>
    </row>
    <row r="1751" spans="1:20">
      <c r="A1751" s="241">
        <v>44001</v>
      </c>
      <c r="B1751" t="s">
        <v>8579</v>
      </c>
      <c r="C1751" t="s">
        <v>614</v>
      </c>
      <c r="D1751" t="s">
        <v>671</v>
      </c>
      <c r="E1751" t="s">
        <v>1121</v>
      </c>
      <c r="F1751" t="s">
        <v>307</v>
      </c>
      <c r="G1751" t="s">
        <v>2023</v>
      </c>
      <c r="H1751" t="s">
        <v>2300</v>
      </c>
      <c r="I1751" t="s">
        <v>1686</v>
      </c>
      <c r="J1751" t="s">
        <v>1687</v>
      </c>
      <c r="K1751" t="s">
        <v>1399</v>
      </c>
      <c r="L1751">
        <v>0.87</v>
      </c>
      <c r="M1751" t="s">
        <v>8580</v>
      </c>
      <c r="N1751" t="s">
        <v>8581</v>
      </c>
      <c r="O1751" t="s">
        <v>8582</v>
      </c>
      <c r="P1751" t="s">
        <v>485</v>
      </c>
      <c r="Q1751" t="s">
        <v>6845</v>
      </c>
      <c r="R1751" t="s">
        <v>6846</v>
      </c>
      <c r="S1751" t="s">
        <v>2885</v>
      </c>
      <c r="T1751" t="s">
        <v>2886</v>
      </c>
    </row>
    <row r="1752" spans="1:20">
      <c r="A1752" s="241">
        <v>44001</v>
      </c>
      <c r="B1752" t="s">
        <v>8583</v>
      </c>
      <c r="C1752" t="s">
        <v>631</v>
      </c>
      <c r="D1752" t="s">
        <v>625</v>
      </c>
      <c r="E1752" t="s">
        <v>304</v>
      </c>
      <c r="F1752" t="s">
        <v>1274</v>
      </c>
      <c r="G1752" t="s">
        <v>4170</v>
      </c>
      <c r="H1752" t="s">
        <v>3999</v>
      </c>
      <c r="I1752" t="s">
        <v>1010</v>
      </c>
      <c r="J1752" t="s">
        <v>514</v>
      </c>
      <c r="K1752" t="s">
        <v>1399</v>
      </c>
      <c r="L1752">
        <v>0.86</v>
      </c>
      <c r="M1752" t="s">
        <v>8584</v>
      </c>
      <c r="N1752" t="s">
        <v>8585</v>
      </c>
      <c r="O1752" t="s">
        <v>8586</v>
      </c>
      <c r="P1752" t="s">
        <v>485</v>
      </c>
      <c r="Q1752" t="s">
        <v>6845</v>
      </c>
      <c r="R1752" t="s">
        <v>6846</v>
      </c>
      <c r="S1752" t="s">
        <v>2885</v>
      </c>
      <c r="T1752" t="s">
        <v>2886</v>
      </c>
    </row>
    <row r="1753" spans="1:20">
      <c r="A1753" s="241">
        <v>44001</v>
      </c>
      <c r="B1753" t="s">
        <v>8587</v>
      </c>
      <c r="C1753" t="s">
        <v>442</v>
      </c>
      <c r="D1753" t="s">
        <v>2478</v>
      </c>
      <c r="E1753" t="s">
        <v>606</v>
      </c>
      <c r="F1753" t="s">
        <v>585</v>
      </c>
      <c r="G1753" t="s">
        <v>786</v>
      </c>
      <c r="H1753" t="s">
        <v>1213</v>
      </c>
      <c r="I1753" t="s">
        <v>2472</v>
      </c>
      <c r="J1753" t="s">
        <v>1020</v>
      </c>
      <c r="K1753" t="s">
        <v>1399</v>
      </c>
      <c r="L1753">
        <v>0.86</v>
      </c>
      <c r="M1753" t="s">
        <v>8588</v>
      </c>
      <c r="N1753" t="s">
        <v>8589</v>
      </c>
      <c r="O1753" t="s">
        <v>8590</v>
      </c>
      <c r="P1753" t="s">
        <v>485</v>
      </c>
      <c r="Q1753" t="s">
        <v>6845</v>
      </c>
      <c r="R1753" t="s">
        <v>6846</v>
      </c>
      <c r="S1753" t="s">
        <v>2885</v>
      </c>
      <c r="T1753" t="s">
        <v>2886</v>
      </c>
    </row>
    <row r="1754" spans="1:20">
      <c r="A1754" s="241">
        <v>44001</v>
      </c>
      <c r="B1754" t="s">
        <v>8591</v>
      </c>
      <c r="C1754" t="s">
        <v>614</v>
      </c>
      <c r="D1754" t="s">
        <v>679</v>
      </c>
      <c r="E1754" t="s">
        <v>1102</v>
      </c>
      <c r="F1754" t="s">
        <v>862</v>
      </c>
      <c r="G1754" t="s">
        <v>2686</v>
      </c>
      <c r="H1754" t="s">
        <v>1426</v>
      </c>
      <c r="I1754" t="s">
        <v>532</v>
      </c>
      <c r="J1754" t="s">
        <v>1710</v>
      </c>
      <c r="K1754" t="s">
        <v>1399</v>
      </c>
      <c r="L1754">
        <v>0.86</v>
      </c>
      <c r="M1754" t="s">
        <v>8592</v>
      </c>
      <c r="N1754" t="s">
        <v>8593</v>
      </c>
      <c r="O1754" t="s">
        <v>8594</v>
      </c>
      <c r="P1754" t="s">
        <v>485</v>
      </c>
      <c r="Q1754" t="s">
        <v>6845</v>
      </c>
      <c r="R1754" t="s">
        <v>6846</v>
      </c>
      <c r="S1754" t="s">
        <v>2885</v>
      </c>
      <c r="T1754" t="s">
        <v>2886</v>
      </c>
    </row>
    <row r="1755" spans="1:20">
      <c r="A1755" s="241">
        <v>44001</v>
      </c>
      <c r="B1755" t="s">
        <v>8595</v>
      </c>
      <c r="C1755" t="s">
        <v>614</v>
      </c>
      <c r="D1755" t="s">
        <v>1079</v>
      </c>
      <c r="E1755" t="s">
        <v>812</v>
      </c>
      <c r="F1755" t="s">
        <v>316</v>
      </c>
      <c r="G1755" t="s">
        <v>1411</v>
      </c>
      <c r="H1755" t="s">
        <v>2861</v>
      </c>
      <c r="I1755" t="s">
        <v>1727</v>
      </c>
      <c r="J1755" t="s">
        <v>2044</v>
      </c>
      <c r="K1755" t="s">
        <v>524</v>
      </c>
      <c r="L1755">
        <v>0.86</v>
      </c>
      <c r="M1755" t="s">
        <v>8596</v>
      </c>
      <c r="N1755" t="s">
        <v>8597</v>
      </c>
      <c r="O1755" t="s">
        <v>8598</v>
      </c>
      <c r="P1755" t="s">
        <v>485</v>
      </c>
      <c r="Q1755" t="s">
        <v>6845</v>
      </c>
      <c r="R1755" t="s">
        <v>6846</v>
      </c>
      <c r="S1755" t="s">
        <v>2885</v>
      </c>
      <c r="T1755" t="s">
        <v>2886</v>
      </c>
    </row>
    <row r="1756" spans="1:20">
      <c r="A1756" s="241">
        <v>44001</v>
      </c>
      <c r="B1756" t="s">
        <v>8599</v>
      </c>
      <c r="C1756" t="s">
        <v>712</v>
      </c>
      <c r="D1756" t="s">
        <v>645</v>
      </c>
      <c r="E1756" t="s">
        <v>1049</v>
      </c>
      <c r="F1756" t="s">
        <v>618</v>
      </c>
      <c r="G1756" t="s">
        <v>548</v>
      </c>
      <c r="H1756" t="s">
        <v>2861</v>
      </c>
      <c r="I1756" t="s">
        <v>1727</v>
      </c>
      <c r="J1756" t="s">
        <v>1026</v>
      </c>
      <c r="K1756" t="s">
        <v>1406</v>
      </c>
      <c r="L1756">
        <v>0.86</v>
      </c>
      <c r="M1756" t="s">
        <v>8600</v>
      </c>
      <c r="N1756" t="s">
        <v>8601</v>
      </c>
      <c r="O1756" t="s">
        <v>8602</v>
      </c>
      <c r="P1756" t="s">
        <v>485</v>
      </c>
      <c r="Q1756" t="s">
        <v>6845</v>
      </c>
      <c r="R1756" t="s">
        <v>6846</v>
      </c>
      <c r="S1756" t="s">
        <v>2885</v>
      </c>
      <c r="T1756" t="s">
        <v>2886</v>
      </c>
    </row>
    <row r="1757" spans="1:20">
      <c r="A1757" s="241">
        <v>44001</v>
      </c>
      <c r="B1757" t="s">
        <v>8603</v>
      </c>
      <c r="C1757" t="s">
        <v>614</v>
      </c>
      <c r="D1757" t="s">
        <v>294</v>
      </c>
      <c r="E1757" t="s">
        <v>2544</v>
      </c>
      <c r="F1757" t="s">
        <v>1452</v>
      </c>
      <c r="G1757" t="s">
        <v>792</v>
      </c>
      <c r="H1757" t="s">
        <v>1726</v>
      </c>
      <c r="I1757" t="s">
        <v>1031</v>
      </c>
      <c r="J1757" t="s">
        <v>2881</v>
      </c>
      <c r="K1757" t="s">
        <v>524</v>
      </c>
      <c r="L1757">
        <v>0.86</v>
      </c>
      <c r="M1757" t="s">
        <v>8604</v>
      </c>
      <c r="N1757" t="s">
        <v>8605</v>
      </c>
      <c r="O1757" t="s">
        <v>8606</v>
      </c>
      <c r="P1757" t="s">
        <v>485</v>
      </c>
      <c r="Q1757" t="s">
        <v>6845</v>
      </c>
      <c r="R1757" t="s">
        <v>6846</v>
      </c>
      <c r="S1757" t="s">
        <v>2885</v>
      </c>
      <c r="T1757" t="s">
        <v>2886</v>
      </c>
    </row>
    <row r="1758" spans="1:20">
      <c r="A1758" s="241">
        <v>44001</v>
      </c>
      <c r="B1758" t="s">
        <v>8607</v>
      </c>
      <c r="C1758" t="s">
        <v>294</v>
      </c>
      <c r="D1758" t="s">
        <v>2535</v>
      </c>
      <c r="E1758" t="s">
        <v>812</v>
      </c>
      <c r="F1758" t="s">
        <v>275</v>
      </c>
      <c r="G1758" t="s">
        <v>1433</v>
      </c>
      <c r="H1758" t="s">
        <v>2324</v>
      </c>
      <c r="I1758" t="s">
        <v>816</v>
      </c>
      <c r="J1758" t="s">
        <v>1039</v>
      </c>
      <c r="K1758" t="s">
        <v>1032</v>
      </c>
      <c r="L1758">
        <v>0.86</v>
      </c>
      <c r="M1758" t="s">
        <v>8608</v>
      </c>
      <c r="N1758" t="s">
        <v>8609</v>
      </c>
      <c r="O1758" t="s">
        <v>8610</v>
      </c>
      <c r="P1758" t="s">
        <v>485</v>
      </c>
      <c r="Q1758" t="s">
        <v>6845</v>
      </c>
      <c r="R1758" t="s">
        <v>6846</v>
      </c>
      <c r="S1758" t="s">
        <v>2885</v>
      </c>
      <c r="T1758" t="s">
        <v>2886</v>
      </c>
    </row>
    <row r="1759" spans="1:20">
      <c r="A1759" s="241">
        <v>44001</v>
      </c>
      <c r="B1759" t="s">
        <v>8611</v>
      </c>
      <c r="C1759" t="s">
        <v>712</v>
      </c>
      <c r="D1759" t="s">
        <v>614</v>
      </c>
      <c r="E1759" t="s">
        <v>2544</v>
      </c>
      <c r="F1759" t="s">
        <v>566</v>
      </c>
      <c r="G1759" t="s">
        <v>210</v>
      </c>
      <c r="H1759" t="s">
        <v>805</v>
      </c>
      <c r="I1759" t="s">
        <v>560</v>
      </c>
      <c r="J1759" t="s">
        <v>807</v>
      </c>
      <c r="K1759" t="s">
        <v>534</v>
      </c>
      <c r="L1759">
        <v>0.86</v>
      </c>
      <c r="M1759" t="s">
        <v>8612</v>
      </c>
      <c r="N1759" t="s">
        <v>8613</v>
      </c>
      <c r="O1759" t="s">
        <v>8614</v>
      </c>
      <c r="P1759" t="s">
        <v>485</v>
      </c>
      <c r="Q1759" t="s">
        <v>6845</v>
      </c>
      <c r="R1759" t="s">
        <v>6846</v>
      </c>
      <c r="S1759" t="s">
        <v>2885</v>
      </c>
      <c r="T1759" t="s">
        <v>2886</v>
      </c>
    </row>
    <row r="1760" spans="1:20">
      <c r="A1760" s="241">
        <v>44001</v>
      </c>
      <c r="B1760" t="s">
        <v>8615</v>
      </c>
      <c r="C1760" t="s">
        <v>631</v>
      </c>
      <c r="D1760" t="s">
        <v>614</v>
      </c>
      <c r="E1760" t="s">
        <v>646</v>
      </c>
      <c r="F1760" t="s">
        <v>1756</v>
      </c>
      <c r="G1760" t="s">
        <v>1740</v>
      </c>
      <c r="H1760" t="s">
        <v>1704</v>
      </c>
      <c r="I1760" t="s">
        <v>1250</v>
      </c>
      <c r="J1760" t="s">
        <v>561</v>
      </c>
      <c r="K1760" t="s">
        <v>515</v>
      </c>
      <c r="L1760">
        <v>0.86</v>
      </c>
      <c r="M1760" t="s">
        <v>8616</v>
      </c>
      <c r="N1760" t="s">
        <v>8617</v>
      </c>
      <c r="O1760" t="s">
        <v>8618</v>
      </c>
      <c r="P1760" t="s">
        <v>485</v>
      </c>
      <c r="Q1760" t="s">
        <v>6845</v>
      </c>
      <c r="R1760" t="s">
        <v>6846</v>
      </c>
      <c r="S1760" t="s">
        <v>2885</v>
      </c>
      <c r="T1760" t="s">
        <v>2886</v>
      </c>
    </row>
    <row r="1761" spans="1:20">
      <c r="A1761" s="241">
        <v>44001</v>
      </c>
      <c r="B1761" t="s">
        <v>8619</v>
      </c>
      <c r="C1761" t="s">
        <v>631</v>
      </c>
      <c r="D1761" t="s">
        <v>671</v>
      </c>
      <c r="E1761" t="s">
        <v>597</v>
      </c>
      <c r="F1761" t="s">
        <v>1756</v>
      </c>
      <c r="G1761" t="s">
        <v>210</v>
      </c>
      <c r="H1761" t="s">
        <v>1017</v>
      </c>
      <c r="I1761" t="s">
        <v>229</v>
      </c>
      <c r="J1761" t="s">
        <v>1245</v>
      </c>
      <c r="K1761" t="s">
        <v>515</v>
      </c>
      <c r="L1761">
        <v>0.86</v>
      </c>
      <c r="M1761" t="s">
        <v>8620</v>
      </c>
      <c r="N1761" t="s">
        <v>8621</v>
      </c>
      <c r="O1761" t="s">
        <v>8622</v>
      </c>
      <c r="P1761" t="s">
        <v>485</v>
      </c>
      <c r="Q1761" t="s">
        <v>6845</v>
      </c>
      <c r="R1761" t="s">
        <v>6846</v>
      </c>
      <c r="S1761" t="s">
        <v>2885</v>
      </c>
      <c r="T1761" t="s">
        <v>2886</v>
      </c>
    </row>
    <row r="1762" spans="1:20">
      <c r="A1762" s="241">
        <v>44001</v>
      </c>
      <c r="B1762" t="s">
        <v>8623</v>
      </c>
      <c r="C1762" t="s">
        <v>294</v>
      </c>
      <c r="D1762" t="s">
        <v>712</v>
      </c>
      <c r="E1762" t="s">
        <v>646</v>
      </c>
      <c r="F1762" t="s">
        <v>1452</v>
      </c>
      <c r="G1762" t="s">
        <v>798</v>
      </c>
      <c r="H1762" t="s">
        <v>3554</v>
      </c>
      <c r="I1762" t="s">
        <v>229</v>
      </c>
      <c r="J1762" t="s">
        <v>230</v>
      </c>
      <c r="K1762" t="s">
        <v>214</v>
      </c>
      <c r="L1762">
        <v>0.86</v>
      </c>
      <c r="M1762" t="s">
        <v>8624</v>
      </c>
      <c r="N1762" t="s">
        <v>8625</v>
      </c>
      <c r="O1762" t="s">
        <v>8626</v>
      </c>
      <c r="P1762" t="s">
        <v>485</v>
      </c>
      <c r="Q1762" t="s">
        <v>6845</v>
      </c>
      <c r="R1762" t="s">
        <v>6846</v>
      </c>
      <c r="S1762" t="s">
        <v>2885</v>
      </c>
      <c r="T1762" t="s">
        <v>2886</v>
      </c>
    </row>
    <row r="1763" spans="1:20">
      <c r="A1763" s="241">
        <v>44001</v>
      </c>
      <c r="B1763" t="s">
        <v>8627</v>
      </c>
      <c r="C1763" t="s">
        <v>625</v>
      </c>
      <c r="D1763" t="s">
        <v>671</v>
      </c>
      <c r="E1763" t="s">
        <v>597</v>
      </c>
      <c r="F1763" t="s">
        <v>598</v>
      </c>
      <c r="G1763" t="s">
        <v>210</v>
      </c>
      <c r="H1763" t="s">
        <v>1057</v>
      </c>
      <c r="I1763" t="s">
        <v>577</v>
      </c>
      <c r="J1763" t="s">
        <v>570</v>
      </c>
      <c r="K1763" t="s">
        <v>1032</v>
      </c>
      <c r="L1763">
        <v>0.86</v>
      </c>
      <c r="M1763" t="s">
        <v>8628</v>
      </c>
      <c r="N1763" t="s">
        <v>8629</v>
      </c>
      <c r="O1763" t="s">
        <v>8630</v>
      </c>
      <c r="P1763" t="s">
        <v>485</v>
      </c>
      <c r="Q1763" t="s">
        <v>6845</v>
      </c>
      <c r="R1763" t="s">
        <v>6846</v>
      </c>
      <c r="S1763" t="s">
        <v>2885</v>
      </c>
      <c r="T1763" t="s">
        <v>2886</v>
      </c>
    </row>
    <row r="1764" spans="1:20">
      <c r="A1764" s="241">
        <v>44001</v>
      </c>
      <c r="B1764" t="s">
        <v>8631</v>
      </c>
      <c r="C1764" t="s">
        <v>274</v>
      </c>
      <c r="D1764" t="s">
        <v>2535</v>
      </c>
      <c r="E1764" t="s">
        <v>597</v>
      </c>
      <c r="F1764" t="s">
        <v>356</v>
      </c>
      <c r="G1764" t="s">
        <v>830</v>
      </c>
      <c r="H1764" t="s">
        <v>1017</v>
      </c>
      <c r="I1764" t="s">
        <v>2329</v>
      </c>
      <c r="J1764" t="s">
        <v>1770</v>
      </c>
      <c r="K1764" t="s">
        <v>534</v>
      </c>
      <c r="L1764">
        <v>0.86</v>
      </c>
      <c r="M1764" t="s">
        <v>8632</v>
      </c>
      <c r="N1764" t="s">
        <v>8633</v>
      </c>
      <c r="O1764" t="s">
        <v>8634</v>
      </c>
      <c r="P1764" t="s">
        <v>485</v>
      </c>
      <c r="Q1764" t="s">
        <v>6845</v>
      </c>
      <c r="R1764" t="s">
        <v>6846</v>
      </c>
      <c r="S1764" t="s">
        <v>2885</v>
      </c>
      <c r="T1764" t="s">
        <v>2886</v>
      </c>
    </row>
    <row r="1765" spans="1:20">
      <c r="A1765" s="241">
        <v>44001</v>
      </c>
      <c r="B1765" t="s">
        <v>8635</v>
      </c>
      <c r="C1765" t="s">
        <v>207</v>
      </c>
      <c r="D1765" t="s">
        <v>1139</v>
      </c>
      <c r="E1765" t="s">
        <v>1121</v>
      </c>
      <c r="F1765" t="s">
        <v>385</v>
      </c>
      <c r="G1765" t="s">
        <v>1781</v>
      </c>
      <c r="H1765" t="s">
        <v>1453</v>
      </c>
      <c r="I1765" t="s">
        <v>278</v>
      </c>
      <c r="J1765" t="s">
        <v>1786</v>
      </c>
      <c r="K1765" t="s">
        <v>214</v>
      </c>
      <c r="L1765">
        <v>0.86</v>
      </c>
      <c r="M1765" t="s">
        <v>8636</v>
      </c>
      <c r="N1765" t="s">
        <v>8637</v>
      </c>
      <c r="O1765" t="s">
        <v>8638</v>
      </c>
      <c r="P1765" t="s">
        <v>485</v>
      </c>
      <c r="Q1765" t="s">
        <v>6845</v>
      </c>
      <c r="R1765" t="s">
        <v>6846</v>
      </c>
      <c r="S1765" t="s">
        <v>2885</v>
      </c>
      <c r="T1765" t="s">
        <v>2886</v>
      </c>
    </row>
    <row r="1766" spans="1:20">
      <c r="A1766" s="241">
        <v>44001</v>
      </c>
      <c r="B1766" t="s">
        <v>8639</v>
      </c>
      <c r="C1766" t="s">
        <v>442</v>
      </c>
      <c r="D1766" t="s">
        <v>625</v>
      </c>
      <c r="E1766" t="s">
        <v>632</v>
      </c>
      <c r="F1766" t="s">
        <v>598</v>
      </c>
      <c r="G1766" t="s">
        <v>240</v>
      </c>
      <c r="H1766" t="s">
        <v>585</v>
      </c>
      <c r="I1766" t="s">
        <v>266</v>
      </c>
      <c r="J1766" t="s">
        <v>255</v>
      </c>
      <c r="K1766" t="s">
        <v>1032</v>
      </c>
      <c r="L1766">
        <v>0.86</v>
      </c>
      <c r="M1766" t="s">
        <v>8640</v>
      </c>
      <c r="N1766" t="s">
        <v>8641</v>
      </c>
      <c r="O1766" t="s">
        <v>8642</v>
      </c>
      <c r="P1766" t="s">
        <v>485</v>
      </c>
      <c r="Q1766" t="s">
        <v>6845</v>
      </c>
      <c r="R1766" t="s">
        <v>6846</v>
      </c>
      <c r="S1766" t="s">
        <v>2885</v>
      </c>
      <c r="T1766" t="s">
        <v>2886</v>
      </c>
    </row>
    <row r="1767" spans="1:20">
      <c r="A1767" s="241">
        <v>44001</v>
      </c>
      <c r="B1767" t="s">
        <v>8643</v>
      </c>
      <c r="C1767" t="s">
        <v>237</v>
      </c>
      <c r="D1767" t="s">
        <v>2478</v>
      </c>
      <c r="E1767" t="s">
        <v>696</v>
      </c>
      <c r="F1767" t="s">
        <v>385</v>
      </c>
      <c r="G1767" t="s">
        <v>296</v>
      </c>
      <c r="H1767" t="s">
        <v>1069</v>
      </c>
      <c r="I1767" t="s">
        <v>1264</v>
      </c>
      <c r="J1767" t="s">
        <v>1063</v>
      </c>
      <c r="K1767" t="s">
        <v>214</v>
      </c>
      <c r="L1767">
        <v>0.86</v>
      </c>
      <c r="M1767" t="s">
        <v>8644</v>
      </c>
      <c r="N1767" t="s">
        <v>8645</v>
      </c>
      <c r="O1767" t="s">
        <v>8646</v>
      </c>
      <c r="P1767" t="s">
        <v>485</v>
      </c>
      <c r="Q1767" t="s">
        <v>6845</v>
      </c>
      <c r="R1767" t="s">
        <v>6846</v>
      </c>
      <c r="S1767" t="s">
        <v>2885</v>
      </c>
      <c r="T1767" t="s">
        <v>2886</v>
      </c>
    </row>
    <row r="1768" spans="1:20">
      <c r="A1768" s="241">
        <v>44001</v>
      </c>
      <c r="B1768" t="s">
        <v>8647</v>
      </c>
      <c r="C1768" t="s">
        <v>614</v>
      </c>
      <c r="D1768" t="s">
        <v>261</v>
      </c>
      <c r="E1768" t="s">
        <v>606</v>
      </c>
      <c r="F1768" t="s">
        <v>314</v>
      </c>
      <c r="G1768" t="s">
        <v>1263</v>
      </c>
      <c r="H1768" t="s">
        <v>600</v>
      </c>
      <c r="I1768" t="s">
        <v>308</v>
      </c>
      <c r="J1768" t="s">
        <v>857</v>
      </c>
      <c r="K1768" t="s">
        <v>579</v>
      </c>
      <c r="L1768">
        <v>0.86</v>
      </c>
      <c r="M1768" t="s">
        <v>8648</v>
      </c>
      <c r="N1768" t="s">
        <v>8649</v>
      </c>
      <c r="O1768" t="s">
        <v>8650</v>
      </c>
      <c r="P1768" t="s">
        <v>485</v>
      </c>
      <c r="Q1768" t="s">
        <v>6845</v>
      </c>
      <c r="R1768" t="s">
        <v>6846</v>
      </c>
      <c r="S1768" t="s">
        <v>2885</v>
      </c>
      <c r="T1768" t="s">
        <v>2886</v>
      </c>
    </row>
    <row r="1769" spans="1:20">
      <c r="A1769" s="241">
        <v>44001</v>
      </c>
      <c r="B1769" t="s">
        <v>8651</v>
      </c>
      <c r="C1769" t="s">
        <v>712</v>
      </c>
      <c r="D1769" t="s">
        <v>614</v>
      </c>
      <c r="E1769" t="s">
        <v>696</v>
      </c>
      <c r="F1769" t="s">
        <v>1291</v>
      </c>
      <c r="G1769" t="s">
        <v>836</v>
      </c>
      <c r="H1769" t="s">
        <v>529</v>
      </c>
      <c r="I1769" t="s">
        <v>288</v>
      </c>
      <c r="J1769" t="s">
        <v>289</v>
      </c>
      <c r="K1769" t="s">
        <v>244</v>
      </c>
      <c r="L1769">
        <v>0.86</v>
      </c>
      <c r="M1769" t="s">
        <v>8652</v>
      </c>
      <c r="N1769" t="s">
        <v>8653</v>
      </c>
      <c r="O1769" t="s">
        <v>8654</v>
      </c>
      <c r="P1769" t="s">
        <v>485</v>
      </c>
      <c r="Q1769" t="s">
        <v>6845</v>
      </c>
      <c r="R1769" t="s">
        <v>6846</v>
      </c>
      <c r="S1769" t="s">
        <v>2885</v>
      </c>
      <c r="T1769" t="s">
        <v>2886</v>
      </c>
    </row>
    <row r="1770" spans="1:20">
      <c r="A1770" s="241">
        <v>44001</v>
      </c>
      <c r="B1770" t="s">
        <v>8655</v>
      </c>
      <c r="C1770" t="s">
        <v>645</v>
      </c>
      <c r="D1770" t="s">
        <v>615</v>
      </c>
      <c r="E1770" t="s">
        <v>696</v>
      </c>
      <c r="F1770" t="s">
        <v>626</v>
      </c>
      <c r="G1770" t="s">
        <v>836</v>
      </c>
      <c r="H1770" t="s">
        <v>868</v>
      </c>
      <c r="I1770" t="s">
        <v>609</v>
      </c>
      <c r="J1770" t="s">
        <v>850</v>
      </c>
      <c r="K1770" t="s">
        <v>231</v>
      </c>
      <c r="L1770">
        <v>0.86</v>
      </c>
      <c r="M1770" t="s">
        <v>8656</v>
      </c>
      <c r="N1770" t="s">
        <v>8657</v>
      </c>
      <c r="O1770" t="s">
        <v>8658</v>
      </c>
      <c r="P1770" t="s">
        <v>485</v>
      </c>
      <c r="Q1770" t="s">
        <v>6845</v>
      </c>
      <c r="R1770" t="s">
        <v>6846</v>
      </c>
      <c r="S1770" t="s">
        <v>2885</v>
      </c>
      <c r="T1770" t="s">
        <v>2886</v>
      </c>
    </row>
    <row r="1771" spans="1:20">
      <c r="A1771" s="241">
        <v>44001</v>
      </c>
      <c r="B1771" t="s">
        <v>8659</v>
      </c>
      <c r="C1771" t="s">
        <v>625</v>
      </c>
      <c r="D1771" t="s">
        <v>274</v>
      </c>
      <c r="E1771" t="s">
        <v>332</v>
      </c>
      <c r="F1771" t="s">
        <v>682</v>
      </c>
      <c r="G1771" t="s">
        <v>599</v>
      </c>
      <c r="H1771" t="s">
        <v>529</v>
      </c>
      <c r="I1771" t="s">
        <v>297</v>
      </c>
      <c r="J1771" t="s">
        <v>857</v>
      </c>
      <c r="K1771" t="s">
        <v>256</v>
      </c>
      <c r="L1771">
        <v>0.86</v>
      </c>
      <c r="M1771" t="s">
        <v>8660</v>
      </c>
      <c r="N1771" t="s">
        <v>8661</v>
      </c>
      <c r="O1771" t="s">
        <v>8662</v>
      </c>
      <c r="P1771" t="s">
        <v>485</v>
      </c>
      <c r="Q1771" t="s">
        <v>6845</v>
      </c>
      <c r="R1771" t="s">
        <v>6846</v>
      </c>
      <c r="S1771" t="s">
        <v>2885</v>
      </c>
      <c r="T1771" t="s">
        <v>2886</v>
      </c>
    </row>
    <row r="1772" spans="1:20">
      <c r="A1772" s="241">
        <v>44001</v>
      </c>
      <c r="B1772" t="s">
        <v>8663</v>
      </c>
      <c r="C1772" t="s">
        <v>261</v>
      </c>
      <c r="D1772" t="s">
        <v>645</v>
      </c>
      <c r="E1772" t="s">
        <v>696</v>
      </c>
      <c r="F1772" t="s">
        <v>2151</v>
      </c>
      <c r="G1772" t="s">
        <v>355</v>
      </c>
      <c r="H1772" t="s">
        <v>1069</v>
      </c>
      <c r="I1772" t="s">
        <v>317</v>
      </c>
      <c r="J1772" t="s">
        <v>620</v>
      </c>
      <c r="K1772" t="s">
        <v>579</v>
      </c>
      <c r="L1772">
        <v>0.86</v>
      </c>
      <c r="M1772" t="s">
        <v>8664</v>
      </c>
      <c r="N1772" t="s">
        <v>8665</v>
      </c>
      <c r="O1772" t="s">
        <v>8666</v>
      </c>
      <c r="P1772" t="s">
        <v>485</v>
      </c>
      <c r="Q1772" t="s">
        <v>6845</v>
      </c>
      <c r="R1772" t="s">
        <v>6846</v>
      </c>
      <c r="S1772" t="s">
        <v>2885</v>
      </c>
      <c r="T1772" t="s">
        <v>2886</v>
      </c>
    </row>
    <row r="1773" spans="1:20">
      <c r="A1773" s="241">
        <v>44001</v>
      </c>
      <c r="B1773" t="s">
        <v>8667</v>
      </c>
      <c r="C1773" t="s">
        <v>615</v>
      </c>
      <c r="D1773" t="s">
        <v>423</v>
      </c>
      <c r="E1773" t="s">
        <v>632</v>
      </c>
      <c r="F1773" t="s">
        <v>323</v>
      </c>
      <c r="G1773" t="s">
        <v>1292</v>
      </c>
      <c r="H1773" t="s">
        <v>316</v>
      </c>
      <c r="I1773" t="s">
        <v>1494</v>
      </c>
      <c r="J1773" t="s">
        <v>634</v>
      </c>
      <c r="K1773" t="s">
        <v>338</v>
      </c>
      <c r="L1773">
        <v>0.86</v>
      </c>
      <c r="M1773" t="s">
        <v>8668</v>
      </c>
      <c r="N1773" t="s">
        <v>8669</v>
      </c>
      <c r="O1773" t="s">
        <v>8670</v>
      </c>
      <c r="P1773" t="s">
        <v>485</v>
      </c>
      <c r="Q1773" t="s">
        <v>6845</v>
      </c>
      <c r="R1773" t="s">
        <v>6846</v>
      </c>
      <c r="S1773" t="s">
        <v>2885</v>
      </c>
      <c r="T1773" t="s">
        <v>2886</v>
      </c>
    </row>
    <row r="1774" spans="1:20">
      <c r="A1774" s="241">
        <v>44001</v>
      </c>
      <c r="B1774" t="s">
        <v>8671</v>
      </c>
      <c r="C1774" t="s">
        <v>261</v>
      </c>
      <c r="D1774" t="s">
        <v>614</v>
      </c>
      <c r="E1774" t="s">
        <v>225</v>
      </c>
      <c r="F1774" t="s">
        <v>1147</v>
      </c>
      <c r="G1774" t="s">
        <v>1477</v>
      </c>
      <c r="H1774" t="s">
        <v>239</v>
      </c>
      <c r="I1774" t="s">
        <v>869</v>
      </c>
      <c r="J1774" t="s">
        <v>318</v>
      </c>
      <c r="K1774" t="s">
        <v>299</v>
      </c>
      <c r="L1774">
        <v>0.86</v>
      </c>
      <c r="M1774" t="s">
        <v>8672</v>
      </c>
      <c r="N1774" t="s">
        <v>8673</v>
      </c>
      <c r="O1774" t="s">
        <v>8674</v>
      </c>
      <c r="P1774" t="s">
        <v>485</v>
      </c>
      <c r="Q1774" t="s">
        <v>6845</v>
      </c>
      <c r="R1774" t="s">
        <v>6846</v>
      </c>
      <c r="S1774" t="s">
        <v>2885</v>
      </c>
      <c r="T1774" t="s">
        <v>2886</v>
      </c>
    </row>
    <row r="1775" spans="1:20">
      <c r="A1775" s="241">
        <v>44001</v>
      </c>
      <c r="B1775" t="s">
        <v>8675</v>
      </c>
      <c r="C1775" t="s">
        <v>1079</v>
      </c>
      <c r="D1775" t="s">
        <v>645</v>
      </c>
      <c r="E1775" t="s">
        <v>238</v>
      </c>
      <c r="F1775" t="s">
        <v>633</v>
      </c>
      <c r="G1775" t="s">
        <v>1477</v>
      </c>
      <c r="H1775" t="s">
        <v>251</v>
      </c>
      <c r="I1775" t="s">
        <v>1842</v>
      </c>
      <c r="J1775" t="s">
        <v>1092</v>
      </c>
      <c r="K1775" t="s">
        <v>579</v>
      </c>
      <c r="L1775">
        <v>0.86</v>
      </c>
      <c r="M1775" t="s">
        <v>8676</v>
      </c>
      <c r="N1775" t="s">
        <v>8677</v>
      </c>
      <c r="O1775" t="s">
        <v>8678</v>
      </c>
      <c r="P1775" t="s">
        <v>485</v>
      </c>
      <c r="Q1775" t="s">
        <v>6845</v>
      </c>
      <c r="R1775" t="s">
        <v>6846</v>
      </c>
      <c r="S1775" t="s">
        <v>2885</v>
      </c>
      <c r="T1775" t="s">
        <v>2886</v>
      </c>
    </row>
    <row r="1776" spans="1:20">
      <c r="A1776" s="241">
        <v>44001</v>
      </c>
      <c r="B1776" t="s">
        <v>8679</v>
      </c>
      <c r="C1776" t="s">
        <v>223</v>
      </c>
      <c r="D1776" t="s">
        <v>645</v>
      </c>
      <c r="E1776" t="s">
        <v>304</v>
      </c>
      <c r="F1776" t="s">
        <v>374</v>
      </c>
      <c r="G1776" t="s">
        <v>334</v>
      </c>
      <c r="H1776" t="s">
        <v>876</v>
      </c>
      <c r="I1776" t="s">
        <v>882</v>
      </c>
      <c r="J1776" t="s">
        <v>348</v>
      </c>
      <c r="K1776" t="s">
        <v>651</v>
      </c>
      <c r="L1776">
        <v>0.86</v>
      </c>
      <c r="M1776" t="s">
        <v>8680</v>
      </c>
      <c r="N1776" t="s">
        <v>8681</v>
      </c>
      <c r="O1776" t="s">
        <v>8682</v>
      </c>
      <c r="P1776" t="s">
        <v>485</v>
      </c>
      <c r="Q1776" t="s">
        <v>6845</v>
      </c>
      <c r="R1776" t="s">
        <v>6846</v>
      </c>
      <c r="S1776" t="s">
        <v>2885</v>
      </c>
      <c r="T1776" t="s">
        <v>2886</v>
      </c>
    </row>
    <row r="1777" spans="1:20">
      <c r="A1777" s="241">
        <v>44001</v>
      </c>
      <c r="B1777" t="s">
        <v>8683</v>
      </c>
      <c r="C1777" t="s">
        <v>679</v>
      </c>
      <c r="D1777" t="s">
        <v>614</v>
      </c>
      <c r="E1777" t="s">
        <v>556</v>
      </c>
      <c r="F1777" t="s">
        <v>374</v>
      </c>
      <c r="G1777" t="s">
        <v>1512</v>
      </c>
      <c r="H1777" t="s">
        <v>263</v>
      </c>
      <c r="I1777" t="s">
        <v>357</v>
      </c>
      <c r="J1777" t="s">
        <v>1868</v>
      </c>
      <c r="K1777" t="s">
        <v>327</v>
      </c>
      <c r="L1777">
        <v>0.86</v>
      </c>
      <c r="M1777" t="s">
        <v>8684</v>
      </c>
      <c r="N1777" t="s">
        <v>8685</v>
      </c>
      <c r="O1777" t="s">
        <v>8686</v>
      </c>
      <c r="P1777" t="s">
        <v>485</v>
      </c>
      <c r="Q1777" t="s">
        <v>6845</v>
      </c>
      <c r="R1777" t="s">
        <v>6846</v>
      </c>
      <c r="S1777" t="s">
        <v>2885</v>
      </c>
      <c r="T1777" t="s">
        <v>2886</v>
      </c>
    </row>
    <row r="1778" spans="1:20">
      <c r="A1778" s="241">
        <v>44001</v>
      </c>
      <c r="B1778" t="s">
        <v>8687</v>
      </c>
      <c r="C1778" t="s">
        <v>442</v>
      </c>
      <c r="D1778" t="s">
        <v>274</v>
      </c>
      <c r="E1778" t="s">
        <v>304</v>
      </c>
      <c r="F1778" t="s">
        <v>647</v>
      </c>
      <c r="G1778" t="s">
        <v>1115</v>
      </c>
      <c r="H1778" t="s">
        <v>1262</v>
      </c>
      <c r="I1778" t="s">
        <v>1859</v>
      </c>
      <c r="J1778" t="s">
        <v>358</v>
      </c>
      <c r="K1778" t="s">
        <v>327</v>
      </c>
      <c r="L1778">
        <v>0.86</v>
      </c>
      <c r="M1778" t="s">
        <v>8688</v>
      </c>
      <c r="N1778" t="s">
        <v>8689</v>
      </c>
      <c r="O1778" t="s">
        <v>8690</v>
      </c>
      <c r="P1778" t="s">
        <v>485</v>
      </c>
      <c r="Q1778" t="s">
        <v>6845</v>
      </c>
      <c r="R1778" t="s">
        <v>6846</v>
      </c>
      <c r="S1778" t="s">
        <v>2885</v>
      </c>
      <c r="T1778" t="s">
        <v>2886</v>
      </c>
    </row>
    <row r="1779" spans="1:20">
      <c r="A1779" s="241">
        <v>44001</v>
      </c>
      <c r="B1779" t="s">
        <v>8691</v>
      </c>
      <c r="C1779" t="s">
        <v>625</v>
      </c>
      <c r="D1779" t="s">
        <v>615</v>
      </c>
      <c r="E1779" t="s">
        <v>424</v>
      </c>
      <c r="F1779" t="s">
        <v>887</v>
      </c>
      <c r="G1779" t="s">
        <v>1585</v>
      </c>
      <c r="H1779" t="s">
        <v>1262</v>
      </c>
      <c r="I1779" t="s">
        <v>376</v>
      </c>
      <c r="J1779" t="s">
        <v>368</v>
      </c>
      <c r="K1779" t="s">
        <v>666</v>
      </c>
      <c r="L1779">
        <v>0.86</v>
      </c>
      <c r="M1779" t="s">
        <v>8692</v>
      </c>
      <c r="N1779" t="s">
        <v>8693</v>
      </c>
      <c r="O1779" t="s">
        <v>8694</v>
      </c>
      <c r="P1779" t="s">
        <v>485</v>
      </c>
      <c r="Q1779" t="s">
        <v>6845</v>
      </c>
      <c r="R1779" t="s">
        <v>6846</v>
      </c>
      <c r="S1779" t="s">
        <v>2885</v>
      </c>
      <c r="T1779" t="s">
        <v>2886</v>
      </c>
    </row>
    <row r="1780" spans="1:20">
      <c r="A1780" s="241">
        <v>44001</v>
      </c>
      <c r="B1780" t="s">
        <v>8695</v>
      </c>
      <c r="C1780" t="s">
        <v>631</v>
      </c>
      <c r="D1780" t="s">
        <v>679</v>
      </c>
      <c r="E1780" t="s">
        <v>606</v>
      </c>
      <c r="F1780" t="s">
        <v>364</v>
      </c>
      <c r="G1780" t="s">
        <v>1590</v>
      </c>
      <c r="H1780" t="s">
        <v>1591</v>
      </c>
      <c r="I1780" t="s">
        <v>386</v>
      </c>
      <c r="J1780" t="s">
        <v>368</v>
      </c>
      <c r="K1780" t="s">
        <v>268</v>
      </c>
      <c r="L1780">
        <v>0.86</v>
      </c>
      <c r="M1780" t="s">
        <v>8696</v>
      </c>
      <c r="N1780" t="s">
        <v>8697</v>
      </c>
      <c r="O1780" t="s">
        <v>8698</v>
      </c>
      <c r="P1780" t="s">
        <v>485</v>
      </c>
      <c r="Q1780" t="s">
        <v>6845</v>
      </c>
      <c r="R1780" t="s">
        <v>6846</v>
      </c>
      <c r="S1780" t="s">
        <v>2885</v>
      </c>
      <c r="T1780" t="s">
        <v>2886</v>
      </c>
    </row>
    <row r="1781" spans="1:20">
      <c r="A1781" s="241">
        <v>44001</v>
      </c>
      <c r="B1781" t="s">
        <v>8699</v>
      </c>
      <c r="C1781" t="s">
        <v>261</v>
      </c>
      <c r="D1781" t="s">
        <v>645</v>
      </c>
      <c r="E1781" t="s">
        <v>696</v>
      </c>
      <c r="F1781" t="s">
        <v>393</v>
      </c>
      <c r="G1781" t="s">
        <v>673</v>
      </c>
      <c r="H1781" t="s">
        <v>1552</v>
      </c>
      <c r="I1781" t="s">
        <v>1134</v>
      </c>
      <c r="J1781" t="s">
        <v>1569</v>
      </c>
      <c r="K1781" t="s">
        <v>359</v>
      </c>
      <c r="L1781">
        <v>0.86</v>
      </c>
      <c r="M1781" t="s">
        <v>8700</v>
      </c>
      <c r="N1781" t="s">
        <v>8701</v>
      </c>
      <c r="O1781" t="s">
        <v>8702</v>
      </c>
      <c r="P1781" t="s">
        <v>485</v>
      </c>
      <c r="Q1781" t="s">
        <v>6845</v>
      </c>
      <c r="R1781" t="s">
        <v>6846</v>
      </c>
      <c r="S1781" t="s">
        <v>2885</v>
      </c>
      <c r="T1781" t="s">
        <v>2886</v>
      </c>
    </row>
    <row r="1782" spans="1:20">
      <c r="A1782" s="241">
        <v>44001</v>
      </c>
      <c r="B1782" t="s">
        <v>8703</v>
      </c>
      <c r="C1782" t="s">
        <v>274</v>
      </c>
      <c r="D1782" t="s">
        <v>625</v>
      </c>
      <c r="E1782" t="s">
        <v>332</v>
      </c>
      <c r="F1782" t="s">
        <v>413</v>
      </c>
      <c r="G1782" t="s">
        <v>697</v>
      </c>
      <c r="H1782" t="s">
        <v>1493</v>
      </c>
      <c r="I1782" t="s">
        <v>427</v>
      </c>
      <c r="J1782" t="s">
        <v>407</v>
      </c>
      <c r="K1782" t="s">
        <v>349</v>
      </c>
      <c r="L1782">
        <v>0.86</v>
      </c>
      <c r="M1782" t="s">
        <v>8704</v>
      </c>
      <c r="N1782" t="s">
        <v>8705</v>
      </c>
      <c r="O1782" t="s">
        <v>8706</v>
      </c>
      <c r="P1782" t="s">
        <v>485</v>
      </c>
      <c r="Q1782" t="s">
        <v>6845</v>
      </c>
      <c r="R1782" t="s">
        <v>6846</v>
      </c>
      <c r="S1782" t="s">
        <v>2885</v>
      </c>
      <c r="T1782" t="s">
        <v>2886</v>
      </c>
    </row>
    <row r="1783" spans="1:20">
      <c r="A1783" s="241">
        <v>44001</v>
      </c>
      <c r="B1783" t="s">
        <v>8707</v>
      </c>
      <c r="C1783" t="s">
        <v>645</v>
      </c>
      <c r="D1783" t="s">
        <v>645</v>
      </c>
      <c r="E1783" t="s">
        <v>812</v>
      </c>
      <c r="F1783" t="s">
        <v>1945</v>
      </c>
      <c r="G1783" t="s">
        <v>931</v>
      </c>
      <c r="H1783" t="s">
        <v>647</v>
      </c>
      <c r="I1783" t="s">
        <v>1158</v>
      </c>
      <c r="J1783" t="s">
        <v>437</v>
      </c>
      <c r="K1783" t="s">
        <v>700</v>
      </c>
      <c r="L1783">
        <v>0.86</v>
      </c>
      <c r="M1783" t="s">
        <v>8708</v>
      </c>
      <c r="N1783" t="s">
        <v>8709</v>
      </c>
      <c r="O1783" t="s">
        <v>8710</v>
      </c>
      <c r="P1783" t="s">
        <v>485</v>
      </c>
      <c r="Q1783" t="s">
        <v>6845</v>
      </c>
      <c r="R1783" t="s">
        <v>6846</v>
      </c>
      <c r="S1783" t="s">
        <v>2885</v>
      </c>
      <c r="T1783" t="s">
        <v>2886</v>
      </c>
    </row>
    <row r="1784" spans="1:20">
      <c r="A1784" s="241">
        <v>44001</v>
      </c>
      <c r="B1784" t="s">
        <v>8711</v>
      </c>
      <c r="C1784" t="s">
        <v>294</v>
      </c>
      <c r="D1784" t="s">
        <v>679</v>
      </c>
      <c r="E1784" t="s">
        <v>1121</v>
      </c>
      <c r="F1784" t="s">
        <v>1338</v>
      </c>
      <c r="G1784" t="s">
        <v>1324</v>
      </c>
      <c r="H1784" t="s">
        <v>333</v>
      </c>
      <c r="I1784" t="s">
        <v>1158</v>
      </c>
      <c r="J1784" t="s">
        <v>940</v>
      </c>
      <c r="K1784" t="s">
        <v>349</v>
      </c>
      <c r="L1784">
        <v>0.86</v>
      </c>
      <c r="M1784" t="s">
        <v>8712</v>
      </c>
      <c r="N1784" t="s">
        <v>8713</v>
      </c>
      <c r="O1784" t="s">
        <v>8714</v>
      </c>
      <c r="P1784" t="s">
        <v>485</v>
      </c>
      <c r="Q1784" t="s">
        <v>6845</v>
      </c>
      <c r="R1784" t="s">
        <v>6846</v>
      </c>
      <c r="S1784" t="s">
        <v>2885</v>
      </c>
      <c r="T1784" t="s">
        <v>2886</v>
      </c>
    </row>
    <row r="1785" spans="1:20">
      <c r="A1785" s="241">
        <v>44001</v>
      </c>
      <c r="B1785" t="s">
        <v>8715</v>
      </c>
      <c r="C1785" t="s">
        <v>712</v>
      </c>
      <c r="D1785" t="s">
        <v>423</v>
      </c>
      <c r="E1785" t="s">
        <v>402</v>
      </c>
      <c r="F1785" t="s">
        <v>8716</v>
      </c>
      <c r="G1785" t="s">
        <v>3072</v>
      </c>
      <c r="H1785" t="s">
        <v>8717</v>
      </c>
      <c r="I1785" t="s">
        <v>8718</v>
      </c>
      <c r="J1785" t="s">
        <v>8719</v>
      </c>
      <c r="K1785" t="s">
        <v>8720</v>
      </c>
      <c r="L1785">
        <v>0.87</v>
      </c>
      <c r="M1785" t="s">
        <v>8721</v>
      </c>
      <c r="N1785" t="s">
        <v>8722</v>
      </c>
      <c r="O1785" t="s">
        <v>8723</v>
      </c>
      <c r="P1785" t="s">
        <v>485</v>
      </c>
      <c r="Q1785" t="s">
        <v>6845</v>
      </c>
      <c r="R1785" t="s">
        <v>6846</v>
      </c>
      <c r="S1785" t="s">
        <v>2885</v>
      </c>
      <c r="T1785" t="s">
        <v>2886</v>
      </c>
    </row>
    <row r="1786" spans="1:20">
      <c r="A1786" s="241">
        <v>44001</v>
      </c>
      <c r="B1786" t="s">
        <v>8724</v>
      </c>
      <c r="C1786" t="s">
        <v>1376</v>
      </c>
      <c r="D1786" t="s">
        <v>2811</v>
      </c>
      <c r="E1786" t="s">
        <v>273</v>
      </c>
      <c r="F1786" t="s">
        <v>748</v>
      </c>
      <c r="G1786" t="s">
        <v>971</v>
      </c>
      <c r="H1786" t="s">
        <v>2638</v>
      </c>
      <c r="I1786" t="s">
        <v>8725</v>
      </c>
      <c r="J1786" t="s">
        <v>7268</v>
      </c>
      <c r="K1786" t="s">
        <v>1972</v>
      </c>
      <c r="L1786">
        <v>0.89</v>
      </c>
      <c r="M1786" t="s">
        <v>8726</v>
      </c>
      <c r="N1786" t="s">
        <v>8727</v>
      </c>
      <c r="O1786" t="s">
        <v>8728</v>
      </c>
      <c r="P1786" t="s">
        <v>485</v>
      </c>
      <c r="Q1786" t="s">
        <v>6845</v>
      </c>
      <c r="R1786" t="s">
        <v>6846</v>
      </c>
      <c r="S1786" t="s">
        <v>2885</v>
      </c>
      <c r="T1786" t="s">
        <v>2886</v>
      </c>
    </row>
    <row r="1787" spans="1:20">
      <c r="A1787" s="241">
        <v>44001</v>
      </c>
      <c r="B1787" t="s">
        <v>8729</v>
      </c>
      <c r="C1787" t="s">
        <v>1348</v>
      </c>
      <c r="D1787" t="s">
        <v>462</v>
      </c>
      <c r="E1787" t="s">
        <v>262</v>
      </c>
      <c r="F1787" t="s">
        <v>1358</v>
      </c>
      <c r="G1787" t="s">
        <v>1197</v>
      </c>
      <c r="H1787" t="s">
        <v>478</v>
      </c>
      <c r="I1787" t="s">
        <v>7964</v>
      </c>
      <c r="J1787" t="s">
        <v>4160</v>
      </c>
      <c r="K1787" t="s">
        <v>1981</v>
      </c>
      <c r="L1787">
        <v>0.89</v>
      </c>
      <c r="M1787" t="s">
        <v>8730</v>
      </c>
      <c r="N1787" t="s">
        <v>8731</v>
      </c>
      <c r="O1787" t="s">
        <v>8732</v>
      </c>
      <c r="P1787" t="s">
        <v>485</v>
      </c>
      <c r="Q1787" t="s">
        <v>6845</v>
      </c>
      <c r="R1787" t="s">
        <v>6846</v>
      </c>
      <c r="S1787" t="s">
        <v>2885</v>
      </c>
      <c r="T1787" t="s">
        <v>2886</v>
      </c>
    </row>
    <row r="1788" spans="1:20">
      <c r="A1788" s="241">
        <v>44001</v>
      </c>
      <c r="B1788" t="s">
        <v>8733</v>
      </c>
      <c r="C1788" t="s">
        <v>499</v>
      </c>
      <c r="D1788" t="s">
        <v>499</v>
      </c>
      <c r="E1788" t="s">
        <v>224</v>
      </c>
      <c r="F1788" t="s">
        <v>1667</v>
      </c>
      <c r="G1788" t="s">
        <v>8734</v>
      </c>
      <c r="H1788" t="s">
        <v>6943</v>
      </c>
      <c r="I1788" t="s">
        <v>992</v>
      </c>
      <c r="J1788" t="s">
        <v>2450</v>
      </c>
      <c r="K1788" t="s">
        <v>1660</v>
      </c>
      <c r="L1788">
        <v>0.89</v>
      </c>
      <c r="M1788" t="s">
        <v>8735</v>
      </c>
      <c r="N1788" t="s">
        <v>8736</v>
      </c>
      <c r="O1788" t="s">
        <v>8737</v>
      </c>
      <c r="P1788" t="s">
        <v>485</v>
      </c>
      <c r="Q1788" t="s">
        <v>6845</v>
      </c>
      <c r="R1788" t="s">
        <v>6846</v>
      </c>
      <c r="S1788" t="s">
        <v>2885</v>
      </c>
      <c r="T1788" t="s">
        <v>2886</v>
      </c>
    </row>
    <row r="1789" spans="1:20">
      <c r="A1789" s="241">
        <v>44001</v>
      </c>
      <c r="B1789" t="s">
        <v>8738</v>
      </c>
      <c r="C1789" t="s">
        <v>294</v>
      </c>
      <c r="D1789" t="s">
        <v>442</v>
      </c>
      <c r="E1789" t="s">
        <v>696</v>
      </c>
      <c r="F1789" t="s">
        <v>1388</v>
      </c>
      <c r="G1789" t="s">
        <v>7577</v>
      </c>
      <c r="H1789" t="s">
        <v>2300</v>
      </c>
      <c r="I1789" t="s">
        <v>1686</v>
      </c>
      <c r="J1789" t="s">
        <v>2018</v>
      </c>
      <c r="K1789" t="s">
        <v>2458</v>
      </c>
      <c r="L1789">
        <v>0.86</v>
      </c>
      <c r="M1789" t="s">
        <v>8739</v>
      </c>
      <c r="N1789" t="s">
        <v>8740</v>
      </c>
      <c r="O1789" t="s">
        <v>8741</v>
      </c>
      <c r="P1789" t="s">
        <v>485</v>
      </c>
      <c r="Q1789" t="s">
        <v>6845</v>
      </c>
      <c r="R1789" t="s">
        <v>6846</v>
      </c>
      <c r="S1789" t="s">
        <v>2885</v>
      </c>
      <c r="T1789" t="s">
        <v>2886</v>
      </c>
    </row>
    <row r="1790" spans="1:20">
      <c r="A1790" s="241">
        <v>44001</v>
      </c>
      <c r="B1790" t="s">
        <v>8742</v>
      </c>
      <c r="C1790" t="s">
        <v>442</v>
      </c>
      <c r="D1790" t="s">
        <v>274</v>
      </c>
      <c r="E1790" t="s">
        <v>696</v>
      </c>
      <c r="F1790" t="s">
        <v>608</v>
      </c>
      <c r="G1790" t="s">
        <v>2686</v>
      </c>
      <c r="H1790" t="s">
        <v>1716</v>
      </c>
      <c r="I1790" t="s">
        <v>1232</v>
      </c>
      <c r="J1790" t="s">
        <v>1026</v>
      </c>
      <c r="K1790" t="s">
        <v>524</v>
      </c>
      <c r="L1790">
        <v>0.86</v>
      </c>
      <c r="M1790" t="s">
        <v>8743</v>
      </c>
      <c r="N1790" t="s">
        <v>8744</v>
      </c>
      <c r="O1790" t="s">
        <v>8745</v>
      </c>
      <c r="P1790" t="s">
        <v>485</v>
      </c>
      <c r="Q1790" t="s">
        <v>6845</v>
      </c>
      <c r="R1790" t="s">
        <v>6846</v>
      </c>
      <c r="S1790" t="s">
        <v>2885</v>
      </c>
      <c r="T1790" t="s">
        <v>2886</v>
      </c>
    </row>
    <row r="1791" spans="1:20">
      <c r="A1791" s="241">
        <v>44001</v>
      </c>
      <c r="B1791" t="s">
        <v>8746</v>
      </c>
      <c r="C1791" t="s">
        <v>237</v>
      </c>
      <c r="D1791" t="s">
        <v>645</v>
      </c>
      <c r="E1791" t="s">
        <v>812</v>
      </c>
      <c r="F1791" t="s">
        <v>1255</v>
      </c>
      <c r="G1791" t="s">
        <v>2053</v>
      </c>
      <c r="H1791" t="s">
        <v>1051</v>
      </c>
      <c r="I1791" t="s">
        <v>1031</v>
      </c>
      <c r="J1791" t="s">
        <v>2881</v>
      </c>
      <c r="K1791" t="s">
        <v>515</v>
      </c>
      <c r="L1791">
        <v>0.86</v>
      </c>
      <c r="M1791" t="s">
        <v>8747</v>
      </c>
      <c r="N1791" t="s">
        <v>8748</v>
      </c>
      <c r="O1791" t="s">
        <v>8749</v>
      </c>
      <c r="P1791" t="s">
        <v>485</v>
      </c>
      <c r="Q1791" t="s">
        <v>6845</v>
      </c>
      <c r="R1791" t="s">
        <v>6846</v>
      </c>
      <c r="S1791" t="s">
        <v>2885</v>
      </c>
      <c r="T1791" t="s">
        <v>2886</v>
      </c>
    </row>
    <row r="1792" spans="1:20">
      <c r="A1792" s="241">
        <v>44001</v>
      </c>
      <c r="B1792" t="s">
        <v>8750</v>
      </c>
      <c r="C1792" t="s">
        <v>614</v>
      </c>
      <c r="D1792" t="s">
        <v>712</v>
      </c>
      <c r="E1792" t="s">
        <v>424</v>
      </c>
      <c r="F1792" t="s">
        <v>584</v>
      </c>
      <c r="G1792" t="s">
        <v>1745</v>
      </c>
      <c r="H1792" t="s">
        <v>1257</v>
      </c>
      <c r="I1792" t="s">
        <v>560</v>
      </c>
      <c r="J1792" t="s">
        <v>807</v>
      </c>
      <c r="K1792" t="s">
        <v>1032</v>
      </c>
      <c r="L1792">
        <v>0.86</v>
      </c>
      <c r="M1792" t="s">
        <v>8751</v>
      </c>
      <c r="N1792" t="s">
        <v>8752</v>
      </c>
      <c r="O1792" t="s">
        <v>8753</v>
      </c>
      <c r="P1792" t="s">
        <v>485</v>
      </c>
      <c r="Q1792" t="s">
        <v>6845</v>
      </c>
      <c r="R1792" t="s">
        <v>6846</v>
      </c>
      <c r="S1792" t="s">
        <v>2885</v>
      </c>
      <c r="T1792" t="s">
        <v>2886</v>
      </c>
    </row>
    <row r="1793" spans="1:20">
      <c r="A1793" s="241">
        <v>44001</v>
      </c>
      <c r="B1793" t="s">
        <v>8754</v>
      </c>
      <c r="C1793" t="s">
        <v>237</v>
      </c>
      <c r="D1793" t="s">
        <v>294</v>
      </c>
      <c r="E1793" t="s">
        <v>696</v>
      </c>
      <c r="F1793" t="s">
        <v>1452</v>
      </c>
      <c r="G1793" t="s">
        <v>814</v>
      </c>
      <c r="H1793" t="s">
        <v>1057</v>
      </c>
      <c r="I1793" t="s">
        <v>569</v>
      </c>
      <c r="J1793" t="s">
        <v>1770</v>
      </c>
      <c r="K1793" t="s">
        <v>214</v>
      </c>
      <c r="L1793">
        <v>0.86</v>
      </c>
      <c r="M1793" t="s">
        <v>8755</v>
      </c>
      <c r="N1793" t="s">
        <v>8756</v>
      </c>
      <c r="O1793" t="s">
        <v>8757</v>
      </c>
      <c r="P1793" t="s">
        <v>485</v>
      </c>
      <c r="Q1793" t="s">
        <v>6845</v>
      </c>
      <c r="R1793" t="s">
        <v>6846</v>
      </c>
      <c r="S1793" t="s">
        <v>2885</v>
      </c>
      <c r="T1793" t="s">
        <v>2886</v>
      </c>
    </row>
    <row r="1794" spans="1:20">
      <c r="A1794" s="241">
        <v>44001</v>
      </c>
      <c r="B1794" t="s">
        <v>8758</v>
      </c>
      <c r="C1794" t="s">
        <v>207</v>
      </c>
      <c r="D1794" t="s">
        <v>2478</v>
      </c>
      <c r="E1794" t="s">
        <v>696</v>
      </c>
      <c r="F1794" t="s">
        <v>1552</v>
      </c>
      <c r="G1794" t="s">
        <v>2343</v>
      </c>
      <c r="H1794" t="s">
        <v>209</v>
      </c>
      <c r="I1794" t="s">
        <v>288</v>
      </c>
      <c r="J1794" t="s">
        <v>1070</v>
      </c>
      <c r="K1794" t="s">
        <v>214</v>
      </c>
      <c r="L1794">
        <v>0.86</v>
      </c>
      <c r="M1794" t="s">
        <v>8759</v>
      </c>
      <c r="N1794" t="s">
        <v>8760</v>
      </c>
      <c r="O1794" t="s">
        <v>8761</v>
      </c>
      <c r="P1794" t="s">
        <v>485</v>
      </c>
      <c r="Q1794" t="s">
        <v>6845</v>
      </c>
      <c r="R1794" t="s">
        <v>6846</v>
      </c>
      <c r="S1794" t="s">
        <v>2885</v>
      </c>
      <c r="T1794" t="s">
        <v>2886</v>
      </c>
    </row>
    <row r="1795" spans="1:20">
      <c r="A1795" s="241">
        <v>44001</v>
      </c>
      <c r="B1795" t="s">
        <v>8762</v>
      </c>
      <c r="C1795" t="s">
        <v>645</v>
      </c>
      <c r="D1795" t="s">
        <v>712</v>
      </c>
      <c r="E1795" t="s">
        <v>225</v>
      </c>
      <c r="F1795" t="s">
        <v>395</v>
      </c>
      <c r="G1795" t="s">
        <v>1263</v>
      </c>
      <c r="H1795" t="s">
        <v>529</v>
      </c>
      <c r="I1795" t="s">
        <v>288</v>
      </c>
      <c r="J1795" t="s">
        <v>1070</v>
      </c>
      <c r="K1795" t="s">
        <v>231</v>
      </c>
      <c r="L1795">
        <v>0.86</v>
      </c>
      <c r="M1795" t="s">
        <v>8763</v>
      </c>
      <c r="N1795" t="s">
        <v>8764</v>
      </c>
      <c r="O1795" t="s">
        <v>8765</v>
      </c>
      <c r="P1795" t="s">
        <v>485</v>
      </c>
      <c r="Q1795" t="s">
        <v>6845</v>
      </c>
      <c r="R1795" t="s">
        <v>6846</v>
      </c>
      <c r="S1795" t="s">
        <v>2885</v>
      </c>
      <c r="T1795" t="s">
        <v>2886</v>
      </c>
    </row>
    <row r="1796" spans="1:20">
      <c r="A1796" s="241">
        <v>44001</v>
      </c>
      <c r="B1796" t="s">
        <v>8766</v>
      </c>
      <c r="C1796" t="s">
        <v>614</v>
      </c>
      <c r="D1796" t="s">
        <v>625</v>
      </c>
      <c r="E1796" t="s">
        <v>304</v>
      </c>
      <c r="F1796" t="s">
        <v>305</v>
      </c>
      <c r="G1796" t="s">
        <v>607</v>
      </c>
      <c r="H1796" t="s">
        <v>618</v>
      </c>
      <c r="I1796" t="s">
        <v>863</v>
      </c>
      <c r="J1796" t="s">
        <v>1812</v>
      </c>
      <c r="K1796" t="s">
        <v>268</v>
      </c>
      <c r="L1796">
        <v>0.86</v>
      </c>
      <c r="M1796" t="s">
        <v>8767</v>
      </c>
      <c r="N1796" t="s">
        <v>8768</v>
      </c>
      <c r="O1796" t="s">
        <v>8769</v>
      </c>
      <c r="P1796" t="s">
        <v>485</v>
      </c>
      <c r="Q1796" t="s">
        <v>6845</v>
      </c>
      <c r="R1796" t="s">
        <v>6846</v>
      </c>
      <c r="S1796" t="s">
        <v>2885</v>
      </c>
      <c r="T1796" t="s">
        <v>2886</v>
      </c>
    </row>
    <row r="1797" spans="1:20">
      <c r="A1797" s="241">
        <v>44001</v>
      </c>
      <c r="B1797" t="s">
        <v>8770</v>
      </c>
      <c r="C1797" t="s">
        <v>615</v>
      </c>
      <c r="D1797" t="s">
        <v>645</v>
      </c>
      <c r="E1797" t="s">
        <v>225</v>
      </c>
      <c r="F1797" t="s">
        <v>926</v>
      </c>
      <c r="G1797" t="s">
        <v>875</v>
      </c>
      <c r="H1797" t="s">
        <v>618</v>
      </c>
      <c r="I1797" t="s">
        <v>1087</v>
      </c>
      <c r="J1797" t="s">
        <v>870</v>
      </c>
      <c r="K1797" t="s">
        <v>256</v>
      </c>
      <c r="L1797">
        <v>0.86</v>
      </c>
      <c r="M1797" t="s">
        <v>8771</v>
      </c>
      <c r="N1797" t="s">
        <v>8772</v>
      </c>
      <c r="O1797" t="s">
        <v>8773</v>
      </c>
      <c r="P1797" t="s">
        <v>485</v>
      </c>
      <c r="Q1797" t="s">
        <v>6845</v>
      </c>
      <c r="R1797" t="s">
        <v>6846</v>
      </c>
      <c r="S1797" t="s">
        <v>2885</v>
      </c>
      <c r="T1797" t="s">
        <v>2886</v>
      </c>
    </row>
    <row r="1798" spans="1:20">
      <c r="A1798" s="241">
        <v>44001</v>
      </c>
      <c r="B1798" t="s">
        <v>8774</v>
      </c>
      <c r="C1798" t="s">
        <v>442</v>
      </c>
      <c r="D1798" t="s">
        <v>645</v>
      </c>
      <c r="E1798" t="s">
        <v>632</v>
      </c>
      <c r="F1798" t="s">
        <v>639</v>
      </c>
      <c r="G1798" t="s">
        <v>1500</v>
      </c>
      <c r="H1798" t="s">
        <v>275</v>
      </c>
      <c r="I1798" t="s">
        <v>1097</v>
      </c>
      <c r="J1798" t="s">
        <v>640</v>
      </c>
      <c r="K1798" t="s">
        <v>651</v>
      </c>
      <c r="L1798">
        <v>0.86</v>
      </c>
      <c r="M1798" t="s">
        <v>8775</v>
      </c>
      <c r="N1798" t="s">
        <v>8776</v>
      </c>
      <c r="O1798" t="s">
        <v>8777</v>
      </c>
      <c r="P1798" t="s">
        <v>485</v>
      </c>
      <c r="Q1798" t="s">
        <v>6845</v>
      </c>
      <c r="R1798" t="s">
        <v>6846</v>
      </c>
      <c r="S1798" t="s">
        <v>2885</v>
      </c>
      <c r="T1798" t="s">
        <v>2886</v>
      </c>
    </row>
    <row r="1799" spans="1:20">
      <c r="A1799" s="241">
        <v>44001</v>
      </c>
      <c r="B1799" t="s">
        <v>8778</v>
      </c>
      <c r="C1799" t="s">
        <v>294</v>
      </c>
      <c r="D1799" t="s">
        <v>671</v>
      </c>
      <c r="E1799" t="s">
        <v>680</v>
      </c>
      <c r="F1799" t="s">
        <v>374</v>
      </c>
      <c r="G1799" t="s">
        <v>365</v>
      </c>
      <c r="H1799" t="s">
        <v>1262</v>
      </c>
      <c r="I1799" t="s">
        <v>1859</v>
      </c>
      <c r="J1799" t="s">
        <v>1868</v>
      </c>
      <c r="K1799" t="s">
        <v>338</v>
      </c>
      <c r="L1799">
        <v>0.86</v>
      </c>
      <c r="M1799" t="s">
        <v>8779</v>
      </c>
      <c r="N1799" t="s">
        <v>8780</v>
      </c>
      <c r="O1799" t="s">
        <v>8781</v>
      </c>
      <c r="P1799" t="s">
        <v>485</v>
      </c>
      <c r="Q1799" t="s">
        <v>6845</v>
      </c>
      <c r="R1799" t="s">
        <v>6846</v>
      </c>
      <c r="S1799" t="s">
        <v>2885</v>
      </c>
      <c r="T1799" t="s">
        <v>2886</v>
      </c>
    </row>
    <row r="1800" spans="1:20">
      <c r="A1800" s="241">
        <v>44001</v>
      </c>
      <c r="B1800" t="s">
        <v>8782</v>
      </c>
      <c r="C1800" t="s">
        <v>261</v>
      </c>
      <c r="D1800" t="s">
        <v>1079</v>
      </c>
      <c r="E1800" t="s">
        <v>606</v>
      </c>
      <c r="F1800" t="s">
        <v>333</v>
      </c>
      <c r="G1800" t="s">
        <v>1115</v>
      </c>
      <c r="H1800" t="s">
        <v>285</v>
      </c>
      <c r="I1800" t="s">
        <v>1523</v>
      </c>
      <c r="J1800" t="s">
        <v>1868</v>
      </c>
      <c r="K1800" t="s">
        <v>268</v>
      </c>
      <c r="L1800">
        <v>0.86</v>
      </c>
      <c r="M1800" t="s">
        <v>8783</v>
      </c>
      <c r="N1800" t="s">
        <v>8784</v>
      </c>
      <c r="O1800" t="s">
        <v>8785</v>
      </c>
      <c r="P1800" t="s">
        <v>485</v>
      </c>
      <c r="Q1800" t="s">
        <v>6845</v>
      </c>
      <c r="R1800" t="s">
        <v>6846</v>
      </c>
      <c r="S1800" t="s">
        <v>2885</v>
      </c>
      <c r="T1800" t="s">
        <v>2886</v>
      </c>
    </row>
    <row r="1801" spans="1:20">
      <c r="A1801" s="241">
        <v>44001</v>
      </c>
      <c r="B1801" t="s">
        <v>8786</v>
      </c>
      <c r="C1801" t="s">
        <v>631</v>
      </c>
      <c r="D1801" t="s">
        <v>645</v>
      </c>
      <c r="E1801" t="s">
        <v>680</v>
      </c>
      <c r="F1801" t="s">
        <v>393</v>
      </c>
      <c r="G1801" t="s">
        <v>663</v>
      </c>
      <c r="H1801" t="s">
        <v>855</v>
      </c>
      <c r="I1801" t="s">
        <v>386</v>
      </c>
      <c r="J1801" t="s">
        <v>368</v>
      </c>
      <c r="K1801" t="s">
        <v>268</v>
      </c>
      <c r="L1801">
        <v>0.86</v>
      </c>
      <c r="M1801" t="s">
        <v>8787</v>
      </c>
      <c r="N1801" t="s">
        <v>8788</v>
      </c>
      <c r="O1801" t="s">
        <v>8789</v>
      </c>
      <c r="P1801" t="s">
        <v>485</v>
      </c>
      <c r="Q1801" t="s">
        <v>6845</v>
      </c>
      <c r="R1801" t="s">
        <v>6846</v>
      </c>
      <c r="S1801" t="s">
        <v>2885</v>
      </c>
      <c r="T1801" t="s">
        <v>2886</v>
      </c>
    </row>
    <row r="1802" spans="1:20">
      <c r="A1802" s="241">
        <v>44001</v>
      </c>
      <c r="B1802" t="s">
        <v>8790</v>
      </c>
      <c r="C1802" t="s">
        <v>625</v>
      </c>
      <c r="D1802" t="s">
        <v>671</v>
      </c>
      <c r="E1802" t="s">
        <v>632</v>
      </c>
      <c r="F1802" t="s">
        <v>689</v>
      </c>
      <c r="G1802" t="s">
        <v>1590</v>
      </c>
      <c r="H1802" t="s">
        <v>1552</v>
      </c>
      <c r="I1802" t="s">
        <v>1134</v>
      </c>
      <c r="J1802" t="s">
        <v>684</v>
      </c>
      <c r="K1802" t="s">
        <v>651</v>
      </c>
      <c r="L1802">
        <v>0.86</v>
      </c>
      <c r="M1802" t="s">
        <v>8791</v>
      </c>
      <c r="N1802" t="s">
        <v>8792</v>
      </c>
      <c r="O1802" t="s">
        <v>8793</v>
      </c>
      <c r="P1802" t="s">
        <v>485</v>
      </c>
      <c r="Q1802" t="s">
        <v>8794</v>
      </c>
      <c r="R1802" t="s">
        <v>8795</v>
      </c>
      <c r="S1802" t="s">
        <v>8794</v>
      </c>
      <c r="T1802" t="s">
        <v>8795</v>
      </c>
    </row>
    <row r="1803" spans="1:20">
      <c r="A1803" s="241">
        <v>44001</v>
      </c>
      <c r="B1803" t="s">
        <v>8796</v>
      </c>
      <c r="C1803" t="s">
        <v>615</v>
      </c>
      <c r="D1803" t="s">
        <v>645</v>
      </c>
      <c r="E1803" t="s">
        <v>1049</v>
      </c>
      <c r="F1803" t="s">
        <v>1177</v>
      </c>
      <c r="G1803" t="s">
        <v>918</v>
      </c>
      <c r="H1803" t="s">
        <v>1147</v>
      </c>
      <c r="I1803" t="s">
        <v>1579</v>
      </c>
      <c r="J1803" t="s">
        <v>691</v>
      </c>
      <c r="K1803" t="s">
        <v>327</v>
      </c>
      <c r="L1803">
        <v>0.86</v>
      </c>
      <c r="M1803" t="s">
        <v>8797</v>
      </c>
      <c r="N1803" t="s">
        <v>8798</v>
      </c>
      <c r="O1803" t="s">
        <v>8799</v>
      </c>
      <c r="P1803" t="s">
        <v>485</v>
      </c>
      <c r="Q1803" t="s">
        <v>8794</v>
      </c>
      <c r="R1803" t="s">
        <v>8795</v>
      </c>
      <c r="S1803" t="s">
        <v>8794</v>
      </c>
      <c r="T1803" t="s">
        <v>8795</v>
      </c>
    </row>
    <row r="1804" spans="1:20">
      <c r="A1804" s="241">
        <v>44001</v>
      </c>
      <c r="B1804" t="s">
        <v>8800</v>
      </c>
      <c r="C1804" t="s">
        <v>631</v>
      </c>
      <c r="D1804" t="s">
        <v>645</v>
      </c>
      <c r="E1804" t="s">
        <v>680</v>
      </c>
      <c r="F1804" t="s">
        <v>2227</v>
      </c>
      <c r="G1804" t="s">
        <v>1605</v>
      </c>
      <c r="H1804" t="s">
        <v>426</v>
      </c>
      <c r="I1804" t="s">
        <v>1923</v>
      </c>
      <c r="J1804" t="s">
        <v>407</v>
      </c>
      <c r="K1804" t="s">
        <v>349</v>
      </c>
      <c r="L1804">
        <v>0.86</v>
      </c>
      <c r="M1804" t="s">
        <v>8801</v>
      </c>
      <c r="N1804" t="s">
        <v>8802</v>
      </c>
      <c r="O1804" t="s">
        <v>8803</v>
      </c>
      <c r="P1804" t="s">
        <v>485</v>
      </c>
      <c r="Q1804" t="s">
        <v>8794</v>
      </c>
      <c r="R1804" t="s">
        <v>8795</v>
      </c>
      <c r="S1804" t="s">
        <v>8794</v>
      </c>
      <c r="T1804" t="s">
        <v>8795</v>
      </c>
    </row>
    <row r="1805" spans="1:20">
      <c r="A1805" s="241">
        <v>44001</v>
      </c>
      <c r="B1805" t="s">
        <v>8804</v>
      </c>
      <c r="C1805" t="s">
        <v>671</v>
      </c>
      <c r="D1805" t="s">
        <v>625</v>
      </c>
      <c r="E1805" t="s">
        <v>1314</v>
      </c>
      <c r="F1805" t="s">
        <v>1619</v>
      </c>
      <c r="G1805" t="s">
        <v>1133</v>
      </c>
      <c r="H1805" t="s">
        <v>323</v>
      </c>
      <c r="I1805" t="s">
        <v>416</v>
      </c>
      <c r="J1805" t="s">
        <v>1304</v>
      </c>
      <c r="K1805" t="s">
        <v>349</v>
      </c>
      <c r="L1805">
        <v>0.86</v>
      </c>
      <c r="M1805" t="s">
        <v>8805</v>
      </c>
      <c r="N1805" t="s">
        <v>8806</v>
      </c>
      <c r="O1805" t="s">
        <v>8807</v>
      </c>
      <c r="P1805" t="s">
        <v>485</v>
      </c>
      <c r="Q1805" t="s">
        <v>8794</v>
      </c>
      <c r="R1805" t="s">
        <v>8795</v>
      </c>
      <c r="S1805" t="s">
        <v>8794</v>
      </c>
      <c r="T1805" t="s">
        <v>8795</v>
      </c>
    </row>
    <row r="1806" spans="1:20">
      <c r="A1806" s="241">
        <v>44001</v>
      </c>
      <c r="B1806" t="s">
        <v>8808</v>
      </c>
      <c r="C1806" t="s">
        <v>631</v>
      </c>
      <c r="D1806" t="s">
        <v>2478</v>
      </c>
      <c r="E1806" t="s">
        <v>646</v>
      </c>
      <c r="F1806" t="s">
        <v>3482</v>
      </c>
      <c r="G1806" t="s">
        <v>453</v>
      </c>
      <c r="H1806" t="s">
        <v>897</v>
      </c>
      <c r="I1806" t="s">
        <v>3807</v>
      </c>
      <c r="J1806" t="s">
        <v>447</v>
      </c>
      <c r="K1806" t="s">
        <v>359</v>
      </c>
      <c r="L1806">
        <v>0.86</v>
      </c>
      <c r="M1806" t="s">
        <v>8809</v>
      </c>
      <c r="N1806" t="s">
        <v>8810</v>
      </c>
      <c r="O1806" t="s">
        <v>8811</v>
      </c>
      <c r="P1806" t="s">
        <v>485</v>
      </c>
      <c r="Q1806" t="s">
        <v>8794</v>
      </c>
      <c r="R1806" t="s">
        <v>8795</v>
      </c>
      <c r="S1806" t="s">
        <v>8794</v>
      </c>
      <c r="T1806" t="s">
        <v>8795</v>
      </c>
    </row>
    <row r="1807" spans="1:20">
      <c r="A1807" s="241">
        <v>44001</v>
      </c>
      <c r="B1807" t="s">
        <v>8812</v>
      </c>
      <c r="C1807" t="s">
        <v>2644</v>
      </c>
      <c r="D1807" t="s">
        <v>2448</v>
      </c>
      <c r="E1807" t="s">
        <v>236</v>
      </c>
      <c r="F1807" t="s">
        <v>8813</v>
      </c>
      <c r="G1807" t="s">
        <v>5264</v>
      </c>
      <c r="H1807" t="s">
        <v>2239</v>
      </c>
      <c r="I1807" t="s">
        <v>5082</v>
      </c>
      <c r="J1807" t="s">
        <v>8814</v>
      </c>
      <c r="K1807" t="s">
        <v>6228</v>
      </c>
      <c r="L1807">
        <v>0.89</v>
      </c>
      <c r="M1807" t="s">
        <v>8815</v>
      </c>
      <c r="N1807" t="s">
        <v>8816</v>
      </c>
      <c r="O1807" t="s">
        <v>8817</v>
      </c>
      <c r="P1807" t="s">
        <v>485</v>
      </c>
      <c r="Q1807" t="s">
        <v>8794</v>
      </c>
      <c r="R1807" t="s">
        <v>8795</v>
      </c>
      <c r="S1807" t="s">
        <v>8794</v>
      </c>
      <c r="T1807" t="s">
        <v>8795</v>
      </c>
    </row>
    <row r="1808" spans="1:20">
      <c r="A1808" s="241">
        <v>44001</v>
      </c>
      <c r="B1808" t="s">
        <v>8818</v>
      </c>
      <c r="C1808" t="s">
        <v>1348</v>
      </c>
      <c r="D1808" t="s">
        <v>1348</v>
      </c>
      <c r="E1808" t="s">
        <v>249</v>
      </c>
      <c r="F1808" t="s">
        <v>4618</v>
      </c>
      <c r="G1808" t="s">
        <v>3826</v>
      </c>
      <c r="H1808" t="s">
        <v>3681</v>
      </c>
      <c r="I1808" t="s">
        <v>2249</v>
      </c>
      <c r="J1808" t="s">
        <v>6818</v>
      </c>
      <c r="K1808" t="s">
        <v>1362</v>
      </c>
      <c r="L1808">
        <v>0.89</v>
      </c>
      <c r="M1808" t="s">
        <v>8819</v>
      </c>
      <c r="N1808" t="s">
        <v>8820</v>
      </c>
      <c r="O1808" t="s">
        <v>8821</v>
      </c>
      <c r="P1808" t="s">
        <v>485</v>
      </c>
      <c r="Q1808" t="s">
        <v>8794</v>
      </c>
      <c r="R1808" t="s">
        <v>8795</v>
      </c>
      <c r="S1808" t="s">
        <v>8794</v>
      </c>
      <c r="T1808" t="s">
        <v>8795</v>
      </c>
    </row>
    <row r="1809" spans="1:20">
      <c r="A1809" s="241">
        <v>44001</v>
      </c>
      <c r="B1809" t="s">
        <v>8822</v>
      </c>
      <c r="C1809" t="s">
        <v>2636</v>
      </c>
      <c r="D1809" t="s">
        <v>747</v>
      </c>
      <c r="E1809" t="s">
        <v>236</v>
      </c>
      <c r="F1809" t="s">
        <v>2645</v>
      </c>
      <c r="G1809" t="s">
        <v>6828</v>
      </c>
      <c r="H1809" t="s">
        <v>6943</v>
      </c>
      <c r="I1809" t="s">
        <v>2646</v>
      </c>
      <c r="J1809" t="s">
        <v>3979</v>
      </c>
      <c r="K1809" t="s">
        <v>1200</v>
      </c>
      <c r="L1809">
        <v>0.89</v>
      </c>
      <c r="M1809" t="s">
        <v>8823</v>
      </c>
      <c r="N1809" t="s">
        <v>8824</v>
      </c>
      <c r="O1809" t="s">
        <v>8825</v>
      </c>
      <c r="P1809" t="s">
        <v>485</v>
      </c>
      <c r="Q1809" t="s">
        <v>8794</v>
      </c>
      <c r="R1809" t="s">
        <v>8795</v>
      </c>
      <c r="S1809" t="s">
        <v>8794</v>
      </c>
      <c r="T1809" t="s">
        <v>8795</v>
      </c>
    </row>
    <row r="1810" spans="1:20">
      <c r="A1810" s="241">
        <v>44001</v>
      </c>
      <c r="B1810" t="s">
        <v>8826</v>
      </c>
      <c r="C1810" t="s">
        <v>959</v>
      </c>
      <c r="D1810" t="s">
        <v>1357</v>
      </c>
      <c r="E1810" t="s">
        <v>249</v>
      </c>
      <c r="F1810" t="s">
        <v>6104</v>
      </c>
      <c r="G1810" t="s">
        <v>767</v>
      </c>
      <c r="H1810" t="s">
        <v>3110</v>
      </c>
      <c r="I1810" t="s">
        <v>5474</v>
      </c>
      <c r="J1810" t="s">
        <v>4903</v>
      </c>
      <c r="K1810" t="s">
        <v>4358</v>
      </c>
      <c r="L1810">
        <v>0.89</v>
      </c>
      <c r="M1810" t="s">
        <v>8827</v>
      </c>
      <c r="N1810" t="s">
        <v>8828</v>
      </c>
      <c r="O1810" t="s">
        <v>8829</v>
      </c>
      <c r="P1810" t="s">
        <v>485</v>
      </c>
      <c r="Q1810" t="s">
        <v>8794</v>
      </c>
      <c r="R1810" t="s">
        <v>8795</v>
      </c>
      <c r="S1810" t="s">
        <v>8794</v>
      </c>
      <c r="T1810" t="s">
        <v>8795</v>
      </c>
    </row>
    <row r="1811" spans="1:20">
      <c r="A1811" s="241">
        <v>44001</v>
      </c>
      <c r="B1811" t="s">
        <v>8830</v>
      </c>
      <c r="C1811" t="s">
        <v>625</v>
      </c>
      <c r="D1811" t="s">
        <v>615</v>
      </c>
      <c r="E1811" t="s">
        <v>424</v>
      </c>
      <c r="F1811" t="s">
        <v>1057</v>
      </c>
      <c r="G1811" t="s">
        <v>2043</v>
      </c>
      <c r="H1811" t="s">
        <v>1213</v>
      </c>
      <c r="I1811" t="s">
        <v>2472</v>
      </c>
      <c r="J1811" t="s">
        <v>2473</v>
      </c>
      <c r="K1811" t="s">
        <v>1012</v>
      </c>
      <c r="L1811">
        <v>0.86</v>
      </c>
      <c r="M1811" t="s">
        <v>8831</v>
      </c>
      <c r="N1811" t="s">
        <v>8832</v>
      </c>
      <c r="O1811" t="s">
        <v>8833</v>
      </c>
      <c r="P1811" t="s">
        <v>485</v>
      </c>
      <c r="Q1811" t="s">
        <v>8794</v>
      </c>
      <c r="R1811" t="s">
        <v>8795</v>
      </c>
      <c r="S1811" t="s">
        <v>8794</v>
      </c>
      <c r="T1811" t="s">
        <v>8795</v>
      </c>
    </row>
    <row r="1812" spans="1:20">
      <c r="A1812" s="241">
        <v>44001</v>
      </c>
      <c r="B1812" t="s">
        <v>8834</v>
      </c>
      <c r="C1812" t="s">
        <v>423</v>
      </c>
      <c r="D1812" t="s">
        <v>631</v>
      </c>
      <c r="E1812" t="s">
        <v>1121</v>
      </c>
      <c r="F1812" t="s">
        <v>2074</v>
      </c>
      <c r="G1812" t="s">
        <v>2080</v>
      </c>
      <c r="H1812" t="s">
        <v>823</v>
      </c>
      <c r="I1812" t="s">
        <v>1421</v>
      </c>
      <c r="J1812" t="s">
        <v>1428</v>
      </c>
      <c r="K1812" t="s">
        <v>1012</v>
      </c>
      <c r="L1812">
        <v>0.86</v>
      </c>
      <c r="M1812" t="s">
        <v>8835</v>
      </c>
      <c r="N1812" t="s">
        <v>8836</v>
      </c>
      <c r="O1812" t="s">
        <v>8837</v>
      </c>
      <c r="P1812" t="s">
        <v>485</v>
      </c>
      <c r="Q1812" t="s">
        <v>8794</v>
      </c>
      <c r="R1812" t="s">
        <v>8795</v>
      </c>
      <c r="S1812" t="s">
        <v>8794</v>
      </c>
      <c r="T1812" t="s">
        <v>8795</v>
      </c>
    </row>
    <row r="1813" spans="1:20">
      <c r="A1813" s="241">
        <v>44001</v>
      </c>
      <c r="B1813" t="s">
        <v>8838</v>
      </c>
      <c r="C1813" t="s">
        <v>261</v>
      </c>
      <c r="D1813" t="s">
        <v>625</v>
      </c>
      <c r="E1813" t="s">
        <v>1121</v>
      </c>
      <c r="F1813" t="s">
        <v>1452</v>
      </c>
      <c r="G1813" t="s">
        <v>2075</v>
      </c>
      <c r="H1813" t="s">
        <v>815</v>
      </c>
      <c r="I1813" t="s">
        <v>1747</v>
      </c>
      <c r="J1813" t="s">
        <v>213</v>
      </c>
      <c r="K1813" t="s">
        <v>515</v>
      </c>
      <c r="L1813">
        <v>0.86</v>
      </c>
      <c r="M1813" t="s">
        <v>8839</v>
      </c>
      <c r="N1813" t="s">
        <v>8840</v>
      </c>
      <c r="O1813" t="s">
        <v>8841</v>
      </c>
      <c r="P1813" t="s">
        <v>485</v>
      </c>
      <c r="Q1813" t="s">
        <v>8794</v>
      </c>
      <c r="R1813" t="s">
        <v>8795</v>
      </c>
      <c r="S1813" t="s">
        <v>8794</v>
      </c>
      <c r="T1813" t="s">
        <v>8795</v>
      </c>
    </row>
    <row r="1814" spans="1:20">
      <c r="A1814" s="241">
        <v>44001</v>
      </c>
      <c r="B1814" t="s">
        <v>8842</v>
      </c>
      <c r="C1814" t="s">
        <v>625</v>
      </c>
      <c r="D1814" t="s">
        <v>1139</v>
      </c>
      <c r="E1814" t="s">
        <v>1121</v>
      </c>
      <c r="F1814" t="s">
        <v>1080</v>
      </c>
      <c r="G1814" t="s">
        <v>1740</v>
      </c>
      <c r="H1814" t="s">
        <v>1453</v>
      </c>
      <c r="I1814" t="s">
        <v>577</v>
      </c>
      <c r="J1814" t="s">
        <v>1770</v>
      </c>
      <c r="K1814" t="s">
        <v>515</v>
      </c>
      <c r="L1814">
        <v>0.86</v>
      </c>
      <c r="M1814" t="s">
        <v>8843</v>
      </c>
      <c r="N1814" t="s">
        <v>8844</v>
      </c>
      <c r="O1814" t="s">
        <v>8845</v>
      </c>
      <c r="P1814" t="s">
        <v>485</v>
      </c>
      <c r="Q1814" t="s">
        <v>8794</v>
      </c>
      <c r="R1814" t="s">
        <v>8795</v>
      </c>
      <c r="S1814" t="s">
        <v>8794</v>
      </c>
      <c r="T1814" t="s">
        <v>8795</v>
      </c>
    </row>
    <row r="1815" spans="1:20">
      <c r="A1815" s="241">
        <v>44001</v>
      </c>
      <c r="B1815" t="s">
        <v>8846</v>
      </c>
      <c r="C1815" t="s">
        <v>442</v>
      </c>
      <c r="D1815" t="s">
        <v>645</v>
      </c>
      <c r="E1815" t="s">
        <v>2544</v>
      </c>
      <c r="F1815" t="s">
        <v>598</v>
      </c>
      <c r="G1815" t="s">
        <v>798</v>
      </c>
      <c r="H1815" t="s">
        <v>265</v>
      </c>
      <c r="I1815" t="s">
        <v>569</v>
      </c>
      <c r="J1815" t="s">
        <v>1770</v>
      </c>
      <c r="K1815" t="s">
        <v>214</v>
      </c>
      <c r="L1815">
        <v>0.86</v>
      </c>
      <c r="M1815" t="s">
        <v>8847</v>
      </c>
      <c r="N1815" t="s">
        <v>8848</v>
      </c>
      <c r="O1815" t="s">
        <v>8849</v>
      </c>
      <c r="P1815" t="s">
        <v>485</v>
      </c>
      <c r="Q1815" t="s">
        <v>8794</v>
      </c>
      <c r="R1815" t="s">
        <v>8795</v>
      </c>
      <c r="S1815" t="s">
        <v>8794</v>
      </c>
      <c r="T1815" t="s">
        <v>8795</v>
      </c>
    </row>
    <row r="1816" spans="1:20">
      <c r="A1816" s="241">
        <v>44001</v>
      </c>
      <c r="B1816" t="s">
        <v>8850</v>
      </c>
      <c r="C1816" t="s">
        <v>625</v>
      </c>
      <c r="D1816" t="s">
        <v>679</v>
      </c>
      <c r="E1816" t="s">
        <v>812</v>
      </c>
      <c r="F1816" t="s">
        <v>426</v>
      </c>
      <c r="G1816" t="s">
        <v>1775</v>
      </c>
      <c r="H1816" t="s">
        <v>539</v>
      </c>
      <c r="I1816" t="s">
        <v>297</v>
      </c>
      <c r="J1816" t="s">
        <v>850</v>
      </c>
      <c r="K1816" t="s">
        <v>244</v>
      </c>
      <c r="L1816">
        <v>0.86</v>
      </c>
      <c r="M1816" t="s">
        <v>8851</v>
      </c>
      <c r="N1816" t="s">
        <v>8852</v>
      </c>
      <c r="O1816" t="s">
        <v>8853</v>
      </c>
      <c r="P1816" t="s">
        <v>485</v>
      </c>
      <c r="Q1816" t="s">
        <v>8794</v>
      </c>
      <c r="R1816" t="s">
        <v>8795</v>
      </c>
      <c r="S1816" t="s">
        <v>8794</v>
      </c>
      <c r="T1816" t="s">
        <v>8795</v>
      </c>
    </row>
    <row r="1817" spans="1:20">
      <c r="A1817" s="241">
        <v>44001</v>
      </c>
      <c r="B1817" t="s">
        <v>8854</v>
      </c>
      <c r="C1817" t="s">
        <v>261</v>
      </c>
      <c r="D1817" t="s">
        <v>2478</v>
      </c>
      <c r="E1817" t="s">
        <v>680</v>
      </c>
      <c r="F1817" t="s">
        <v>1109</v>
      </c>
      <c r="G1817" t="s">
        <v>1447</v>
      </c>
      <c r="H1817" t="s">
        <v>2074</v>
      </c>
      <c r="I1817" t="s">
        <v>863</v>
      </c>
      <c r="J1817" t="s">
        <v>857</v>
      </c>
      <c r="K1817" t="s">
        <v>571</v>
      </c>
      <c r="L1817">
        <v>0.86</v>
      </c>
      <c r="M1817" t="s">
        <v>8855</v>
      </c>
      <c r="N1817" t="s">
        <v>8856</v>
      </c>
      <c r="O1817" t="s">
        <v>8857</v>
      </c>
      <c r="P1817" t="s">
        <v>485</v>
      </c>
      <c r="Q1817" t="s">
        <v>8794</v>
      </c>
      <c r="R1817" t="s">
        <v>8795</v>
      </c>
      <c r="S1817" t="s">
        <v>8794</v>
      </c>
      <c r="T1817" t="s">
        <v>8795</v>
      </c>
    </row>
    <row r="1818" spans="1:20">
      <c r="A1818" s="241">
        <v>44001</v>
      </c>
      <c r="B1818" t="s">
        <v>8858</v>
      </c>
      <c r="C1818" t="s">
        <v>614</v>
      </c>
      <c r="D1818" t="s">
        <v>679</v>
      </c>
      <c r="E1818" t="s">
        <v>680</v>
      </c>
      <c r="F1818" t="s">
        <v>633</v>
      </c>
      <c r="G1818" t="s">
        <v>286</v>
      </c>
      <c r="H1818" t="s">
        <v>346</v>
      </c>
      <c r="I1818" t="s">
        <v>1082</v>
      </c>
      <c r="J1818" t="s">
        <v>1812</v>
      </c>
      <c r="K1818" t="s">
        <v>256</v>
      </c>
      <c r="L1818">
        <v>0.86</v>
      </c>
      <c r="M1818" t="s">
        <v>8859</v>
      </c>
      <c r="N1818" t="s">
        <v>8860</v>
      </c>
      <c r="O1818" t="s">
        <v>8861</v>
      </c>
      <c r="P1818" t="s">
        <v>485</v>
      </c>
      <c r="Q1818" t="s">
        <v>8794</v>
      </c>
      <c r="R1818" t="s">
        <v>8795</v>
      </c>
      <c r="S1818" t="s">
        <v>8794</v>
      </c>
      <c r="T1818" t="s">
        <v>8795</v>
      </c>
    </row>
    <row r="1819" spans="1:20">
      <c r="A1819" s="241">
        <v>44001</v>
      </c>
      <c r="B1819" t="s">
        <v>8862</v>
      </c>
      <c r="C1819" t="s">
        <v>671</v>
      </c>
      <c r="D1819" t="s">
        <v>679</v>
      </c>
      <c r="E1819" t="s">
        <v>680</v>
      </c>
      <c r="F1819" t="s">
        <v>633</v>
      </c>
      <c r="G1819" t="s">
        <v>306</v>
      </c>
      <c r="H1819" t="s">
        <v>566</v>
      </c>
      <c r="I1819" t="s">
        <v>317</v>
      </c>
      <c r="J1819" t="s">
        <v>620</v>
      </c>
      <c r="K1819" t="s">
        <v>244</v>
      </c>
      <c r="L1819">
        <v>0.86</v>
      </c>
      <c r="M1819" t="s">
        <v>8863</v>
      </c>
      <c r="N1819" t="s">
        <v>8864</v>
      </c>
      <c r="O1819" t="s">
        <v>8865</v>
      </c>
      <c r="P1819" t="s">
        <v>485</v>
      </c>
      <c r="Q1819" t="s">
        <v>8794</v>
      </c>
      <c r="R1819" t="s">
        <v>8795</v>
      </c>
      <c r="S1819" t="s">
        <v>8794</v>
      </c>
      <c r="T1819" t="s">
        <v>8795</v>
      </c>
    </row>
    <row r="1820" spans="1:20">
      <c r="A1820" s="241">
        <v>44001</v>
      </c>
      <c r="B1820" t="s">
        <v>8866</v>
      </c>
      <c r="C1820" t="s">
        <v>631</v>
      </c>
      <c r="D1820" t="s">
        <v>631</v>
      </c>
      <c r="E1820" t="s">
        <v>304</v>
      </c>
      <c r="F1820" t="s">
        <v>729</v>
      </c>
      <c r="G1820" t="s">
        <v>324</v>
      </c>
      <c r="H1820" t="s">
        <v>1467</v>
      </c>
      <c r="I1820" t="s">
        <v>882</v>
      </c>
      <c r="J1820" t="s">
        <v>337</v>
      </c>
      <c r="K1820" t="s">
        <v>268</v>
      </c>
      <c r="L1820">
        <v>0.86</v>
      </c>
      <c r="M1820" t="s">
        <v>8867</v>
      </c>
      <c r="N1820" t="s">
        <v>8868</v>
      </c>
      <c r="O1820" t="s">
        <v>8869</v>
      </c>
      <c r="P1820" t="s">
        <v>485</v>
      </c>
      <c r="Q1820" t="s">
        <v>8794</v>
      </c>
      <c r="R1820" t="s">
        <v>8795</v>
      </c>
      <c r="S1820" t="s">
        <v>8794</v>
      </c>
      <c r="T1820" t="s">
        <v>8795</v>
      </c>
    </row>
    <row r="1821" spans="1:20">
      <c r="A1821" s="241">
        <v>44001</v>
      </c>
      <c r="B1821" t="s">
        <v>8870</v>
      </c>
      <c r="C1821" t="s">
        <v>625</v>
      </c>
      <c r="D1821" t="s">
        <v>2535</v>
      </c>
      <c r="E1821" t="s">
        <v>696</v>
      </c>
      <c r="F1821" t="s">
        <v>887</v>
      </c>
      <c r="G1821" t="s">
        <v>875</v>
      </c>
      <c r="H1821" t="s">
        <v>1291</v>
      </c>
      <c r="I1821" t="s">
        <v>1859</v>
      </c>
      <c r="J1821" t="s">
        <v>2372</v>
      </c>
      <c r="K1821" t="s">
        <v>299</v>
      </c>
      <c r="L1821">
        <v>0.86</v>
      </c>
      <c r="M1821" t="s">
        <v>8871</v>
      </c>
      <c r="N1821" t="s">
        <v>8872</v>
      </c>
      <c r="O1821" t="s">
        <v>8873</v>
      </c>
      <c r="P1821" t="s">
        <v>485</v>
      </c>
      <c r="Q1821" t="s">
        <v>8794</v>
      </c>
      <c r="R1821" t="s">
        <v>8795</v>
      </c>
      <c r="S1821" t="s">
        <v>8794</v>
      </c>
      <c r="T1821" t="s">
        <v>8795</v>
      </c>
    </row>
    <row r="1822" spans="1:20">
      <c r="A1822" s="241">
        <v>44001</v>
      </c>
      <c r="B1822" t="s">
        <v>8874</v>
      </c>
      <c r="C1822" t="s">
        <v>625</v>
      </c>
      <c r="D1822" t="s">
        <v>392</v>
      </c>
      <c r="E1822" t="s">
        <v>632</v>
      </c>
      <c r="F1822" t="s">
        <v>1315</v>
      </c>
      <c r="G1822" t="s">
        <v>1115</v>
      </c>
      <c r="H1822" t="s">
        <v>285</v>
      </c>
      <c r="I1822" t="s">
        <v>1547</v>
      </c>
      <c r="J1822" t="s">
        <v>665</v>
      </c>
      <c r="K1822" t="s">
        <v>280</v>
      </c>
      <c r="L1822">
        <v>0.86</v>
      </c>
      <c r="M1822" t="s">
        <v>8875</v>
      </c>
      <c r="N1822" t="s">
        <v>8876</v>
      </c>
      <c r="O1822" t="s">
        <v>8877</v>
      </c>
      <c r="P1822" t="s">
        <v>485</v>
      </c>
      <c r="Q1822" t="s">
        <v>8794</v>
      </c>
      <c r="R1822" t="s">
        <v>8795</v>
      </c>
      <c r="S1822" t="s">
        <v>8794</v>
      </c>
      <c r="T1822" t="s">
        <v>8795</v>
      </c>
    </row>
    <row r="1823" spans="1:20">
      <c r="A1823" s="241">
        <v>44001</v>
      </c>
      <c r="B1823" t="s">
        <v>8878</v>
      </c>
      <c r="C1823" t="s">
        <v>671</v>
      </c>
      <c r="D1823" t="s">
        <v>679</v>
      </c>
      <c r="E1823" t="s">
        <v>1102</v>
      </c>
      <c r="F1823" t="s">
        <v>1303</v>
      </c>
      <c r="G1823" t="s">
        <v>1115</v>
      </c>
      <c r="H1823" t="s">
        <v>682</v>
      </c>
      <c r="I1823" t="s">
        <v>683</v>
      </c>
      <c r="J1823" t="s">
        <v>1128</v>
      </c>
      <c r="K1823" t="s">
        <v>268</v>
      </c>
      <c r="L1823">
        <v>0.86</v>
      </c>
      <c r="M1823" t="s">
        <v>8879</v>
      </c>
      <c r="N1823" t="s">
        <v>8880</v>
      </c>
      <c r="O1823" t="s">
        <v>8881</v>
      </c>
      <c r="P1823" t="s">
        <v>485</v>
      </c>
      <c r="Q1823" t="s">
        <v>8794</v>
      </c>
      <c r="R1823" t="s">
        <v>8795</v>
      </c>
      <c r="S1823" t="s">
        <v>8794</v>
      </c>
      <c r="T1823" t="s">
        <v>8795</v>
      </c>
    </row>
    <row r="1824" spans="1:20">
      <c r="A1824" s="241">
        <v>44001</v>
      </c>
      <c r="B1824" t="s">
        <v>8882</v>
      </c>
      <c r="C1824" t="s">
        <v>1079</v>
      </c>
      <c r="D1824" t="s">
        <v>631</v>
      </c>
      <c r="E1824" t="s">
        <v>606</v>
      </c>
      <c r="F1824" t="s">
        <v>1604</v>
      </c>
      <c r="G1824" t="s">
        <v>394</v>
      </c>
      <c r="H1824" t="s">
        <v>305</v>
      </c>
      <c r="I1824" t="s">
        <v>1134</v>
      </c>
      <c r="J1824" t="s">
        <v>1569</v>
      </c>
      <c r="K1824" t="s">
        <v>359</v>
      </c>
      <c r="L1824">
        <v>0.86</v>
      </c>
      <c r="M1824" t="s">
        <v>8883</v>
      </c>
      <c r="N1824" t="s">
        <v>8884</v>
      </c>
      <c r="O1824" t="s">
        <v>8885</v>
      </c>
      <c r="P1824" t="s">
        <v>485</v>
      </c>
      <c r="Q1824" t="s">
        <v>8794</v>
      </c>
      <c r="R1824" t="s">
        <v>8795</v>
      </c>
      <c r="S1824" t="s">
        <v>8794</v>
      </c>
      <c r="T1824" t="s">
        <v>8795</v>
      </c>
    </row>
    <row r="1825" spans="1:20">
      <c r="A1825" s="241">
        <v>44001</v>
      </c>
      <c r="B1825" t="s">
        <v>8886</v>
      </c>
      <c r="C1825" t="s">
        <v>671</v>
      </c>
      <c r="D1825" t="s">
        <v>645</v>
      </c>
      <c r="E1825" t="s">
        <v>606</v>
      </c>
      <c r="F1825" t="s">
        <v>1604</v>
      </c>
      <c r="G1825" t="s">
        <v>1605</v>
      </c>
      <c r="H1825" t="s">
        <v>713</v>
      </c>
      <c r="I1825" t="s">
        <v>932</v>
      </c>
      <c r="J1825" t="s">
        <v>919</v>
      </c>
      <c r="K1825" t="s">
        <v>666</v>
      </c>
      <c r="L1825">
        <v>0.86</v>
      </c>
      <c r="M1825" t="s">
        <v>8887</v>
      </c>
      <c r="N1825" t="s">
        <v>8888</v>
      </c>
      <c r="O1825" t="s">
        <v>8889</v>
      </c>
      <c r="P1825" t="s">
        <v>485</v>
      </c>
      <c r="Q1825" t="s">
        <v>8794</v>
      </c>
      <c r="R1825" t="s">
        <v>8795</v>
      </c>
      <c r="S1825" t="s">
        <v>8794</v>
      </c>
      <c r="T1825" t="s">
        <v>8795</v>
      </c>
    </row>
    <row r="1826" spans="1:20">
      <c r="A1826" s="241">
        <v>44001</v>
      </c>
      <c r="B1826" t="s">
        <v>8890</v>
      </c>
      <c r="C1826" t="s">
        <v>294</v>
      </c>
      <c r="D1826" t="s">
        <v>631</v>
      </c>
      <c r="E1826" t="s">
        <v>1102</v>
      </c>
      <c r="F1826" t="s">
        <v>945</v>
      </c>
      <c r="G1826" t="s">
        <v>1133</v>
      </c>
      <c r="H1826" t="s">
        <v>639</v>
      </c>
      <c r="I1826" t="s">
        <v>416</v>
      </c>
      <c r="J1826" t="s">
        <v>1304</v>
      </c>
      <c r="K1826" t="s">
        <v>349</v>
      </c>
      <c r="L1826">
        <v>0.86</v>
      </c>
      <c r="M1826" t="s">
        <v>8891</v>
      </c>
      <c r="N1826" t="s">
        <v>8892</v>
      </c>
      <c r="O1826" t="s">
        <v>8893</v>
      </c>
      <c r="P1826" t="s">
        <v>485</v>
      </c>
      <c r="Q1826" t="s">
        <v>8794</v>
      </c>
      <c r="R1826" t="s">
        <v>8795</v>
      </c>
      <c r="S1826" t="s">
        <v>8794</v>
      </c>
      <c r="T1826" t="s">
        <v>8795</v>
      </c>
    </row>
    <row r="1827" spans="1:20">
      <c r="A1827" s="241">
        <v>44001</v>
      </c>
      <c r="B1827" t="s">
        <v>8894</v>
      </c>
      <c r="C1827" t="s">
        <v>712</v>
      </c>
      <c r="D1827" t="s">
        <v>442</v>
      </c>
      <c r="E1827" t="s">
        <v>208</v>
      </c>
      <c r="F1827" t="s">
        <v>3414</v>
      </c>
      <c r="G1827" t="s">
        <v>1936</v>
      </c>
      <c r="H1827" t="s">
        <v>383</v>
      </c>
      <c r="I1827" t="s">
        <v>3807</v>
      </c>
      <c r="J1827" t="s">
        <v>7242</v>
      </c>
      <c r="K1827" t="s">
        <v>428</v>
      </c>
      <c r="L1827">
        <v>0.86</v>
      </c>
      <c r="M1827" t="s">
        <v>8895</v>
      </c>
      <c r="N1827" t="s">
        <v>8896</v>
      </c>
      <c r="O1827" t="s">
        <v>8897</v>
      </c>
      <c r="P1827" t="s">
        <v>485</v>
      </c>
      <c r="Q1827" t="s">
        <v>8794</v>
      </c>
      <c r="R1827" t="s">
        <v>8795</v>
      </c>
      <c r="S1827" t="s">
        <v>8794</v>
      </c>
      <c r="T1827" t="s">
        <v>8795</v>
      </c>
    </row>
    <row r="1828" spans="1:20">
      <c r="A1828" s="241">
        <v>44001</v>
      </c>
      <c r="B1828" t="s">
        <v>8898</v>
      </c>
      <c r="C1828" t="s">
        <v>442</v>
      </c>
      <c r="D1828" t="s">
        <v>712</v>
      </c>
      <c r="E1828" t="s">
        <v>225</v>
      </c>
      <c r="F1828" t="s">
        <v>1630</v>
      </c>
      <c r="G1828" t="s">
        <v>946</v>
      </c>
      <c r="H1828" t="s">
        <v>1109</v>
      </c>
      <c r="I1828" t="s">
        <v>446</v>
      </c>
      <c r="J1828" t="s">
        <v>447</v>
      </c>
      <c r="K1828" t="s">
        <v>722</v>
      </c>
      <c r="L1828">
        <v>0.86</v>
      </c>
      <c r="M1828" t="s">
        <v>8899</v>
      </c>
      <c r="N1828" t="s">
        <v>8900</v>
      </c>
      <c r="O1828" t="s">
        <v>8901</v>
      </c>
      <c r="P1828" t="s">
        <v>485</v>
      </c>
      <c r="Q1828" t="s">
        <v>8794</v>
      </c>
      <c r="R1828" t="s">
        <v>8795</v>
      </c>
      <c r="S1828" t="s">
        <v>8794</v>
      </c>
      <c r="T1828" t="s">
        <v>8795</v>
      </c>
    </row>
    <row r="1829" spans="1:20">
      <c r="A1829" s="241">
        <v>44001</v>
      </c>
      <c r="B1829" t="s">
        <v>8902</v>
      </c>
      <c r="C1829" t="s">
        <v>747</v>
      </c>
      <c r="D1829" t="s">
        <v>1348</v>
      </c>
      <c r="E1829" t="s">
        <v>1196</v>
      </c>
      <c r="F1829" t="s">
        <v>1640</v>
      </c>
      <c r="G1829" t="s">
        <v>971</v>
      </c>
      <c r="H1829" t="s">
        <v>1667</v>
      </c>
      <c r="I1829" t="s">
        <v>2814</v>
      </c>
      <c r="J1829" t="s">
        <v>2815</v>
      </c>
      <c r="K1829" t="s">
        <v>2816</v>
      </c>
      <c r="L1829">
        <v>0.89</v>
      </c>
      <c r="M1829" t="s">
        <v>8903</v>
      </c>
      <c r="N1829" t="s">
        <v>8904</v>
      </c>
      <c r="O1829" t="s">
        <v>8905</v>
      </c>
      <c r="P1829" t="s">
        <v>485</v>
      </c>
      <c r="Q1829" t="s">
        <v>8794</v>
      </c>
      <c r="R1829" t="s">
        <v>8795</v>
      </c>
      <c r="S1829" t="s">
        <v>8794</v>
      </c>
      <c r="T1829" t="s">
        <v>8795</v>
      </c>
    </row>
    <row r="1830" spans="1:20">
      <c r="A1830" s="241">
        <v>44001</v>
      </c>
      <c r="B1830" t="s">
        <v>8906</v>
      </c>
      <c r="C1830" t="s">
        <v>735</v>
      </c>
      <c r="D1830" t="s">
        <v>499</v>
      </c>
      <c r="E1830" t="s">
        <v>2821</v>
      </c>
      <c r="F1830" t="s">
        <v>739</v>
      </c>
      <c r="G1830" t="s">
        <v>1977</v>
      </c>
      <c r="H1830" t="s">
        <v>1978</v>
      </c>
      <c r="I1830" t="s">
        <v>3129</v>
      </c>
      <c r="J1830" t="s">
        <v>8907</v>
      </c>
      <c r="K1830" t="s">
        <v>4358</v>
      </c>
      <c r="L1830">
        <v>0.89</v>
      </c>
      <c r="M1830" t="s">
        <v>8908</v>
      </c>
      <c r="N1830" t="s">
        <v>8909</v>
      </c>
      <c r="O1830" t="s">
        <v>8910</v>
      </c>
      <c r="P1830" t="s">
        <v>485</v>
      </c>
      <c r="Q1830" t="s">
        <v>8794</v>
      </c>
      <c r="R1830" t="s">
        <v>8795</v>
      </c>
      <c r="S1830" t="s">
        <v>8794</v>
      </c>
      <c r="T1830" t="s">
        <v>8795</v>
      </c>
    </row>
    <row r="1831" spans="1:20">
      <c r="A1831" s="241">
        <v>44001</v>
      </c>
      <c r="B1831" t="s">
        <v>8911</v>
      </c>
      <c r="C1831" t="s">
        <v>474</v>
      </c>
      <c r="D1831" t="s">
        <v>487</v>
      </c>
      <c r="E1831" t="s">
        <v>206</v>
      </c>
      <c r="F1831" t="s">
        <v>3120</v>
      </c>
      <c r="G1831" t="s">
        <v>8912</v>
      </c>
      <c r="H1831" t="s">
        <v>1369</v>
      </c>
      <c r="I1831" t="s">
        <v>5278</v>
      </c>
      <c r="J1831" t="s">
        <v>1208</v>
      </c>
      <c r="K1831" t="s">
        <v>3131</v>
      </c>
      <c r="L1831">
        <v>0.89</v>
      </c>
      <c r="M1831" t="s">
        <v>8913</v>
      </c>
      <c r="N1831" t="s">
        <v>8914</v>
      </c>
      <c r="O1831" t="s">
        <v>8915</v>
      </c>
      <c r="P1831" t="s">
        <v>485</v>
      </c>
      <c r="Q1831" t="s">
        <v>8794</v>
      </c>
      <c r="R1831" t="s">
        <v>8795</v>
      </c>
      <c r="S1831" t="s">
        <v>8794</v>
      </c>
      <c r="T1831" t="s">
        <v>8795</v>
      </c>
    </row>
    <row r="1832" spans="1:20">
      <c r="A1832" s="241">
        <v>44001</v>
      </c>
      <c r="B1832" t="s">
        <v>8916</v>
      </c>
      <c r="C1832" t="s">
        <v>206</v>
      </c>
      <c r="D1832" t="s">
        <v>274</v>
      </c>
      <c r="E1832" t="s">
        <v>238</v>
      </c>
      <c r="F1832" t="s">
        <v>3554</v>
      </c>
      <c r="G1832" t="s">
        <v>8917</v>
      </c>
      <c r="H1832" t="s">
        <v>6129</v>
      </c>
      <c r="I1832" t="s">
        <v>2011</v>
      </c>
      <c r="J1832" t="s">
        <v>2018</v>
      </c>
      <c r="K1832" t="s">
        <v>1003</v>
      </c>
      <c r="L1832">
        <v>0.87</v>
      </c>
      <c r="M1832" t="s">
        <v>8918</v>
      </c>
      <c r="N1832" t="s">
        <v>8919</v>
      </c>
      <c r="O1832" t="s">
        <v>8920</v>
      </c>
      <c r="P1832" t="s">
        <v>485</v>
      </c>
      <c r="Q1832" t="s">
        <v>8794</v>
      </c>
      <c r="R1832" t="s">
        <v>8795</v>
      </c>
      <c r="S1832" t="s">
        <v>8794</v>
      </c>
      <c r="T1832" t="s">
        <v>8795</v>
      </c>
    </row>
    <row r="1833" spans="1:20">
      <c r="A1833" s="241">
        <v>44001</v>
      </c>
      <c r="B1833" t="s">
        <v>8921</v>
      </c>
      <c r="C1833" t="s">
        <v>614</v>
      </c>
      <c r="D1833" t="s">
        <v>423</v>
      </c>
      <c r="E1833" t="s">
        <v>696</v>
      </c>
      <c r="F1833" t="s">
        <v>1692</v>
      </c>
      <c r="G1833" t="s">
        <v>511</v>
      </c>
      <c r="H1833" t="s">
        <v>787</v>
      </c>
      <c r="I1833" t="s">
        <v>1019</v>
      </c>
      <c r="J1833" t="s">
        <v>523</v>
      </c>
      <c r="K1833" t="s">
        <v>1234</v>
      </c>
      <c r="L1833">
        <v>0.86</v>
      </c>
      <c r="M1833" t="s">
        <v>8922</v>
      </c>
      <c r="N1833" t="s">
        <v>8923</v>
      </c>
      <c r="O1833" t="s">
        <v>8924</v>
      </c>
      <c r="P1833" t="s">
        <v>485</v>
      </c>
      <c r="Q1833" t="s">
        <v>8794</v>
      </c>
      <c r="R1833" t="s">
        <v>8795</v>
      </c>
      <c r="S1833" t="s">
        <v>8794</v>
      </c>
      <c r="T1833" t="s">
        <v>8795</v>
      </c>
    </row>
    <row r="1834" spans="1:20">
      <c r="A1834" s="241">
        <v>44001</v>
      </c>
      <c r="B1834" t="s">
        <v>8925</v>
      </c>
      <c r="C1834" t="s">
        <v>510</v>
      </c>
      <c r="D1834" t="s">
        <v>712</v>
      </c>
      <c r="E1834" t="s">
        <v>238</v>
      </c>
      <c r="F1834" t="s">
        <v>600</v>
      </c>
      <c r="G1834" t="s">
        <v>1725</v>
      </c>
      <c r="H1834" t="s">
        <v>1213</v>
      </c>
      <c r="I1834" t="s">
        <v>1727</v>
      </c>
      <c r="J1834" t="s">
        <v>2044</v>
      </c>
      <c r="K1834" t="s">
        <v>524</v>
      </c>
      <c r="L1834">
        <v>0.86</v>
      </c>
      <c r="M1834" t="s">
        <v>8926</v>
      </c>
      <c r="N1834" t="s">
        <v>8927</v>
      </c>
      <c r="O1834" t="s">
        <v>8928</v>
      </c>
      <c r="P1834" t="s">
        <v>485</v>
      </c>
      <c r="Q1834" t="s">
        <v>8794</v>
      </c>
      <c r="R1834" t="s">
        <v>8795</v>
      </c>
      <c r="S1834" t="s">
        <v>8794</v>
      </c>
      <c r="T1834" t="s">
        <v>8795</v>
      </c>
    </row>
    <row r="1835" spans="1:20">
      <c r="A1835" s="241">
        <v>44001</v>
      </c>
      <c r="B1835" t="s">
        <v>8929</v>
      </c>
      <c r="C1835" t="s">
        <v>274</v>
      </c>
      <c r="D1835" t="s">
        <v>625</v>
      </c>
      <c r="E1835" t="s">
        <v>812</v>
      </c>
      <c r="F1835" t="s">
        <v>584</v>
      </c>
      <c r="G1835" t="s">
        <v>1420</v>
      </c>
      <c r="H1835" t="s">
        <v>2315</v>
      </c>
      <c r="I1835" t="s">
        <v>816</v>
      </c>
      <c r="J1835" t="s">
        <v>807</v>
      </c>
      <c r="K1835" t="s">
        <v>231</v>
      </c>
      <c r="L1835">
        <v>0.86</v>
      </c>
      <c r="M1835" t="s">
        <v>8930</v>
      </c>
      <c r="N1835" t="s">
        <v>8931</v>
      </c>
      <c r="O1835" t="s">
        <v>8932</v>
      </c>
      <c r="P1835" t="s">
        <v>485</v>
      </c>
      <c r="Q1835" t="s">
        <v>8794</v>
      </c>
      <c r="R1835" t="s">
        <v>8795</v>
      </c>
      <c r="S1835" t="s">
        <v>8794</v>
      </c>
      <c r="T1835" t="s">
        <v>8795</v>
      </c>
    </row>
    <row r="1836" spans="1:20">
      <c r="A1836" s="241">
        <v>44001</v>
      </c>
      <c r="B1836" t="s">
        <v>8933</v>
      </c>
      <c r="C1836" t="s">
        <v>442</v>
      </c>
      <c r="D1836" t="s">
        <v>237</v>
      </c>
      <c r="E1836" t="s">
        <v>606</v>
      </c>
      <c r="F1836" t="s">
        <v>1255</v>
      </c>
      <c r="G1836" t="s">
        <v>814</v>
      </c>
      <c r="H1836" t="s">
        <v>1746</v>
      </c>
      <c r="I1836" t="s">
        <v>560</v>
      </c>
      <c r="J1836" t="s">
        <v>1039</v>
      </c>
      <c r="K1836" t="s">
        <v>524</v>
      </c>
      <c r="L1836">
        <v>0.86</v>
      </c>
      <c r="M1836" t="s">
        <v>8934</v>
      </c>
      <c r="N1836" t="s">
        <v>8935</v>
      </c>
      <c r="O1836" t="s">
        <v>8936</v>
      </c>
      <c r="P1836" t="s">
        <v>485</v>
      </c>
      <c r="Q1836" t="s">
        <v>8794</v>
      </c>
      <c r="R1836" t="s">
        <v>8795</v>
      </c>
      <c r="S1836" t="s">
        <v>8794</v>
      </c>
      <c r="T1836" t="s">
        <v>8795</v>
      </c>
    </row>
    <row r="1837" spans="1:20">
      <c r="A1837" s="241">
        <v>44001</v>
      </c>
      <c r="B1837" t="s">
        <v>8937</v>
      </c>
      <c r="C1837" t="s">
        <v>274</v>
      </c>
      <c r="D1837" t="s">
        <v>645</v>
      </c>
      <c r="E1837" t="s">
        <v>332</v>
      </c>
      <c r="F1837" t="s">
        <v>1080</v>
      </c>
      <c r="G1837" t="s">
        <v>830</v>
      </c>
      <c r="H1837" t="s">
        <v>1704</v>
      </c>
      <c r="I1837" t="s">
        <v>278</v>
      </c>
      <c r="J1837" t="s">
        <v>1786</v>
      </c>
      <c r="K1837" t="s">
        <v>231</v>
      </c>
      <c r="L1837">
        <v>0.86</v>
      </c>
      <c r="M1837" t="s">
        <v>8938</v>
      </c>
      <c r="N1837" t="s">
        <v>8939</v>
      </c>
      <c r="O1837" t="s">
        <v>8940</v>
      </c>
      <c r="P1837" t="s">
        <v>485</v>
      </c>
      <c r="Q1837" t="s">
        <v>8794</v>
      </c>
      <c r="R1837" t="s">
        <v>8795</v>
      </c>
      <c r="S1837" t="s">
        <v>8794</v>
      </c>
      <c r="T1837" t="s">
        <v>8795</v>
      </c>
    </row>
    <row r="1838" spans="1:20">
      <c r="A1838" s="241">
        <v>44001</v>
      </c>
      <c r="B1838" t="s">
        <v>8941</v>
      </c>
      <c r="C1838" t="s">
        <v>261</v>
      </c>
      <c r="D1838" t="s">
        <v>249</v>
      </c>
      <c r="E1838" t="s">
        <v>225</v>
      </c>
      <c r="F1838" t="s">
        <v>626</v>
      </c>
      <c r="G1838" t="s">
        <v>1781</v>
      </c>
      <c r="H1838" t="s">
        <v>799</v>
      </c>
      <c r="I1838" t="s">
        <v>266</v>
      </c>
      <c r="J1838" t="s">
        <v>578</v>
      </c>
      <c r="K1838" t="s">
        <v>244</v>
      </c>
      <c r="L1838">
        <v>0.86</v>
      </c>
      <c r="M1838" t="s">
        <v>8942</v>
      </c>
      <c r="N1838" t="s">
        <v>8943</v>
      </c>
      <c r="O1838" t="s">
        <v>8944</v>
      </c>
      <c r="P1838" t="s">
        <v>485</v>
      </c>
      <c r="Q1838" t="s">
        <v>8794</v>
      </c>
      <c r="R1838" t="s">
        <v>8795</v>
      </c>
      <c r="S1838" t="s">
        <v>8794</v>
      </c>
      <c r="T1838" t="s">
        <v>8795</v>
      </c>
    </row>
    <row r="1839" spans="1:20">
      <c r="A1839" s="241">
        <v>44001</v>
      </c>
      <c r="B1839" t="s">
        <v>8945</v>
      </c>
      <c r="C1839" t="s">
        <v>423</v>
      </c>
      <c r="D1839" t="s">
        <v>207</v>
      </c>
      <c r="E1839" t="s">
        <v>225</v>
      </c>
      <c r="F1839" t="s">
        <v>848</v>
      </c>
      <c r="G1839" t="s">
        <v>1781</v>
      </c>
      <c r="H1839" t="s">
        <v>1453</v>
      </c>
      <c r="I1839" t="s">
        <v>1062</v>
      </c>
      <c r="J1839" t="s">
        <v>289</v>
      </c>
      <c r="K1839" t="s">
        <v>268</v>
      </c>
      <c r="L1839">
        <v>0.86</v>
      </c>
      <c r="M1839" t="s">
        <v>8946</v>
      </c>
      <c r="N1839" t="s">
        <v>8947</v>
      </c>
      <c r="O1839" t="s">
        <v>8948</v>
      </c>
      <c r="P1839" t="s">
        <v>485</v>
      </c>
      <c r="Q1839" t="s">
        <v>8794</v>
      </c>
      <c r="R1839" t="s">
        <v>8795</v>
      </c>
      <c r="S1839" t="s">
        <v>8794</v>
      </c>
      <c r="T1839" t="s">
        <v>8795</v>
      </c>
    </row>
    <row r="1840" spans="1:20">
      <c r="A1840" s="241">
        <v>44001</v>
      </c>
      <c r="B1840" t="s">
        <v>8949</v>
      </c>
      <c r="C1840" t="s">
        <v>261</v>
      </c>
      <c r="D1840" t="s">
        <v>261</v>
      </c>
      <c r="E1840" t="s">
        <v>238</v>
      </c>
      <c r="F1840" t="s">
        <v>405</v>
      </c>
      <c r="G1840" t="s">
        <v>836</v>
      </c>
      <c r="H1840" t="s">
        <v>226</v>
      </c>
      <c r="I1840" t="s">
        <v>1082</v>
      </c>
      <c r="J1840" t="s">
        <v>1812</v>
      </c>
      <c r="K1840" t="s">
        <v>256</v>
      </c>
      <c r="L1840">
        <v>0.86</v>
      </c>
      <c r="M1840" t="s">
        <v>8950</v>
      </c>
      <c r="N1840" t="s">
        <v>8951</v>
      </c>
      <c r="O1840" t="s">
        <v>8952</v>
      </c>
      <c r="P1840" t="s">
        <v>485</v>
      </c>
      <c r="Q1840" t="s">
        <v>8794</v>
      </c>
      <c r="R1840" t="s">
        <v>8795</v>
      </c>
      <c r="S1840" t="s">
        <v>8794</v>
      </c>
      <c r="T1840" t="s">
        <v>8795</v>
      </c>
    </row>
    <row r="1841" spans="1:20">
      <c r="A1841" s="241">
        <v>44001</v>
      </c>
      <c r="B1841" t="s">
        <v>8953</v>
      </c>
      <c r="C1841" t="s">
        <v>712</v>
      </c>
      <c r="D1841" t="s">
        <v>442</v>
      </c>
      <c r="E1841" t="s">
        <v>382</v>
      </c>
      <c r="F1841" t="s">
        <v>1109</v>
      </c>
      <c r="G1841" t="s">
        <v>1477</v>
      </c>
      <c r="H1841" t="s">
        <v>1231</v>
      </c>
      <c r="I1841" t="s">
        <v>1087</v>
      </c>
      <c r="J1841" t="s">
        <v>1092</v>
      </c>
      <c r="K1841" t="s">
        <v>651</v>
      </c>
      <c r="L1841">
        <v>0.86</v>
      </c>
      <c r="M1841" t="s">
        <v>8954</v>
      </c>
      <c r="N1841" t="s">
        <v>8955</v>
      </c>
      <c r="O1841" t="s">
        <v>8956</v>
      </c>
      <c r="P1841" t="s">
        <v>485</v>
      </c>
      <c r="Q1841" t="s">
        <v>8794</v>
      </c>
      <c r="R1841" t="s">
        <v>8795</v>
      </c>
      <c r="S1841" t="s">
        <v>8794</v>
      </c>
      <c r="T1841" t="s">
        <v>8795</v>
      </c>
    </row>
    <row r="1842" spans="1:20">
      <c r="A1842" s="241">
        <v>44001</v>
      </c>
      <c r="B1842" t="s">
        <v>8957</v>
      </c>
      <c r="C1842" t="s">
        <v>207</v>
      </c>
      <c r="D1842" t="s">
        <v>207</v>
      </c>
      <c r="E1842" t="s">
        <v>812</v>
      </c>
      <c r="F1842" t="s">
        <v>445</v>
      </c>
      <c r="G1842" t="s">
        <v>334</v>
      </c>
      <c r="H1842" t="s">
        <v>868</v>
      </c>
      <c r="I1842" t="s">
        <v>1097</v>
      </c>
      <c r="J1842" t="s">
        <v>326</v>
      </c>
      <c r="K1842" t="s">
        <v>338</v>
      </c>
      <c r="L1842">
        <v>0.86</v>
      </c>
      <c r="M1842" t="s">
        <v>8958</v>
      </c>
      <c r="N1842" t="s">
        <v>8959</v>
      </c>
      <c r="O1842" t="s">
        <v>8960</v>
      </c>
      <c r="P1842" t="s">
        <v>485</v>
      </c>
      <c r="Q1842" t="s">
        <v>8794</v>
      </c>
      <c r="R1842" t="s">
        <v>8795</v>
      </c>
      <c r="S1842" t="s">
        <v>8794</v>
      </c>
      <c r="T1842" t="s">
        <v>8795</v>
      </c>
    </row>
    <row r="1843" spans="1:20">
      <c r="A1843" s="241">
        <v>44001</v>
      </c>
      <c r="B1843" t="s">
        <v>8961</v>
      </c>
      <c r="C1843" t="s">
        <v>206</v>
      </c>
      <c r="D1843" t="s">
        <v>294</v>
      </c>
      <c r="E1843" t="s">
        <v>597</v>
      </c>
      <c r="F1843" t="s">
        <v>323</v>
      </c>
      <c r="G1843" t="s">
        <v>617</v>
      </c>
      <c r="H1843" t="s">
        <v>868</v>
      </c>
      <c r="I1843" t="s">
        <v>1097</v>
      </c>
      <c r="J1843" t="s">
        <v>326</v>
      </c>
      <c r="K1843" t="s">
        <v>338</v>
      </c>
      <c r="L1843">
        <v>0.86</v>
      </c>
      <c r="M1843" t="s">
        <v>8962</v>
      </c>
      <c r="N1843" t="s">
        <v>8963</v>
      </c>
      <c r="O1843" t="s">
        <v>8964</v>
      </c>
      <c r="P1843" t="s">
        <v>485</v>
      </c>
      <c r="Q1843" t="s">
        <v>8794</v>
      </c>
      <c r="R1843" t="s">
        <v>8795</v>
      </c>
      <c r="S1843" t="s">
        <v>8794</v>
      </c>
      <c r="T1843" t="s">
        <v>8795</v>
      </c>
    </row>
    <row r="1844" spans="1:20">
      <c r="A1844" s="241">
        <v>44001</v>
      </c>
      <c r="B1844" t="s">
        <v>8965</v>
      </c>
      <c r="C1844" t="s">
        <v>423</v>
      </c>
      <c r="D1844" t="s">
        <v>274</v>
      </c>
      <c r="E1844" t="s">
        <v>696</v>
      </c>
      <c r="F1844" t="s">
        <v>364</v>
      </c>
      <c r="G1844" t="s">
        <v>898</v>
      </c>
      <c r="H1844" t="s">
        <v>584</v>
      </c>
      <c r="I1844" t="s">
        <v>1523</v>
      </c>
      <c r="J1844" t="s">
        <v>657</v>
      </c>
      <c r="K1844" t="s">
        <v>349</v>
      </c>
      <c r="L1844">
        <v>0.86</v>
      </c>
      <c r="M1844" t="s">
        <v>8966</v>
      </c>
      <c r="N1844" t="s">
        <v>8967</v>
      </c>
      <c r="O1844" t="s">
        <v>8968</v>
      </c>
      <c r="P1844" t="s">
        <v>485</v>
      </c>
      <c r="Q1844" t="s">
        <v>8794</v>
      </c>
      <c r="R1844" t="s">
        <v>8795</v>
      </c>
      <c r="S1844" t="s">
        <v>8794</v>
      </c>
      <c r="T1844" t="s">
        <v>8795</v>
      </c>
    </row>
    <row r="1845" spans="1:20">
      <c r="A1845" s="241">
        <v>44001</v>
      </c>
      <c r="B1845" t="s">
        <v>8969</v>
      </c>
      <c r="C1845" t="s">
        <v>510</v>
      </c>
      <c r="D1845" t="s">
        <v>294</v>
      </c>
      <c r="E1845" t="s">
        <v>606</v>
      </c>
      <c r="F1845" t="s">
        <v>909</v>
      </c>
      <c r="G1845" t="s">
        <v>1115</v>
      </c>
      <c r="H1845" t="s">
        <v>616</v>
      </c>
      <c r="I1845" t="s">
        <v>1547</v>
      </c>
      <c r="J1845" t="s">
        <v>377</v>
      </c>
      <c r="K1845" t="s">
        <v>349</v>
      </c>
      <c r="L1845">
        <v>0.86</v>
      </c>
      <c r="M1845" t="s">
        <v>8970</v>
      </c>
      <c r="N1845" t="s">
        <v>8971</v>
      </c>
      <c r="O1845" t="s">
        <v>8972</v>
      </c>
      <c r="P1845" t="s">
        <v>485</v>
      </c>
      <c r="Q1845" t="s">
        <v>8794</v>
      </c>
      <c r="R1845" t="s">
        <v>8795</v>
      </c>
      <c r="S1845" t="s">
        <v>8794</v>
      </c>
      <c r="T1845" t="s">
        <v>8795</v>
      </c>
    </row>
    <row r="1846" spans="1:20">
      <c r="A1846" s="241">
        <v>44001</v>
      </c>
      <c r="B1846" t="s">
        <v>8973</v>
      </c>
      <c r="C1846" t="s">
        <v>442</v>
      </c>
      <c r="D1846" t="s">
        <v>625</v>
      </c>
      <c r="E1846" t="s">
        <v>424</v>
      </c>
      <c r="F1846" t="s">
        <v>393</v>
      </c>
      <c r="G1846" t="s">
        <v>1122</v>
      </c>
      <c r="H1846" t="s">
        <v>1467</v>
      </c>
      <c r="I1846" t="s">
        <v>1563</v>
      </c>
      <c r="J1846" t="s">
        <v>1298</v>
      </c>
      <c r="K1846" t="s">
        <v>359</v>
      </c>
      <c r="L1846">
        <v>0.86</v>
      </c>
      <c r="M1846" t="s">
        <v>8974</v>
      </c>
      <c r="N1846" t="s">
        <v>8975</v>
      </c>
      <c r="O1846" t="s">
        <v>8976</v>
      </c>
      <c r="P1846" t="s">
        <v>485</v>
      </c>
      <c r="Q1846" t="s">
        <v>8794</v>
      </c>
      <c r="R1846" t="s">
        <v>8795</v>
      </c>
      <c r="S1846" t="s">
        <v>8794</v>
      </c>
      <c r="T1846" t="s">
        <v>8795</v>
      </c>
    </row>
    <row r="1847" spans="1:20">
      <c r="A1847" s="241">
        <v>44001</v>
      </c>
      <c r="B1847" t="s">
        <v>8977</v>
      </c>
      <c r="C1847" t="s">
        <v>274</v>
      </c>
      <c r="D1847" t="s">
        <v>679</v>
      </c>
      <c r="E1847" t="s">
        <v>597</v>
      </c>
      <c r="F1847" t="s">
        <v>1156</v>
      </c>
      <c r="G1847" t="s">
        <v>2393</v>
      </c>
      <c r="H1847" t="s">
        <v>855</v>
      </c>
      <c r="I1847" t="s">
        <v>1579</v>
      </c>
      <c r="J1847" t="s">
        <v>691</v>
      </c>
      <c r="K1847" t="s">
        <v>327</v>
      </c>
      <c r="L1847">
        <v>0.86</v>
      </c>
      <c r="M1847" t="s">
        <v>8978</v>
      </c>
      <c r="N1847" t="s">
        <v>8979</v>
      </c>
      <c r="O1847" t="s">
        <v>8980</v>
      </c>
      <c r="P1847" t="s">
        <v>485</v>
      </c>
      <c r="Q1847" t="s">
        <v>8794</v>
      </c>
      <c r="R1847" t="s">
        <v>8795</v>
      </c>
      <c r="S1847" t="s">
        <v>8794</v>
      </c>
      <c r="T1847" t="s">
        <v>8795</v>
      </c>
    </row>
    <row r="1848" spans="1:20">
      <c r="A1848" s="241">
        <v>44001</v>
      </c>
      <c r="B1848" t="s">
        <v>8981</v>
      </c>
      <c r="C1848" t="s">
        <v>261</v>
      </c>
      <c r="D1848" t="s">
        <v>625</v>
      </c>
      <c r="E1848" t="s">
        <v>606</v>
      </c>
      <c r="F1848" t="s">
        <v>444</v>
      </c>
      <c r="G1848" t="s">
        <v>1585</v>
      </c>
      <c r="H1848" t="s">
        <v>1511</v>
      </c>
      <c r="I1848" t="s">
        <v>932</v>
      </c>
      <c r="J1848" t="s">
        <v>407</v>
      </c>
      <c r="K1848" t="s">
        <v>700</v>
      </c>
      <c r="L1848">
        <v>0.86</v>
      </c>
      <c r="M1848" t="s">
        <v>8982</v>
      </c>
      <c r="N1848" t="s">
        <v>8983</v>
      </c>
      <c r="O1848" t="s">
        <v>8984</v>
      </c>
      <c r="P1848" t="s">
        <v>485</v>
      </c>
      <c r="Q1848" t="s">
        <v>8794</v>
      </c>
      <c r="R1848" t="s">
        <v>8795</v>
      </c>
      <c r="S1848" t="s">
        <v>8794</v>
      </c>
      <c r="T1848" t="s">
        <v>8795</v>
      </c>
    </row>
    <row r="1849" spans="1:20">
      <c r="A1849" s="241">
        <v>44001</v>
      </c>
      <c r="B1849" t="s">
        <v>8985</v>
      </c>
      <c r="C1849" t="s">
        <v>274</v>
      </c>
      <c r="D1849" t="s">
        <v>679</v>
      </c>
      <c r="E1849" t="s">
        <v>1121</v>
      </c>
      <c r="F1849" t="s">
        <v>1156</v>
      </c>
      <c r="G1849" t="s">
        <v>1585</v>
      </c>
      <c r="H1849" t="s">
        <v>1511</v>
      </c>
      <c r="I1849" t="s">
        <v>406</v>
      </c>
      <c r="J1849" t="s">
        <v>699</v>
      </c>
      <c r="K1849" t="s">
        <v>666</v>
      </c>
      <c r="L1849">
        <v>0.86</v>
      </c>
      <c r="M1849" t="s">
        <v>8986</v>
      </c>
      <c r="N1849" t="s">
        <v>8987</v>
      </c>
      <c r="O1849" t="s">
        <v>8988</v>
      </c>
      <c r="P1849" t="s">
        <v>485</v>
      </c>
      <c r="Q1849" t="s">
        <v>8794</v>
      </c>
      <c r="R1849" t="s">
        <v>8795</v>
      </c>
      <c r="S1849" t="s">
        <v>8794</v>
      </c>
      <c r="T1849" t="s">
        <v>8795</v>
      </c>
    </row>
    <row r="1850" spans="1:20">
      <c r="A1850" s="241">
        <v>44001</v>
      </c>
      <c r="B1850" t="s">
        <v>8989</v>
      </c>
      <c r="C1850" t="s">
        <v>261</v>
      </c>
      <c r="D1850" t="s">
        <v>1139</v>
      </c>
      <c r="E1850" t="s">
        <v>1314</v>
      </c>
      <c r="F1850" t="s">
        <v>3661</v>
      </c>
      <c r="G1850" t="s">
        <v>705</v>
      </c>
      <c r="H1850" t="s">
        <v>1620</v>
      </c>
      <c r="I1850" t="s">
        <v>446</v>
      </c>
      <c r="J1850" t="s">
        <v>1159</v>
      </c>
      <c r="K1850" t="s">
        <v>369</v>
      </c>
      <c r="L1850">
        <v>0.86</v>
      </c>
      <c r="M1850" t="s">
        <v>8990</v>
      </c>
      <c r="N1850" t="s">
        <v>8991</v>
      </c>
      <c r="O1850" t="s">
        <v>8992</v>
      </c>
      <c r="P1850" t="s">
        <v>485</v>
      </c>
      <c r="Q1850" t="s">
        <v>8794</v>
      </c>
      <c r="R1850" t="s">
        <v>8795</v>
      </c>
      <c r="S1850" t="s">
        <v>8794</v>
      </c>
      <c r="T1850" t="s">
        <v>8795</v>
      </c>
    </row>
    <row r="1851" spans="1:20">
      <c r="A1851" s="241">
        <v>44001</v>
      </c>
      <c r="B1851" t="s">
        <v>8993</v>
      </c>
      <c r="C1851" t="s">
        <v>237</v>
      </c>
      <c r="D1851" t="s">
        <v>392</v>
      </c>
      <c r="E1851" t="s">
        <v>1049</v>
      </c>
      <c r="F1851" t="s">
        <v>1619</v>
      </c>
      <c r="G1851" t="s">
        <v>2419</v>
      </c>
      <c r="H1851" t="s">
        <v>454</v>
      </c>
      <c r="I1851" t="s">
        <v>947</v>
      </c>
      <c r="J1851" t="s">
        <v>447</v>
      </c>
      <c r="K1851" t="s">
        <v>428</v>
      </c>
      <c r="L1851">
        <v>0.86</v>
      </c>
      <c r="M1851" t="s">
        <v>8994</v>
      </c>
      <c r="N1851" t="s">
        <v>8995</v>
      </c>
      <c r="O1851" t="s">
        <v>8996</v>
      </c>
      <c r="P1851" t="s">
        <v>485</v>
      </c>
      <c r="Q1851" t="s">
        <v>8794</v>
      </c>
      <c r="R1851" t="s">
        <v>8795</v>
      </c>
      <c r="S1851" t="s">
        <v>8794</v>
      </c>
      <c r="T1851" t="s">
        <v>8795</v>
      </c>
    </row>
    <row r="1852" spans="1:20">
      <c r="A1852" s="241">
        <v>44001</v>
      </c>
      <c r="B1852" t="s">
        <v>8997</v>
      </c>
      <c r="C1852" t="s">
        <v>1357</v>
      </c>
      <c r="D1852" t="s">
        <v>1665</v>
      </c>
      <c r="E1852" t="s">
        <v>237</v>
      </c>
      <c r="F1852" t="s">
        <v>4894</v>
      </c>
      <c r="G1852" t="s">
        <v>961</v>
      </c>
      <c r="H1852" t="s">
        <v>757</v>
      </c>
      <c r="I1852" t="s">
        <v>963</v>
      </c>
      <c r="J1852" t="s">
        <v>8998</v>
      </c>
      <c r="K1852" t="s">
        <v>3674</v>
      </c>
      <c r="L1852">
        <v>0.89</v>
      </c>
      <c r="M1852" t="s">
        <v>8999</v>
      </c>
      <c r="N1852" t="s">
        <v>9000</v>
      </c>
      <c r="O1852" t="s">
        <v>9001</v>
      </c>
      <c r="P1852" t="s">
        <v>485</v>
      </c>
      <c r="Q1852" t="s">
        <v>8794</v>
      </c>
      <c r="R1852" t="s">
        <v>8795</v>
      </c>
      <c r="S1852" t="s">
        <v>8794</v>
      </c>
      <c r="T1852" t="s">
        <v>8795</v>
      </c>
    </row>
    <row r="1853" spans="1:20">
      <c r="A1853" s="241">
        <v>44001</v>
      </c>
      <c r="B1853" t="s">
        <v>9002</v>
      </c>
      <c r="C1853" t="s">
        <v>747</v>
      </c>
      <c r="D1853" t="s">
        <v>2431</v>
      </c>
      <c r="E1853" t="s">
        <v>207</v>
      </c>
      <c r="F1853" t="s">
        <v>1647</v>
      </c>
      <c r="G1853" t="s">
        <v>477</v>
      </c>
      <c r="H1853" t="s">
        <v>1649</v>
      </c>
      <c r="I1853" t="s">
        <v>1360</v>
      </c>
      <c r="J1853" t="s">
        <v>1361</v>
      </c>
      <c r="K1853" t="s">
        <v>1362</v>
      </c>
      <c r="L1853">
        <v>0.89</v>
      </c>
      <c r="M1853" t="s">
        <v>9003</v>
      </c>
      <c r="N1853" t="s">
        <v>9004</v>
      </c>
      <c r="O1853" t="s">
        <v>9005</v>
      </c>
      <c r="P1853" t="s">
        <v>485</v>
      </c>
      <c r="Q1853" t="s">
        <v>8794</v>
      </c>
      <c r="R1853" t="s">
        <v>8795</v>
      </c>
      <c r="S1853" t="s">
        <v>8794</v>
      </c>
      <c r="T1853" t="s">
        <v>8795</v>
      </c>
    </row>
    <row r="1854" spans="1:20">
      <c r="A1854" s="241">
        <v>44001</v>
      </c>
      <c r="B1854" t="s">
        <v>9006</v>
      </c>
      <c r="C1854" t="s">
        <v>2448</v>
      </c>
      <c r="D1854" t="s">
        <v>2431</v>
      </c>
      <c r="E1854" t="s">
        <v>475</v>
      </c>
      <c r="F1854" t="s">
        <v>739</v>
      </c>
      <c r="G1854" t="s">
        <v>981</v>
      </c>
      <c r="H1854" t="s">
        <v>1978</v>
      </c>
      <c r="I1854" t="s">
        <v>4908</v>
      </c>
      <c r="J1854" t="s">
        <v>984</v>
      </c>
      <c r="K1854" t="s">
        <v>2443</v>
      </c>
      <c r="L1854">
        <v>0.89</v>
      </c>
      <c r="M1854" t="s">
        <v>9007</v>
      </c>
      <c r="N1854" t="s">
        <v>9008</v>
      </c>
      <c r="O1854" t="s">
        <v>9009</v>
      </c>
      <c r="P1854" t="s">
        <v>485</v>
      </c>
      <c r="Q1854" t="s">
        <v>8794</v>
      </c>
      <c r="R1854" t="s">
        <v>8795</v>
      </c>
      <c r="S1854" t="s">
        <v>8794</v>
      </c>
      <c r="T1854" t="s">
        <v>8795</v>
      </c>
    </row>
    <row r="1855" spans="1:20">
      <c r="A1855" s="241">
        <v>44001</v>
      </c>
      <c r="B1855" t="s">
        <v>9010</v>
      </c>
      <c r="C1855" t="s">
        <v>1348</v>
      </c>
      <c r="D1855" t="s">
        <v>475</v>
      </c>
      <c r="E1855" t="s">
        <v>1139</v>
      </c>
      <c r="F1855" t="s">
        <v>739</v>
      </c>
      <c r="G1855" t="s">
        <v>9011</v>
      </c>
      <c r="H1855" t="s">
        <v>4889</v>
      </c>
      <c r="I1855" t="s">
        <v>9012</v>
      </c>
      <c r="J1855" t="s">
        <v>9013</v>
      </c>
      <c r="K1855" t="s">
        <v>9014</v>
      </c>
      <c r="L1855">
        <v>0.88</v>
      </c>
      <c r="M1855" t="s">
        <v>9015</v>
      </c>
      <c r="N1855" t="s">
        <v>9016</v>
      </c>
      <c r="O1855" t="s">
        <v>9017</v>
      </c>
      <c r="P1855" t="s">
        <v>485</v>
      </c>
      <c r="Q1855" t="s">
        <v>8794</v>
      </c>
      <c r="R1855" t="s">
        <v>8795</v>
      </c>
      <c r="S1855" t="s">
        <v>8794</v>
      </c>
      <c r="T1855" t="s">
        <v>8795</v>
      </c>
    </row>
    <row r="1856" spans="1:20">
      <c r="A1856" s="241">
        <v>44001</v>
      </c>
      <c r="B1856" t="s">
        <v>9018</v>
      </c>
      <c r="C1856" t="s">
        <v>274</v>
      </c>
      <c r="D1856" t="s">
        <v>645</v>
      </c>
      <c r="E1856" t="s">
        <v>632</v>
      </c>
      <c r="F1856" t="s">
        <v>307</v>
      </c>
      <c r="G1856" t="s">
        <v>2016</v>
      </c>
      <c r="H1856" t="s">
        <v>5511</v>
      </c>
      <c r="I1856" t="s">
        <v>4647</v>
      </c>
      <c r="J1856" t="s">
        <v>6715</v>
      </c>
      <c r="K1856" t="s">
        <v>781</v>
      </c>
      <c r="L1856">
        <v>0.86</v>
      </c>
      <c r="M1856" t="s">
        <v>9019</v>
      </c>
      <c r="N1856" t="s">
        <v>9020</v>
      </c>
      <c r="O1856" t="s">
        <v>9021</v>
      </c>
      <c r="P1856" t="s">
        <v>485</v>
      </c>
      <c r="Q1856" t="s">
        <v>8794</v>
      </c>
      <c r="R1856" t="s">
        <v>8795</v>
      </c>
      <c r="S1856" t="s">
        <v>8794</v>
      </c>
      <c r="T1856" t="s">
        <v>8795</v>
      </c>
    </row>
    <row r="1857" spans="1:20">
      <c r="A1857" s="241">
        <v>44001</v>
      </c>
      <c r="B1857" t="s">
        <v>9022</v>
      </c>
      <c r="C1857" t="s">
        <v>645</v>
      </c>
      <c r="D1857" t="s">
        <v>645</v>
      </c>
      <c r="E1857" t="s">
        <v>632</v>
      </c>
      <c r="F1857" t="s">
        <v>2074</v>
      </c>
      <c r="G1857" t="s">
        <v>2291</v>
      </c>
      <c r="H1857" t="s">
        <v>541</v>
      </c>
      <c r="I1857" t="s">
        <v>793</v>
      </c>
      <c r="J1857" t="s">
        <v>1026</v>
      </c>
      <c r="K1857" t="s">
        <v>534</v>
      </c>
      <c r="L1857">
        <v>0.87</v>
      </c>
      <c r="M1857" t="s">
        <v>9023</v>
      </c>
      <c r="N1857" t="s">
        <v>9024</v>
      </c>
      <c r="O1857" t="s">
        <v>9025</v>
      </c>
      <c r="P1857" t="s">
        <v>485</v>
      </c>
      <c r="Q1857" t="s">
        <v>8794</v>
      </c>
      <c r="R1857" t="s">
        <v>8795</v>
      </c>
      <c r="S1857" t="s">
        <v>8794</v>
      </c>
      <c r="T1857" t="s">
        <v>8795</v>
      </c>
    </row>
    <row r="1858" spans="1:20">
      <c r="A1858" s="241">
        <v>44001</v>
      </c>
      <c r="B1858" t="s">
        <v>9026</v>
      </c>
      <c r="C1858" t="s">
        <v>631</v>
      </c>
      <c r="D1858" t="s">
        <v>442</v>
      </c>
      <c r="E1858" t="s">
        <v>680</v>
      </c>
      <c r="F1858" t="s">
        <v>1452</v>
      </c>
      <c r="G1858" t="s">
        <v>1745</v>
      </c>
      <c r="H1858" t="s">
        <v>1426</v>
      </c>
      <c r="I1858" t="s">
        <v>816</v>
      </c>
      <c r="J1858" t="s">
        <v>213</v>
      </c>
      <c r="K1858" t="s">
        <v>1012</v>
      </c>
      <c r="L1858">
        <v>0.86</v>
      </c>
      <c r="M1858" t="s">
        <v>9027</v>
      </c>
      <c r="N1858" t="s">
        <v>9028</v>
      </c>
      <c r="O1858" t="s">
        <v>9029</v>
      </c>
      <c r="P1858" t="s">
        <v>485</v>
      </c>
      <c r="Q1858" t="s">
        <v>8794</v>
      </c>
      <c r="R1858" t="s">
        <v>8795</v>
      </c>
      <c r="S1858" t="s">
        <v>8794</v>
      </c>
      <c r="T1858" t="s">
        <v>8795</v>
      </c>
    </row>
    <row r="1859" spans="1:20">
      <c r="A1859" s="241">
        <v>44001</v>
      </c>
      <c r="B1859" t="s">
        <v>9030</v>
      </c>
      <c r="C1859" t="s">
        <v>442</v>
      </c>
      <c r="D1859" t="s">
        <v>645</v>
      </c>
      <c r="E1859" t="s">
        <v>597</v>
      </c>
      <c r="F1859" t="s">
        <v>346</v>
      </c>
      <c r="G1859" t="s">
        <v>1745</v>
      </c>
      <c r="H1859" t="s">
        <v>241</v>
      </c>
      <c r="I1859" t="s">
        <v>1031</v>
      </c>
      <c r="J1859" t="s">
        <v>213</v>
      </c>
      <c r="K1859" t="s">
        <v>1032</v>
      </c>
      <c r="L1859">
        <v>0.86</v>
      </c>
      <c r="M1859" t="s">
        <v>9031</v>
      </c>
      <c r="N1859" t="s">
        <v>9032</v>
      </c>
      <c r="O1859" t="s">
        <v>9033</v>
      </c>
      <c r="P1859" t="s">
        <v>485</v>
      </c>
      <c r="Q1859" t="s">
        <v>8794</v>
      </c>
      <c r="R1859" t="s">
        <v>8795</v>
      </c>
      <c r="S1859" t="s">
        <v>8794</v>
      </c>
      <c r="T1859" t="s">
        <v>8795</v>
      </c>
    </row>
    <row r="1860" spans="1:20">
      <c r="A1860" s="241">
        <v>44001</v>
      </c>
      <c r="B1860" t="s">
        <v>9034</v>
      </c>
      <c r="C1860" t="s">
        <v>1079</v>
      </c>
      <c r="D1860" t="s">
        <v>1079</v>
      </c>
      <c r="E1860" t="s">
        <v>225</v>
      </c>
      <c r="F1860" t="s">
        <v>590</v>
      </c>
      <c r="G1860" t="s">
        <v>252</v>
      </c>
      <c r="H1860" t="s">
        <v>1704</v>
      </c>
      <c r="I1860" t="s">
        <v>569</v>
      </c>
      <c r="J1860" t="s">
        <v>230</v>
      </c>
      <c r="K1860" t="s">
        <v>524</v>
      </c>
      <c r="L1860">
        <v>0.86</v>
      </c>
      <c r="M1860" t="s">
        <v>9035</v>
      </c>
      <c r="N1860" t="s">
        <v>9036</v>
      </c>
      <c r="O1860" t="s">
        <v>9037</v>
      </c>
      <c r="P1860" t="s">
        <v>485</v>
      </c>
      <c r="Q1860" t="s">
        <v>8794</v>
      </c>
      <c r="R1860" t="s">
        <v>8795</v>
      </c>
      <c r="S1860" t="s">
        <v>8794</v>
      </c>
      <c r="T1860" t="s">
        <v>8795</v>
      </c>
    </row>
    <row r="1861" spans="1:20">
      <c r="A1861" s="241">
        <v>44001</v>
      </c>
      <c r="B1861" t="s">
        <v>9038</v>
      </c>
      <c r="C1861" t="s">
        <v>294</v>
      </c>
      <c r="D1861" t="s">
        <v>671</v>
      </c>
      <c r="E1861" t="s">
        <v>680</v>
      </c>
      <c r="F1861" t="s">
        <v>1817</v>
      </c>
      <c r="G1861" t="s">
        <v>296</v>
      </c>
      <c r="H1861" t="s">
        <v>287</v>
      </c>
      <c r="I1861" t="s">
        <v>1264</v>
      </c>
      <c r="J1861" t="s">
        <v>267</v>
      </c>
      <c r="K1861" t="s">
        <v>534</v>
      </c>
      <c r="L1861">
        <v>0.86</v>
      </c>
      <c r="M1861" t="s">
        <v>9039</v>
      </c>
      <c r="N1861" t="s">
        <v>9040</v>
      </c>
      <c r="O1861" t="s">
        <v>9041</v>
      </c>
      <c r="P1861" t="s">
        <v>485</v>
      </c>
      <c r="Q1861" t="s">
        <v>8794</v>
      </c>
      <c r="R1861" t="s">
        <v>8795</v>
      </c>
      <c r="S1861" t="s">
        <v>8794</v>
      </c>
      <c r="T1861" t="s">
        <v>8795</v>
      </c>
    </row>
    <row r="1862" spans="1:20">
      <c r="A1862" s="241">
        <v>44001</v>
      </c>
      <c r="B1862" t="s">
        <v>9042</v>
      </c>
      <c r="C1862" t="s">
        <v>615</v>
      </c>
      <c r="D1862" t="s">
        <v>2535</v>
      </c>
      <c r="E1862" t="s">
        <v>250</v>
      </c>
      <c r="F1862" t="s">
        <v>626</v>
      </c>
      <c r="G1862" t="s">
        <v>2343</v>
      </c>
      <c r="H1862" t="s">
        <v>277</v>
      </c>
      <c r="I1862" t="s">
        <v>1264</v>
      </c>
      <c r="J1862" t="s">
        <v>279</v>
      </c>
      <c r="K1862" t="s">
        <v>571</v>
      </c>
      <c r="L1862">
        <v>0.86</v>
      </c>
      <c r="M1862" t="s">
        <v>9043</v>
      </c>
      <c r="N1862" t="s">
        <v>9044</v>
      </c>
      <c r="O1862" t="s">
        <v>9045</v>
      </c>
      <c r="P1862" t="s">
        <v>485</v>
      </c>
      <c r="Q1862" t="s">
        <v>8794</v>
      </c>
      <c r="R1862" t="s">
        <v>8795</v>
      </c>
      <c r="S1862" t="s">
        <v>8794</v>
      </c>
      <c r="T1862" t="s">
        <v>8795</v>
      </c>
    </row>
    <row r="1863" spans="1:20">
      <c r="A1863" s="241">
        <v>44001</v>
      </c>
      <c r="B1863" t="s">
        <v>9046</v>
      </c>
      <c r="C1863" t="s">
        <v>614</v>
      </c>
      <c r="D1863" t="s">
        <v>1139</v>
      </c>
      <c r="E1863" t="s">
        <v>597</v>
      </c>
      <c r="F1863" t="s">
        <v>682</v>
      </c>
      <c r="G1863" t="s">
        <v>2142</v>
      </c>
      <c r="H1863" t="s">
        <v>862</v>
      </c>
      <c r="I1863" t="s">
        <v>609</v>
      </c>
      <c r="J1863" t="s">
        <v>850</v>
      </c>
      <c r="K1863" t="s">
        <v>231</v>
      </c>
      <c r="L1863">
        <v>0.86</v>
      </c>
      <c r="M1863" t="s">
        <v>9047</v>
      </c>
      <c r="N1863" t="s">
        <v>9048</v>
      </c>
      <c r="O1863" t="s">
        <v>9049</v>
      </c>
      <c r="P1863" t="s">
        <v>485</v>
      </c>
      <c r="Q1863" t="s">
        <v>8794</v>
      </c>
      <c r="R1863" t="s">
        <v>8795</v>
      </c>
      <c r="S1863" t="s">
        <v>8794</v>
      </c>
      <c r="T1863" t="s">
        <v>8795</v>
      </c>
    </row>
    <row r="1864" spans="1:20">
      <c r="A1864" s="241">
        <v>44001</v>
      </c>
      <c r="B1864" t="s">
        <v>9050</v>
      </c>
      <c r="C1864" t="s">
        <v>392</v>
      </c>
      <c r="D1864" t="s">
        <v>1079</v>
      </c>
      <c r="E1864" t="s">
        <v>812</v>
      </c>
      <c r="F1864" t="s">
        <v>1511</v>
      </c>
      <c r="G1864" t="s">
        <v>2142</v>
      </c>
      <c r="H1864" t="s">
        <v>226</v>
      </c>
      <c r="I1864" t="s">
        <v>1082</v>
      </c>
      <c r="J1864" t="s">
        <v>857</v>
      </c>
      <c r="K1864" t="s">
        <v>214</v>
      </c>
      <c r="L1864">
        <v>0.86</v>
      </c>
      <c r="M1864" t="s">
        <v>9051</v>
      </c>
      <c r="N1864" t="s">
        <v>9052</v>
      </c>
      <c r="O1864" t="s">
        <v>9053</v>
      </c>
      <c r="P1864" t="s">
        <v>485</v>
      </c>
      <c r="Q1864" t="s">
        <v>8794</v>
      </c>
      <c r="R1864" t="s">
        <v>8795</v>
      </c>
      <c r="S1864" t="s">
        <v>8794</v>
      </c>
      <c r="T1864" t="s">
        <v>8795</v>
      </c>
    </row>
    <row r="1865" spans="1:20">
      <c r="A1865" s="241">
        <v>44001</v>
      </c>
      <c r="B1865" t="s">
        <v>9054</v>
      </c>
      <c r="C1865" t="s">
        <v>712</v>
      </c>
      <c r="D1865" t="s">
        <v>631</v>
      </c>
      <c r="E1865" t="s">
        <v>1102</v>
      </c>
      <c r="F1865" t="s">
        <v>1620</v>
      </c>
      <c r="G1865" t="s">
        <v>345</v>
      </c>
      <c r="H1865" t="s">
        <v>335</v>
      </c>
      <c r="I1865" t="s">
        <v>1494</v>
      </c>
      <c r="J1865" t="s">
        <v>318</v>
      </c>
      <c r="K1865" t="s">
        <v>214</v>
      </c>
      <c r="L1865">
        <v>0.86</v>
      </c>
      <c r="M1865" t="s">
        <v>9055</v>
      </c>
      <c r="N1865" t="s">
        <v>9056</v>
      </c>
      <c r="O1865" t="s">
        <v>9057</v>
      </c>
      <c r="P1865" t="s">
        <v>485</v>
      </c>
      <c r="Q1865" t="s">
        <v>8794</v>
      </c>
      <c r="R1865" t="s">
        <v>8795</v>
      </c>
      <c r="S1865" t="s">
        <v>8794</v>
      </c>
      <c r="T1865" t="s">
        <v>8795</v>
      </c>
    </row>
    <row r="1866" spans="1:20">
      <c r="A1866" s="241">
        <v>44001</v>
      </c>
      <c r="B1866" t="s">
        <v>9058</v>
      </c>
      <c r="C1866" t="s">
        <v>274</v>
      </c>
      <c r="D1866" t="s">
        <v>3679</v>
      </c>
      <c r="E1866" t="s">
        <v>1079</v>
      </c>
      <c r="F1866" t="s">
        <v>383</v>
      </c>
      <c r="G1866" t="s">
        <v>1512</v>
      </c>
      <c r="H1866" t="s">
        <v>813</v>
      </c>
      <c r="I1866" t="s">
        <v>1859</v>
      </c>
      <c r="J1866" t="s">
        <v>377</v>
      </c>
      <c r="K1866" t="s">
        <v>448</v>
      </c>
      <c r="L1866">
        <v>0.86</v>
      </c>
      <c r="M1866" t="s">
        <v>9059</v>
      </c>
      <c r="N1866" t="s">
        <v>9060</v>
      </c>
      <c r="O1866" t="s">
        <v>9061</v>
      </c>
      <c r="P1866" t="s">
        <v>485</v>
      </c>
      <c r="Q1866" t="s">
        <v>8794</v>
      </c>
      <c r="R1866" t="s">
        <v>8795</v>
      </c>
      <c r="S1866" t="s">
        <v>8794</v>
      </c>
      <c r="T1866" t="s">
        <v>8795</v>
      </c>
    </row>
    <row r="1867" spans="1:20">
      <c r="A1867" s="241">
        <v>44001</v>
      </c>
      <c r="B1867" t="s">
        <v>9062</v>
      </c>
      <c r="C1867" t="s">
        <v>959</v>
      </c>
      <c r="D1867" t="s">
        <v>262</v>
      </c>
      <c r="E1867" t="s">
        <v>237</v>
      </c>
      <c r="F1867" t="s">
        <v>1511</v>
      </c>
      <c r="G1867" t="s">
        <v>1068</v>
      </c>
      <c r="H1867" t="s">
        <v>1050</v>
      </c>
      <c r="I1867" t="s">
        <v>888</v>
      </c>
      <c r="J1867" t="s">
        <v>899</v>
      </c>
      <c r="K1867" t="s">
        <v>428</v>
      </c>
      <c r="L1867">
        <v>0.86</v>
      </c>
      <c r="M1867" t="s">
        <v>9063</v>
      </c>
      <c r="N1867" t="s">
        <v>9064</v>
      </c>
      <c r="O1867" t="s">
        <v>9065</v>
      </c>
      <c r="P1867" t="s">
        <v>485</v>
      </c>
      <c r="Q1867" t="s">
        <v>8794</v>
      </c>
      <c r="R1867" t="s">
        <v>8795</v>
      </c>
      <c r="S1867" t="s">
        <v>8794</v>
      </c>
      <c r="T1867" t="s">
        <v>8795</v>
      </c>
    </row>
    <row r="1868" spans="1:20">
      <c r="A1868" s="241">
        <v>44001</v>
      </c>
      <c r="B1868" t="s">
        <v>9066</v>
      </c>
      <c r="C1868" t="s">
        <v>510</v>
      </c>
      <c r="D1868" t="s">
        <v>712</v>
      </c>
      <c r="E1868" t="s">
        <v>304</v>
      </c>
      <c r="F1868" t="s">
        <v>909</v>
      </c>
      <c r="G1868" t="s">
        <v>2764</v>
      </c>
      <c r="H1868" t="s">
        <v>1467</v>
      </c>
      <c r="I1868" t="s">
        <v>664</v>
      </c>
      <c r="J1868" t="s">
        <v>665</v>
      </c>
      <c r="K1868" t="s">
        <v>666</v>
      </c>
      <c r="L1868">
        <v>0.86</v>
      </c>
      <c r="M1868" t="s">
        <v>9067</v>
      </c>
      <c r="N1868" t="s">
        <v>9068</v>
      </c>
      <c r="O1868" t="s">
        <v>9069</v>
      </c>
      <c r="P1868" t="s">
        <v>485</v>
      </c>
      <c r="Q1868" t="s">
        <v>8794</v>
      </c>
      <c r="R1868" t="s">
        <v>8795</v>
      </c>
      <c r="S1868" t="s">
        <v>8794</v>
      </c>
      <c r="T1868" t="s">
        <v>8795</v>
      </c>
    </row>
    <row r="1869" spans="1:20">
      <c r="A1869" s="241">
        <v>44001</v>
      </c>
      <c r="B1869" t="s">
        <v>9070</v>
      </c>
      <c r="C1869" t="s">
        <v>261</v>
      </c>
      <c r="D1869" t="s">
        <v>207</v>
      </c>
      <c r="E1869" t="s">
        <v>812</v>
      </c>
      <c r="F1869" t="s">
        <v>393</v>
      </c>
      <c r="G1869" t="s">
        <v>2160</v>
      </c>
      <c r="H1869" t="s">
        <v>1467</v>
      </c>
      <c r="I1869" t="s">
        <v>1547</v>
      </c>
      <c r="J1869" t="s">
        <v>377</v>
      </c>
      <c r="K1869" t="s">
        <v>349</v>
      </c>
      <c r="L1869">
        <v>0.86</v>
      </c>
      <c r="M1869" t="s">
        <v>9071</v>
      </c>
      <c r="N1869" t="s">
        <v>9072</v>
      </c>
      <c r="O1869" t="s">
        <v>9073</v>
      </c>
      <c r="P1869" t="s">
        <v>485</v>
      </c>
      <c r="Q1869" t="s">
        <v>8794</v>
      </c>
      <c r="R1869" t="s">
        <v>8795</v>
      </c>
      <c r="S1869" t="s">
        <v>8794</v>
      </c>
      <c r="T1869" t="s">
        <v>8795</v>
      </c>
    </row>
    <row r="1870" spans="1:20">
      <c r="A1870" s="241">
        <v>44001</v>
      </c>
      <c r="B1870" t="s">
        <v>9074</v>
      </c>
      <c r="C1870" t="s">
        <v>1665</v>
      </c>
      <c r="D1870" t="s">
        <v>1348</v>
      </c>
      <c r="E1870" t="s">
        <v>510</v>
      </c>
      <c r="F1870" t="s">
        <v>374</v>
      </c>
      <c r="G1870" t="s">
        <v>1292</v>
      </c>
      <c r="H1870" t="s">
        <v>598</v>
      </c>
      <c r="I1870" t="s">
        <v>683</v>
      </c>
      <c r="J1870" t="s">
        <v>407</v>
      </c>
      <c r="K1870" t="s">
        <v>7088</v>
      </c>
      <c r="L1870">
        <v>0.86</v>
      </c>
      <c r="M1870" t="s">
        <v>9075</v>
      </c>
      <c r="N1870" t="s">
        <v>9076</v>
      </c>
      <c r="O1870" t="s">
        <v>9077</v>
      </c>
      <c r="P1870" t="s">
        <v>485</v>
      </c>
      <c r="Q1870" t="s">
        <v>8794</v>
      </c>
      <c r="R1870" t="s">
        <v>8795</v>
      </c>
      <c r="S1870" t="s">
        <v>8794</v>
      </c>
      <c r="T1870" t="s">
        <v>8795</v>
      </c>
    </row>
    <row r="1871" spans="1:20">
      <c r="A1871" s="241">
        <v>44001</v>
      </c>
      <c r="B1871" t="s">
        <v>9078</v>
      </c>
      <c r="C1871" t="s">
        <v>249</v>
      </c>
      <c r="D1871" t="s">
        <v>249</v>
      </c>
      <c r="E1871" t="s">
        <v>250</v>
      </c>
      <c r="F1871" t="s">
        <v>689</v>
      </c>
      <c r="G1871" t="s">
        <v>1133</v>
      </c>
      <c r="H1871" t="s">
        <v>1147</v>
      </c>
      <c r="I1871" t="s">
        <v>932</v>
      </c>
      <c r="J1871" t="s">
        <v>407</v>
      </c>
      <c r="K1871" t="s">
        <v>369</v>
      </c>
      <c r="L1871">
        <v>0.86</v>
      </c>
      <c r="M1871" t="s">
        <v>9079</v>
      </c>
      <c r="N1871" t="s">
        <v>9080</v>
      </c>
      <c r="O1871" t="s">
        <v>9081</v>
      </c>
      <c r="P1871" t="s">
        <v>485</v>
      </c>
      <c r="Q1871" t="s">
        <v>8794</v>
      </c>
      <c r="R1871" t="s">
        <v>8795</v>
      </c>
      <c r="S1871" t="s">
        <v>8794</v>
      </c>
      <c r="T1871" t="s">
        <v>8795</v>
      </c>
    </row>
    <row r="1872" spans="1:20">
      <c r="A1872" s="241">
        <v>44001</v>
      </c>
      <c r="B1872" t="s">
        <v>9082</v>
      </c>
      <c r="C1872" t="s">
        <v>207</v>
      </c>
      <c r="D1872" t="s">
        <v>510</v>
      </c>
      <c r="E1872" t="s">
        <v>424</v>
      </c>
      <c r="F1872" t="s">
        <v>1604</v>
      </c>
      <c r="G1872" t="s">
        <v>910</v>
      </c>
      <c r="H1872" t="s">
        <v>639</v>
      </c>
      <c r="I1872" t="s">
        <v>436</v>
      </c>
      <c r="J1872" t="s">
        <v>417</v>
      </c>
      <c r="K1872" t="s">
        <v>700</v>
      </c>
      <c r="L1872">
        <v>0.86</v>
      </c>
      <c r="M1872" t="s">
        <v>9083</v>
      </c>
      <c r="N1872" t="s">
        <v>9084</v>
      </c>
      <c r="O1872" t="s">
        <v>9085</v>
      </c>
      <c r="P1872" t="s">
        <v>485</v>
      </c>
      <c r="Q1872" t="s">
        <v>8794</v>
      </c>
      <c r="R1872" t="s">
        <v>8795</v>
      </c>
      <c r="S1872" t="s">
        <v>8794</v>
      </c>
      <c r="T1872" t="s">
        <v>8795</v>
      </c>
    </row>
    <row r="1873" spans="1:20">
      <c r="A1873" s="241">
        <v>44001</v>
      </c>
      <c r="B1873" t="s">
        <v>9086</v>
      </c>
      <c r="C1873" t="s">
        <v>5795</v>
      </c>
      <c r="D1873" t="s">
        <v>736</v>
      </c>
      <c r="E1873" t="s">
        <v>1877</v>
      </c>
      <c r="F1873" t="s">
        <v>444</v>
      </c>
      <c r="G1873" t="s">
        <v>1562</v>
      </c>
      <c r="H1873" t="s">
        <v>598</v>
      </c>
      <c r="I1873" t="s">
        <v>1165</v>
      </c>
      <c r="J1873" t="s">
        <v>7098</v>
      </c>
      <c r="K1873" t="s">
        <v>6913</v>
      </c>
      <c r="L1873">
        <v>0.86</v>
      </c>
      <c r="M1873" t="s">
        <v>9087</v>
      </c>
      <c r="N1873" t="s">
        <v>9088</v>
      </c>
      <c r="O1873" t="s">
        <v>9089</v>
      </c>
      <c r="P1873" t="s">
        <v>485</v>
      </c>
      <c r="Q1873" t="s">
        <v>8794</v>
      </c>
      <c r="R1873" t="s">
        <v>8795</v>
      </c>
      <c r="S1873" t="s">
        <v>8794</v>
      </c>
      <c r="T1873" t="s">
        <v>8795</v>
      </c>
    </row>
    <row r="1874" spans="1:20">
      <c r="A1874" s="241">
        <v>44001</v>
      </c>
      <c r="B1874" t="s">
        <v>9090</v>
      </c>
      <c r="C1874" t="s">
        <v>2811</v>
      </c>
      <c r="D1874" t="s">
        <v>236</v>
      </c>
      <c r="E1874" t="s">
        <v>671</v>
      </c>
      <c r="F1874" t="s">
        <v>1625</v>
      </c>
      <c r="G1874" t="s">
        <v>918</v>
      </c>
      <c r="H1874" t="s">
        <v>454</v>
      </c>
      <c r="I1874" t="s">
        <v>7813</v>
      </c>
      <c r="J1874" t="s">
        <v>6923</v>
      </c>
      <c r="K1874" t="s">
        <v>7052</v>
      </c>
      <c r="L1874">
        <v>0.86</v>
      </c>
      <c r="M1874" t="s">
        <v>9091</v>
      </c>
      <c r="N1874" t="s">
        <v>9092</v>
      </c>
      <c r="O1874" t="s">
        <v>9093</v>
      </c>
      <c r="P1874" t="s">
        <v>485</v>
      </c>
      <c r="Q1874" t="s">
        <v>8794</v>
      </c>
      <c r="R1874" t="s">
        <v>8795</v>
      </c>
      <c r="S1874" t="s">
        <v>8794</v>
      </c>
      <c r="T1874" t="s">
        <v>8795</v>
      </c>
    </row>
    <row r="1875" spans="1:20">
      <c r="A1875" s="241">
        <v>44001</v>
      </c>
      <c r="B1875" t="s">
        <v>9094</v>
      </c>
      <c r="C1875" t="s">
        <v>475</v>
      </c>
      <c r="D1875" t="s">
        <v>3679</v>
      </c>
      <c r="E1875" t="s">
        <v>274</v>
      </c>
      <c r="F1875" t="s">
        <v>3661</v>
      </c>
      <c r="G1875" t="s">
        <v>1297</v>
      </c>
      <c r="H1875" t="s">
        <v>502</v>
      </c>
      <c r="I1875" t="s">
        <v>9095</v>
      </c>
      <c r="J1875" t="s">
        <v>9096</v>
      </c>
      <c r="K1875" t="s">
        <v>3499</v>
      </c>
      <c r="L1875">
        <v>0.87</v>
      </c>
      <c r="M1875" t="s">
        <v>9097</v>
      </c>
      <c r="N1875" t="s">
        <v>9098</v>
      </c>
      <c r="O1875" t="s">
        <v>9099</v>
      </c>
      <c r="P1875" t="s">
        <v>485</v>
      </c>
      <c r="Q1875" t="s">
        <v>8794</v>
      </c>
      <c r="R1875" t="s">
        <v>8795</v>
      </c>
      <c r="S1875" t="s">
        <v>8794</v>
      </c>
      <c r="T1875" t="s">
        <v>8795</v>
      </c>
    </row>
    <row r="1876" spans="1:20">
      <c r="A1876" s="241">
        <v>44001</v>
      </c>
      <c r="B1876" t="s">
        <v>9100</v>
      </c>
      <c r="C1876" t="s">
        <v>9101</v>
      </c>
      <c r="D1876" t="s">
        <v>6934</v>
      </c>
      <c r="E1876" t="s">
        <v>2644</v>
      </c>
      <c r="F1876" t="s">
        <v>2637</v>
      </c>
      <c r="G1876" t="s">
        <v>1648</v>
      </c>
      <c r="H1876" t="s">
        <v>7282</v>
      </c>
      <c r="I1876" t="s">
        <v>7118</v>
      </c>
      <c r="J1876" t="s">
        <v>7119</v>
      </c>
      <c r="K1876" t="s">
        <v>4349</v>
      </c>
      <c r="L1876">
        <v>0.89</v>
      </c>
      <c r="M1876" t="s">
        <v>9102</v>
      </c>
      <c r="N1876" t="s">
        <v>9103</v>
      </c>
      <c r="O1876" t="s">
        <v>9104</v>
      </c>
      <c r="P1876" t="s">
        <v>485</v>
      </c>
      <c r="Q1876" t="s">
        <v>8794</v>
      </c>
      <c r="R1876" t="s">
        <v>8795</v>
      </c>
      <c r="S1876" t="s">
        <v>8794</v>
      </c>
      <c r="T1876" t="s">
        <v>8795</v>
      </c>
    </row>
    <row r="1877" spans="1:20">
      <c r="A1877" s="241">
        <v>44001</v>
      </c>
      <c r="B1877" t="s">
        <v>9105</v>
      </c>
      <c r="C1877" t="s">
        <v>6941</v>
      </c>
      <c r="D1877" t="s">
        <v>6912</v>
      </c>
      <c r="E1877" t="s">
        <v>1376</v>
      </c>
      <c r="F1877" t="s">
        <v>739</v>
      </c>
      <c r="G1877" t="s">
        <v>2255</v>
      </c>
      <c r="H1877" t="s">
        <v>1978</v>
      </c>
      <c r="I1877" t="s">
        <v>3682</v>
      </c>
      <c r="J1877" t="s">
        <v>9106</v>
      </c>
      <c r="K1877" t="s">
        <v>481</v>
      </c>
      <c r="L1877">
        <v>0.89</v>
      </c>
      <c r="M1877" t="s">
        <v>9107</v>
      </c>
      <c r="N1877" t="s">
        <v>9108</v>
      </c>
      <c r="O1877" t="s">
        <v>9109</v>
      </c>
      <c r="P1877" t="s">
        <v>485</v>
      </c>
      <c r="Q1877" t="s">
        <v>8794</v>
      </c>
      <c r="R1877" t="s">
        <v>8795</v>
      </c>
      <c r="S1877" t="s">
        <v>8794</v>
      </c>
      <c r="T1877" t="s">
        <v>8795</v>
      </c>
    </row>
    <row r="1878" spans="1:20">
      <c r="A1878" s="241">
        <v>44001</v>
      </c>
      <c r="B1878" t="s">
        <v>9110</v>
      </c>
      <c r="C1878" t="s">
        <v>6912</v>
      </c>
      <c r="D1878" t="s">
        <v>9111</v>
      </c>
      <c r="E1878" t="s">
        <v>2636</v>
      </c>
      <c r="F1878" t="s">
        <v>466</v>
      </c>
      <c r="G1878" t="s">
        <v>9112</v>
      </c>
      <c r="H1878" t="s">
        <v>491</v>
      </c>
      <c r="I1878" t="s">
        <v>492</v>
      </c>
      <c r="J1878" t="s">
        <v>493</v>
      </c>
      <c r="K1878" t="s">
        <v>3131</v>
      </c>
      <c r="L1878">
        <v>0.89</v>
      </c>
      <c r="M1878" t="s">
        <v>9113</v>
      </c>
      <c r="N1878" t="s">
        <v>9114</v>
      </c>
      <c r="O1878" t="s">
        <v>9115</v>
      </c>
      <c r="P1878" t="s">
        <v>485</v>
      </c>
      <c r="Q1878" t="s">
        <v>8794</v>
      </c>
      <c r="R1878" t="s">
        <v>8795</v>
      </c>
      <c r="S1878" t="s">
        <v>8794</v>
      </c>
      <c r="T1878" t="s">
        <v>8795</v>
      </c>
    </row>
    <row r="1879" spans="1:20">
      <c r="A1879" s="241">
        <v>44001</v>
      </c>
      <c r="B1879" t="s">
        <v>9116</v>
      </c>
      <c r="C1879" t="s">
        <v>3136</v>
      </c>
      <c r="D1879" t="s">
        <v>3136</v>
      </c>
      <c r="E1879" t="s">
        <v>614</v>
      </c>
      <c r="F1879" t="s">
        <v>1726</v>
      </c>
      <c r="G1879" t="s">
        <v>999</v>
      </c>
      <c r="H1879" t="s">
        <v>1009</v>
      </c>
      <c r="I1879" t="s">
        <v>1686</v>
      </c>
      <c r="J1879" t="s">
        <v>1405</v>
      </c>
      <c r="K1879" t="s">
        <v>244</v>
      </c>
      <c r="L1879">
        <v>0.87</v>
      </c>
      <c r="M1879" t="s">
        <v>9117</v>
      </c>
      <c r="N1879" t="s">
        <v>9118</v>
      </c>
      <c r="O1879" t="s">
        <v>9119</v>
      </c>
      <c r="P1879" t="s">
        <v>485</v>
      </c>
      <c r="Q1879" t="s">
        <v>8794</v>
      </c>
      <c r="R1879" t="s">
        <v>8795</v>
      </c>
      <c r="S1879" t="s">
        <v>8794</v>
      </c>
      <c r="T1879" t="s">
        <v>8795</v>
      </c>
    </row>
    <row r="1880" spans="1:20">
      <c r="A1880" s="241">
        <v>44001</v>
      </c>
      <c r="B1880" t="s">
        <v>9120</v>
      </c>
      <c r="C1880" t="s">
        <v>488</v>
      </c>
      <c r="D1880" t="s">
        <v>3679</v>
      </c>
      <c r="E1880" t="s">
        <v>679</v>
      </c>
      <c r="F1880" t="s">
        <v>1231</v>
      </c>
      <c r="G1880" t="s">
        <v>5493</v>
      </c>
      <c r="H1880" t="s">
        <v>1390</v>
      </c>
      <c r="I1880" t="s">
        <v>2472</v>
      </c>
      <c r="J1880" t="s">
        <v>533</v>
      </c>
      <c r="K1880" t="s">
        <v>299</v>
      </c>
      <c r="L1880">
        <v>0.87</v>
      </c>
      <c r="M1880" t="s">
        <v>9121</v>
      </c>
      <c r="N1880" t="s">
        <v>9122</v>
      </c>
      <c r="O1880" t="s">
        <v>9123</v>
      </c>
      <c r="P1880" t="s">
        <v>485</v>
      </c>
      <c r="Q1880" t="s">
        <v>8794</v>
      </c>
      <c r="R1880" t="s">
        <v>8795</v>
      </c>
      <c r="S1880" t="s">
        <v>8794</v>
      </c>
      <c r="T1880" t="s">
        <v>8795</v>
      </c>
    </row>
    <row r="1881" spans="1:20">
      <c r="A1881" s="241">
        <v>44001</v>
      </c>
      <c r="B1881" t="s">
        <v>9124</v>
      </c>
      <c r="C1881" t="s">
        <v>262</v>
      </c>
      <c r="D1881" t="s">
        <v>5481</v>
      </c>
      <c r="E1881" t="s">
        <v>442</v>
      </c>
      <c r="F1881" t="s">
        <v>346</v>
      </c>
      <c r="G1881" t="s">
        <v>2043</v>
      </c>
      <c r="H1881" t="s">
        <v>549</v>
      </c>
      <c r="I1881" t="s">
        <v>1031</v>
      </c>
      <c r="J1881" t="s">
        <v>561</v>
      </c>
      <c r="K1881" t="s">
        <v>268</v>
      </c>
      <c r="L1881">
        <v>0.87</v>
      </c>
      <c r="M1881" t="s">
        <v>9125</v>
      </c>
      <c r="N1881" t="s">
        <v>9126</v>
      </c>
      <c r="O1881" t="s">
        <v>9127</v>
      </c>
      <c r="P1881" t="s">
        <v>485</v>
      </c>
      <c r="Q1881" t="s">
        <v>8794</v>
      </c>
      <c r="R1881" t="s">
        <v>8795</v>
      </c>
      <c r="S1881" t="s">
        <v>8794</v>
      </c>
      <c r="T1881" t="s">
        <v>8795</v>
      </c>
    </row>
    <row r="1882" spans="1:20">
      <c r="A1882" s="241">
        <v>44001</v>
      </c>
      <c r="B1882" t="s">
        <v>9128</v>
      </c>
      <c r="C1882" t="s">
        <v>3669</v>
      </c>
      <c r="D1882" t="s">
        <v>1986</v>
      </c>
      <c r="E1882" t="s">
        <v>712</v>
      </c>
      <c r="F1882" t="s">
        <v>822</v>
      </c>
      <c r="G1882" t="s">
        <v>2686</v>
      </c>
      <c r="H1882" t="s">
        <v>799</v>
      </c>
      <c r="I1882" t="s">
        <v>560</v>
      </c>
      <c r="J1882" t="s">
        <v>230</v>
      </c>
      <c r="K1882" t="s">
        <v>256</v>
      </c>
      <c r="L1882">
        <v>0.87</v>
      </c>
      <c r="M1882" t="s">
        <v>9129</v>
      </c>
      <c r="N1882" t="s">
        <v>9130</v>
      </c>
      <c r="O1882" t="s">
        <v>9131</v>
      </c>
      <c r="P1882" t="s">
        <v>485</v>
      </c>
      <c r="Q1882" t="s">
        <v>8794</v>
      </c>
      <c r="R1882" t="s">
        <v>8795</v>
      </c>
      <c r="S1882" t="s">
        <v>8794</v>
      </c>
      <c r="T1882" t="s">
        <v>8795</v>
      </c>
    </row>
    <row r="1883" spans="1:20">
      <c r="A1883" s="241">
        <v>44001</v>
      </c>
      <c r="B1883" t="s">
        <v>9132</v>
      </c>
      <c r="C1883" t="s">
        <v>1377</v>
      </c>
      <c r="D1883" t="s">
        <v>262</v>
      </c>
      <c r="E1883" t="s">
        <v>614</v>
      </c>
      <c r="F1883" t="s">
        <v>335</v>
      </c>
      <c r="G1883" t="s">
        <v>2075</v>
      </c>
      <c r="H1883" t="s">
        <v>559</v>
      </c>
      <c r="I1883" t="s">
        <v>824</v>
      </c>
      <c r="J1883" t="s">
        <v>570</v>
      </c>
      <c r="K1883" t="s">
        <v>299</v>
      </c>
      <c r="L1883">
        <v>0.86</v>
      </c>
      <c r="M1883" t="s">
        <v>9133</v>
      </c>
      <c r="N1883" t="s">
        <v>9134</v>
      </c>
      <c r="O1883" t="s">
        <v>9135</v>
      </c>
      <c r="P1883" t="s">
        <v>485</v>
      </c>
      <c r="Q1883" t="s">
        <v>8794</v>
      </c>
      <c r="R1883" t="s">
        <v>8795</v>
      </c>
      <c r="S1883" t="s">
        <v>8794</v>
      </c>
      <c r="T1883" t="s">
        <v>8795</v>
      </c>
    </row>
    <row r="1884" spans="1:20">
      <c r="A1884" s="241">
        <v>44001</v>
      </c>
      <c r="B1884" t="s">
        <v>9136</v>
      </c>
      <c r="C1884" t="s">
        <v>1367</v>
      </c>
      <c r="D1884" t="s">
        <v>475</v>
      </c>
      <c r="E1884" t="s">
        <v>671</v>
      </c>
      <c r="F1884" t="s">
        <v>590</v>
      </c>
      <c r="G1884" t="s">
        <v>798</v>
      </c>
      <c r="H1884" t="s">
        <v>3554</v>
      </c>
      <c r="I1884" t="s">
        <v>1062</v>
      </c>
      <c r="J1884" t="s">
        <v>850</v>
      </c>
      <c r="K1884" t="s">
        <v>666</v>
      </c>
      <c r="L1884">
        <v>0.87</v>
      </c>
      <c r="M1884" t="s">
        <v>9137</v>
      </c>
      <c r="N1884" t="s">
        <v>9138</v>
      </c>
      <c r="O1884" t="s">
        <v>9139</v>
      </c>
      <c r="P1884" t="s">
        <v>485</v>
      </c>
      <c r="Q1884" t="s">
        <v>8794</v>
      </c>
      <c r="R1884" t="s">
        <v>8795</v>
      </c>
      <c r="S1884" t="s">
        <v>8794</v>
      </c>
      <c r="T1884" t="s">
        <v>8795</v>
      </c>
    </row>
    <row r="1885" spans="1:20">
      <c r="A1885" s="241">
        <v>44001</v>
      </c>
      <c r="B1885" t="s">
        <v>9140</v>
      </c>
      <c r="C1885" t="s">
        <v>3136</v>
      </c>
      <c r="D1885" t="s">
        <v>1986</v>
      </c>
      <c r="E1885" t="s">
        <v>2478</v>
      </c>
      <c r="F1885" t="s">
        <v>1552</v>
      </c>
      <c r="G1885" t="s">
        <v>252</v>
      </c>
      <c r="H1885" t="s">
        <v>1453</v>
      </c>
      <c r="I1885" t="s">
        <v>849</v>
      </c>
      <c r="J1885" t="s">
        <v>309</v>
      </c>
      <c r="K1885" t="s">
        <v>349</v>
      </c>
      <c r="L1885">
        <v>0.86</v>
      </c>
      <c r="M1885" t="s">
        <v>9141</v>
      </c>
      <c r="N1885" t="s">
        <v>9142</v>
      </c>
      <c r="O1885" t="s">
        <v>9143</v>
      </c>
      <c r="P1885" t="s">
        <v>485</v>
      </c>
      <c r="Q1885" t="s">
        <v>8794</v>
      </c>
      <c r="R1885" t="s">
        <v>8795</v>
      </c>
      <c r="S1885" t="s">
        <v>8794</v>
      </c>
      <c r="T1885" t="s">
        <v>8795</v>
      </c>
    </row>
    <row r="1886" spans="1:20">
      <c r="A1886" s="241">
        <v>44001</v>
      </c>
      <c r="B1886" t="s">
        <v>9144</v>
      </c>
      <c r="C1886" t="s">
        <v>1367</v>
      </c>
      <c r="D1886" t="s">
        <v>206</v>
      </c>
      <c r="E1886" t="s">
        <v>625</v>
      </c>
      <c r="F1886" t="s">
        <v>314</v>
      </c>
      <c r="G1886" t="s">
        <v>227</v>
      </c>
      <c r="H1886" t="s">
        <v>1069</v>
      </c>
      <c r="I1886" t="s">
        <v>1082</v>
      </c>
      <c r="J1886" t="s">
        <v>870</v>
      </c>
      <c r="K1886" t="s">
        <v>666</v>
      </c>
      <c r="L1886">
        <v>0.86</v>
      </c>
      <c r="M1886" t="s">
        <v>9145</v>
      </c>
      <c r="N1886" t="s">
        <v>9146</v>
      </c>
      <c r="O1886" t="s">
        <v>9147</v>
      </c>
      <c r="P1886" t="s">
        <v>485</v>
      </c>
      <c r="Q1886" t="s">
        <v>8794</v>
      </c>
      <c r="R1886" t="s">
        <v>8795</v>
      </c>
      <c r="S1886" t="s">
        <v>8794</v>
      </c>
      <c r="T1886" t="s">
        <v>8795</v>
      </c>
    </row>
    <row r="1887" spans="1:20">
      <c r="A1887" s="241">
        <v>44001</v>
      </c>
      <c r="B1887" t="s">
        <v>9148</v>
      </c>
      <c r="C1887" t="s">
        <v>1377</v>
      </c>
      <c r="D1887" t="s">
        <v>1986</v>
      </c>
      <c r="E1887" t="s">
        <v>2535</v>
      </c>
      <c r="F1887" t="s">
        <v>706</v>
      </c>
      <c r="G1887" t="s">
        <v>830</v>
      </c>
      <c r="H1887" t="s">
        <v>1274</v>
      </c>
      <c r="I1887" t="s">
        <v>1087</v>
      </c>
      <c r="J1887" t="s">
        <v>1827</v>
      </c>
      <c r="K1887" t="s">
        <v>666</v>
      </c>
      <c r="L1887">
        <v>0.86</v>
      </c>
      <c r="M1887" t="s">
        <v>9149</v>
      </c>
      <c r="N1887" t="s">
        <v>9150</v>
      </c>
      <c r="O1887" t="s">
        <v>9151</v>
      </c>
      <c r="P1887" t="s">
        <v>485</v>
      </c>
      <c r="Q1887" t="s">
        <v>8794</v>
      </c>
      <c r="R1887" t="s">
        <v>8795</v>
      </c>
      <c r="S1887" t="s">
        <v>8794</v>
      </c>
      <c r="T1887" t="s">
        <v>8795</v>
      </c>
    </row>
    <row r="1888" spans="1:20">
      <c r="A1888" s="241">
        <v>44001</v>
      </c>
      <c r="B1888" t="s">
        <v>9152</v>
      </c>
      <c r="C1888" t="s">
        <v>488</v>
      </c>
      <c r="D1888" t="s">
        <v>488</v>
      </c>
      <c r="E1888" t="s">
        <v>2549</v>
      </c>
      <c r="F1888" t="s">
        <v>639</v>
      </c>
      <c r="G1888" t="s">
        <v>1269</v>
      </c>
      <c r="H1888" t="s">
        <v>862</v>
      </c>
      <c r="I1888" t="s">
        <v>1494</v>
      </c>
      <c r="J1888" t="s">
        <v>337</v>
      </c>
      <c r="K1888" t="s">
        <v>369</v>
      </c>
      <c r="L1888">
        <v>0.86</v>
      </c>
      <c r="M1888" t="s">
        <v>9153</v>
      </c>
      <c r="N1888" t="s">
        <v>9154</v>
      </c>
      <c r="O1888" t="s">
        <v>9155</v>
      </c>
      <c r="P1888" t="s">
        <v>485</v>
      </c>
      <c r="Q1888" t="s">
        <v>8794</v>
      </c>
      <c r="R1888" t="s">
        <v>8795</v>
      </c>
      <c r="S1888" t="s">
        <v>8794</v>
      </c>
      <c r="T1888" t="s">
        <v>8795</v>
      </c>
    </row>
    <row r="1889" spans="1:20">
      <c r="A1889" s="241">
        <v>44001</v>
      </c>
      <c r="B1889" t="s">
        <v>9156</v>
      </c>
      <c r="C1889" t="s">
        <v>1877</v>
      </c>
      <c r="D1889" t="s">
        <v>1877</v>
      </c>
      <c r="E1889" t="s">
        <v>671</v>
      </c>
      <c r="F1889" t="s">
        <v>1103</v>
      </c>
      <c r="G1889" t="s">
        <v>836</v>
      </c>
      <c r="H1889" t="s">
        <v>356</v>
      </c>
      <c r="I1889" t="s">
        <v>882</v>
      </c>
      <c r="J1889" t="s">
        <v>358</v>
      </c>
      <c r="K1889" t="s">
        <v>408</v>
      </c>
      <c r="L1889">
        <v>0.86</v>
      </c>
      <c r="M1889" t="s">
        <v>9157</v>
      </c>
      <c r="N1889" t="s">
        <v>9158</v>
      </c>
      <c r="O1889" t="s">
        <v>9159</v>
      </c>
      <c r="P1889" t="s">
        <v>485</v>
      </c>
      <c r="Q1889" t="s">
        <v>8794</v>
      </c>
      <c r="R1889" t="s">
        <v>8795</v>
      </c>
      <c r="S1889" t="s">
        <v>8794</v>
      </c>
      <c r="T1889" t="s">
        <v>8795</v>
      </c>
    </row>
    <row r="1890" spans="1:20">
      <c r="A1890" s="241">
        <v>44001</v>
      </c>
      <c r="B1890" t="s">
        <v>9160</v>
      </c>
      <c r="C1890" t="s">
        <v>1367</v>
      </c>
      <c r="D1890" t="s">
        <v>262</v>
      </c>
      <c r="E1890" t="s">
        <v>2478</v>
      </c>
      <c r="F1890" t="s">
        <v>897</v>
      </c>
      <c r="G1890" t="s">
        <v>1483</v>
      </c>
      <c r="H1890" t="s">
        <v>239</v>
      </c>
      <c r="I1890" t="s">
        <v>888</v>
      </c>
      <c r="J1890" t="s">
        <v>1116</v>
      </c>
      <c r="K1890" t="s">
        <v>700</v>
      </c>
      <c r="L1890">
        <v>0.86</v>
      </c>
      <c r="M1890" t="s">
        <v>9161</v>
      </c>
      <c r="N1890" t="s">
        <v>9162</v>
      </c>
      <c r="O1890" t="s">
        <v>9163</v>
      </c>
      <c r="P1890" t="s">
        <v>485</v>
      </c>
      <c r="Q1890" t="s">
        <v>8794</v>
      </c>
      <c r="R1890" t="s">
        <v>8795</v>
      </c>
      <c r="S1890" t="s">
        <v>8794</v>
      </c>
      <c r="T1890" t="s">
        <v>8795</v>
      </c>
    </row>
    <row r="1891" spans="1:20">
      <c r="A1891" s="241">
        <v>44001</v>
      </c>
      <c r="B1891" t="s">
        <v>9164</v>
      </c>
      <c r="C1891" t="s">
        <v>475</v>
      </c>
      <c r="D1891" t="s">
        <v>273</v>
      </c>
      <c r="E1891" t="s">
        <v>631</v>
      </c>
      <c r="F1891" t="s">
        <v>1541</v>
      </c>
      <c r="G1891" t="s">
        <v>2764</v>
      </c>
      <c r="H1891" t="s">
        <v>1769</v>
      </c>
      <c r="I1891" t="s">
        <v>1547</v>
      </c>
      <c r="J1891" t="s">
        <v>387</v>
      </c>
      <c r="K1891" t="s">
        <v>369</v>
      </c>
      <c r="L1891">
        <v>0.86</v>
      </c>
      <c r="M1891" t="s">
        <v>9165</v>
      </c>
      <c r="N1891" t="s">
        <v>9166</v>
      </c>
      <c r="O1891" t="s">
        <v>9167</v>
      </c>
      <c r="P1891" t="s">
        <v>485</v>
      </c>
      <c r="Q1891" t="s">
        <v>8794</v>
      </c>
      <c r="R1891" t="s">
        <v>8795</v>
      </c>
      <c r="S1891" t="s">
        <v>8794</v>
      </c>
      <c r="T1891" t="s">
        <v>8795</v>
      </c>
    </row>
    <row r="1892" spans="1:20">
      <c r="A1892" s="241">
        <v>44001</v>
      </c>
      <c r="B1892" t="s">
        <v>9168</v>
      </c>
      <c r="C1892" t="s">
        <v>475</v>
      </c>
      <c r="D1892" t="s">
        <v>1986</v>
      </c>
      <c r="E1892" t="s">
        <v>2535</v>
      </c>
      <c r="F1892" t="s">
        <v>1127</v>
      </c>
      <c r="G1892" t="s">
        <v>1104</v>
      </c>
      <c r="H1892" t="s">
        <v>576</v>
      </c>
      <c r="I1892" t="s">
        <v>674</v>
      </c>
      <c r="J1892" t="s">
        <v>1298</v>
      </c>
      <c r="K1892" t="s">
        <v>428</v>
      </c>
      <c r="L1892">
        <v>0.86</v>
      </c>
      <c r="M1892" t="s">
        <v>9169</v>
      </c>
      <c r="N1892" t="s">
        <v>9170</v>
      </c>
      <c r="O1892" t="s">
        <v>9171</v>
      </c>
      <c r="P1892" t="s">
        <v>485</v>
      </c>
      <c r="Q1892" t="s">
        <v>8794</v>
      </c>
      <c r="R1892" t="s">
        <v>8795</v>
      </c>
      <c r="S1892" t="s">
        <v>8794</v>
      </c>
      <c r="T1892" t="s">
        <v>8795</v>
      </c>
    </row>
    <row r="1893" spans="1:20">
      <c r="A1893" s="241">
        <v>44001</v>
      </c>
      <c r="B1893" t="s">
        <v>9172</v>
      </c>
      <c r="C1893" t="s">
        <v>3136</v>
      </c>
      <c r="D1893" t="s">
        <v>510</v>
      </c>
      <c r="E1893" t="s">
        <v>679</v>
      </c>
      <c r="F1893" t="s">
        <v>909</v>
      </c>
      <c r="G1893" t="s">
        <v>1517</v>
      </c>
      <c r="H1893" t="s">
        <v>305</v>
      </c>
      <c r="I1893" t="s">
        <v>396</v>
      </c>
      <c r="J1893" t="s">
        <v>1141</v>
      </c>
      <c r="K1893" t="s">
        <v>408</v>
      </c>
      <c r="L1893">
        <v>0.86</v>
      </c>
      <c r="M1893" t="s">
        <v>9173</v>
      </c>
      <c r="N1893" t="s">
        <v>9174</v>
      </c>
      <c r="O1893" t="s">
        <v>9175</v>
      </c>
      <c r="P1893" t="s">
        <v>485</v>
      </c>
      <c r="Q1893" t="s">
        <v>8794</v>
      </c>
      <c r="R1893" t="s">
        <v>8795</v>
      </c>
      <c r="S1893" t="s">
        <v>8794</v>
      </c>
      <c r="T1893" t="s">
        <v>8795</v>
      </c>
    </row>
    <row r="1894" spans="1:20">
      <c r="A1894" s="241">
        <v>44001</v>
      </c>
      <c r="B1894" t="s">
        <v>9176</v>
      </c>
      <c r="C1894" t="s">
        <v>1877</v>
      </c>
      <c r="D1894" t="s">
        <v>1986</v>
      </c>
      <c r="E1894" t="s">
        <v>392</v>
      </c>
      <c r="F1894" t="s">
        <v>689</v>
      </c>
      <c r="G1894" t="s">
        <v>2774</v>
      </c>
      <c r="H1894" t="s">
        <v>1546</v>
      </c>
      <c r="I1894" t="s">
        <v>698</v>
      </c>
      <c r="J1894" t="s">
        <v>707</v>
      </c>
      <c r="K1894" t="s">
        <v>428</v>
      </c>
      <c r="L1894">
        <v>0.86</v>
      </c>
      <c r="M1894" t="s">
        <v>9177</v>
      </c>
      <c r="N1894" t="s">
        <v>9178</v>
      </c>
      <c r="O1894" t="s">
        <v>9179</v>
      </c>
      <c r="P1894" t="s">
        <v>485</v>
      </c>
      <c r="Q1894" t="s">
        <v>8794</v>
      </c>
      <c r="R1894" t="s">
        <v>8795</v>
      </c>
      <c r="S1894" t="s">
        <v>8794</v>
      </c>
      <c r="T1894" t="s">
        <v>8795</v>
      </c>
    </row>
    <row r="1895" spans="1:20">
      <c r="A1895" s="241">
        <v>44001</v>
      </c>
      <c r="B1895" t="s">
        <v>9180</v>
      </c>
      <c r="C1895" t="s">
        <v>488</v>
      </c>
      <c r="D1895" t="s">
        <v>475</v>
      </c>
      <c r="E1895" t="s">
        <v>208</v>
      </c>
      <c r="F1895" t="s">
        <v>1156</v>
      </c>
      <c r="G1895" t="s">
        <v>1562</v>
      </c>
      <c r="H1895" t="s">
        <v>1552</v>
      </c>
      <c r="I1895" t="s">
        <v>932</v>
      </c>
      <c r="J1895" t="s">
        <v>417</v>
      </c>
      <c r="K1895" t="s">
        <v>448</v>
      </c>
      <c r="L1895">
        <v>0.86</v>
      </c>
      <c r="M1895" t="s">
        <v>9181</v>
      </c>
      <c r="N1895" t="s">
        <v>9182</v>
      </c>
      <c r="O1895" t="s">
        <v>9183</v>
      </c>
      <c r="P1895" t="s">
        <v>485</v>
      </c>
      <c r="Q1895" t="s">
        <v>8794</v>
      </c>
      <c r="R1895" t="s">
        <v>8795</v>
      </c>
      <c r="S1895" t="s">
        <v>8794</v>
      </c>
      <c r="T1895" t="s">
        <v>8795</v>
      </c>
    </row>
    <row r="1896" spans="1:20">
      <c r="A1896" s="241">
        <v>44001</v>
      </c>
      <c r="B1896" t="s">
        <v>9184</v>
      </c>
      <c r="C1896" t="s">
        <v>206</v>
      </c>
      <c r="D1896" t="s">
        <v>3136</v>
      </c>
      <c r="E1896" t="s">
        <v>1079</v>
      </c>
      <c r="F1896" t="s">
        <v>1338</v>
      </c>
      <c r="G1896" t="s">
        <v>1133</v>
      </c>
      <c r="H1896" t="s">
        <v>720</v>
      </c>
      <c r="I1896" t="s">
        <v>446</v>
      </c>
      <c r="J1896" t="s">
        <v>7242</v>
      </c>
      <c r="K1896" t="s">
        <v>7065</v>
      </c>
      <c r="L1896">
        <v>0.86</v>
      </c>
      <c r="M1896" t="s">
        <v>9185</v>
      </c>
      <c r="N1896" t="s">
        <v>9186</v>
      </c>
      <c r="O1896" t="s">
        <v>9187</v>
      </c>
      <c r="P1896" t="s">
        <v>485</v>
      </c>
      <c r="Q1896" t="s">
        <v>8794</v>
      </c>
      <c r="R1896" t="s">
        <v>8795</v>
      </c>
      <c r="S1896" t="s">
        <v>8794</v>
      </c>
      <c r="T1896" t="s">
        <v>8795</v>
      </c>
    </row>
    <row r="1897" spans="1:20">
      <c r="A1897" s="241">
        <v>44001</v>
      </c>
      <c r="B1897" t="s">
        <v>9188</v>
      </c>
      <c r="C1897" t="s">
        <v>1367</v>
      </c>
      <c r="D1897" t="s">
        <v>223</v>
      </c>
      <c r="E1897" t="s">
        <v>1139</v>
      </c>
      <c r="F1897" t="s">
        <v>1945</v>
      </c>
      <c r="G1897" t="s">
        <v>425</v>
      </c>
      <c r="H1897" t="s">
        <v>639</v>
      </c>
      <c r="I1897" t="s">
        <v>947</v>
      </c>
      <c r="J1897" t="s">
        <v>5779</v>
      </c>
      <c r="K1897" t="s">
        <v>7065</v>
      </c>
      <c r="L1897">
        <v>0.86</v>
      </c>
      <c r="M1897" t="s">
        <v>9189</v>
      </c>
      <c r="N1897" t="s">
        <v>9190</v>
      </c>
      <c r="O1897" t="s">
        <v>9191</v>
      </c>
      <c r="P1897" t="s">
        <v>485</v>
      </c>
      <c r="Q1897" t="s">
        <v>8794</v>
      </c>
      <c r="R1897" t="s">
        <v>8795</v>
      </c>
      <c r="S1897" t="s">
        <v>8794</v>
      </c>
      <c r="T1897" t="s">
        <v>8795</v>
      </c>
    </row>
    <row r="1898" spans="1:20">
      <c r="A1898" s="241">
        <v>44001</v>
      </c>
      <c r="B1898" t="s">
        <v>9192</v>
      </c>
      <c r="C1898" t="s">
        <v>1196</v>
      </c>
      <c r="D1898" t="s">
        <v>223</v>
      </c>
      <c r="E1898" t="s">
        <v>2535</v>
      </c>
      <c r="F1898" t="s">
        <v>4133</v>
      </c>
      <c r="G1898" t="s">
        <v>1946</v>
      </c>
      <c r="H1898" t="s">
        <v>1620</v>
      </c>
      <c r="I1898" t="s">
        <v>5778</v>
      </c>
      <c r="J1898" t="s">
        <v>6923</v>
      </c>
      <c r="K1898" t="s">
        <v>6918</v>
      </c>
      <c r="L1898">
        <v>0.86</v>
      </c>
      <c r="M1898" t="s">
        <v>9193</v>
      </c>
      <c r="N1898" t="s">
        <v>9194</v>
      </c>
      <c r="O1898" t="s">
        <v>9195</v>
      </c>
      <c r="P1898" t="s">
        <v>485</v>
      </c>
      <c r="Q1898" t="s">
        <v>8794</v>
      </c>
      <c r="R1898" t="s">
        <v>8795</v>
      </c>
      <c r="S1898" t="s">
        <v>8794</v>
      </c>
      <c r="T1898" t="s">
        <v>8795</v>
      </c>
    </row>
    <row r="1899" spans="1:20">
      <c r="A1899" s="241">
        <v>44001</v>
      </c>
      <c r="B1899" t="s">
        <v>9196</v>
      </c>
      <c r="C1899" t="s">
        <v>6941</v>
      </c>
      <c r="D1899" t="s">
        <v>7258</v>
      </c>
      <c r="E1899" t="s">
        <v>1176</v>
      </c>
      <c r="F1899" t="s">
        <v>8813</v>
      </c>
      <c r="G1899" t="s">
        <v>3119</v>
      </c>
      <c r="H1899" t="s">
        <v>489</v>
      </c>
      <c r="I1899" t="s">
        <v>9197</v>
      </c>
      <c r="J1899" t="s">
        <v>9198</v>
      </c>
      <c r="K1899" t="s">
        <v>3674</v>
      </c>
      <c r="L1899">
        <v>0.89</v>
      </c>
      <c r="M1899" t="s">
        <v>9199</v>
      </c>
      <c r="N1899" t="s">
        <v>9200</v>
      </c>
      <c r="O1899" t="s">
        <v>9201</v>
      </c>
      <c r="P1899" t="s">
        <v>485</v>
      </c>
      <c r="Q1899" t="s">
        <v>8794</v>
      </c>
      <c r="R1899" t="s">
        <v>8795</v>
      </c>
      <c r="S1899" t="s">
        <v>8794</v>
      </c>
      <c r="T1899" t="s">
        <v>8795</v>
      </c>
    </row>
    <row r="1900" spans="1:20">
      <c r="A1900" s="241">
        <v>44001</v>
      </c>
      <c r="B1900" t="s">
        <v>9202</v>
      </c>
      <c r="C1900" t="s">
        <v>6942</v>
      </c>
      <c r="D1900" t="s">
        <v>9203</v>
      </c>
      <c r="E1900" t="s">
        <v>2811</v>
      </c>
      <c r="F1900" t="s">
        <v>1187</v>
      </c>
      <c r="G1900" t="s">
        <v>1648</v>
      </c>
      <c r="H1900" t="s">
        <v>478</v>
      </c>
      <c r="I1900" t="s">
        <v>9204</v>
      </c>
      <c r="J1900" t="s">
        <v>7268</v>
      </c>
      <c r="K1900" t="s">
        <v>2435</v>
      </c>
      <c r="L1900">
        <v>0.89</v>
      </c>
      <c r="M1900" t="s">
        <v>9205</v>
      </c>
      <c r="N1900" t="s">
        <v>9206</v>
      </c>
      <c r="O1900" t="s">
        <v>9207</v>
      </c>
      <c r="P1900" t="s">
        <v>485</v>
      </c>
      <c r="Q1900" t="s">
        <v>8794</v>
      </c>
      <c r="R1900" t="s">
        <v>8795</v>
      </c>
      <c r="S1900" t="s">
        <v>8794</v>
      </c>
      <c r="T1900" t="s">
        <v>8795</v>
      </c>
    </row>
    <row r="1901" spans="1:20">
      <c r="A1901" s="241">
        <v>44001</v>
      </c>
      <c r="B1901" t="s">
        <v>9208</v>
      </c>
      <c r="C1901" t="s">
        <v>6985</v>
      </c>
      <c r="D1901" t="s">
        <v>6934</v>
      </c>
      <c r="E1901" t="s">
        <v>2821</v>
      </c>
      <c r="F1901" t="s">
        <v>3120</v>
      </c>
      <c r="G1901" t="s">
        <v>490</v>
      </c>
      <c r="H1901" t="s">
        <v>768</v>
      </c>
      <c r="I1901" t="s">
        <v>9209</v>
      </c>
      <c r="J1901" t="s">
        <v>1988</v>
      </c>
      <c r="K1901" t="s">
        <v>4161</v>
      </c>
      <c r="L1901">
        <v>0.89</v>
      </c>
      <c r="M1901" t="s">
        <v>9210</v>
      </c>
      <c r="N1901" t="s">
        <v>9211</v>
      </c>
      <c r="O1901" t="s">
        <v>9212</v>
      </c>
      <c r="P1901" t="s">
        <v>485</v>
      </c>
      <c r="Q1901" t="s">
        <v>8794</v>
      </c>
      <c r="R1901" t="s">
        <v>8795</v>
      </c>
      <c r="S1901" t="s">
        <v>8794</v>
      </c>
      <c r="T1901" t="s">
        <v>8795</v>
      </c>
    </row>
    <row r="1902" spans="1:20">
      <c r="A1902" s="241">
        <v>44001</v>
      </c>
      <c r="B1902" t="s">
        <v>9213</v>
      </c>
      <c r="C1902" t="s">
        <v>1357</v>
      </c>
      <c r="D1902" t="s">
        <v>3136</v>
      </c>
      <c r="E1902" t="s">
        <v>274</v>
      </c>
      <c r="F1902" t="s">
        <v>7443</v>
      </c>
      <c r="G1902" t="s">
        <v>9214</v>
      </c>
      <c r="H1902" t="s">
        <v>4642</v>
      </c>
      <c r="I1902" t="s">
        <v>9215</v>
      </c>
      <c r="J1902" t="s">
        <v>9216</v>
      </c>
      <c r="K1902" t="s">
        <v>9217</v>
      </c>
      <c r="L1902">
        <v>0.88</v>
      </c>
      <c r="M1902" t="s">
        <v>9218</v>
      </c>
      <c r="N1902" t="s">
        <v>9219</v>
      </c>
      <c r="O1902" t="s">
        <v>9220</v>
      </c>
      <c r="P1902" t="s">
        <v>485</v>
      </c>
      <c r="Q1902" t="s">
        <v>8794</v>
      </c>
      <c r="R1902" t="s">
        <v>8795</v>
      </c>
      <c r="S1902" t="s">
        <v>8794</v>
      </c>
      <c r="T1902" t="s">
        <v>8795</v>
      </c>
    </row>
    <row r="1903" spans="1:20">
      <c r="A1903" s="241">
        <v>44001</v>
      </c>
      <c r="B1903" t="s">
        <v>9221</v>
      </c>
      <c r="C1903" t="s">
        <v>1877</v>
      </c>
      <c r="D1903" t="s">
        <v>273</v>
      </c>
      <c r="E1903" t="s">
        <v>392</v>
      </c>
      <c r="F1903" t="s">
        <v>1397</v>
      </c>
      <c r="G1903" t="s">
        <v>2274</v>
      </c>
      <c r="H1903" t="s">
        <v>2017</v>
      </c>
      <c r="I1903" t="s">
        <v>1698</v>
      </c>
      <c r="J1903" t="s">
        <v>1405</v>
      </c>
      <c r="K1903" t="s">
        <v>1032</v>
      </c>
      <c r="L1903">
        <v>0.87</v>
      </c>
      <c r="M1903" t="s">
        <v>9222</v>
      </c>
      <c r="N1903" t="s">
        <v>9223</v>
      </c>
      <c r="O1903" t="s">
        <v>9224</v>
      </c>
      <c r="P1903" t="s">
        <v>485</v>
      </c>
      <c r="Q1903" t="s">
        <v>8794</v>
      </c>
      <c r="R1903" t="s">
        <v>8795</v>
      </c>
      <c r="S1903" t="s">
        <v>8794</v>
      </c>
      <c r="T1903" t="s">
        <v>8795</v>
      </c>
    </row>
    <row r="1904" spans="1:20">
      <c r="A1904" s="241">
        <v>44001</v>
      </c>
      <c r="B1904" t="s">
        <v>9225</v>
      </c>
      <c r="C1904" t="s">
        <v>262</v>
      </c>
      <c r="D1904" t="s">
        <v>1986</v>
      </c>
      <c r="E1904" t="s">
        <v>443</v>
      </c>
      <c r="F1904" t="s">
        <v>1478</v>
      </c>
      <c r="G1904" t="s">
        <v>520</v>
      </c>
      <c r="H1904" t="s">
        <v>3999</v>
      </c>
      <c r="I1904" t="s">
        <v>1727</v>
      </c>
      <c r="J1904" t="s">
        <v>551</v>
      </c>
      <c r="K1904" t="s">
        <v>571</v>
      </c>
      <c r="L1904">
        <v>0.87</v>
      </c>
      <c r="M1904" t="s">
        <v>9226</v>
      </c>
      <c r="N1904" t="s">
        <v>9227</v>
      </c>
      <c r="O1904" t="s">
        <v>9228</v>
      </c>
      <c r="P1904" t="s">
        <v>485</v>
      </c>
      <c r="Q1904" t="s">
        <v>8794</v>
      </c>
      <c r="R1904" t="s">
        <v>8795</v>
      </c>
      <c r="S1904" t="s">
        <v>8794</v>
      </c>
      <c r="T1904" t="s">
        <v>8795</v>
      </c>
    </row>
    <row r="1905" spans="1:20">
      <c r="A1905" s="241">
        <v>44001</v>
      </c>
      <c r="B1905" t="s">
        <v>9229</v>
      </c>
      <c r="C1905" t="s">
        <v>475</v>
      </c>
      <c r="D1905" t="s">
        <v>1877</v>
      </c>
      <c r="E1905" t="s">
        <v>443</v>
      </c>
      <c r="F1905" t="s">
        <v>618</v>
      </c>
      <c r="G1905" t="s">
        <v>540</v>
      </c>
      <c r="H1905" t="s">
        <v>787</v>
      </c>
      <c r="I1905" t="s">
        <v>1427</v>
      </c>
      <c r="J1905" t="s">
        <v>817</v>
      </c>
      <c r="K1905" t="s">
        <v>256</v>
      </c>
      <c r="L1905">
        <v>0.87</v>
      </c>
      <c r="M1905" t="s">
        <v>9230</v>
      </c>
      <c r="N1905" t="s">
        <v>9231</v>
      </c>
      <c r="O1905" t="s">
        <v>9232</v>
      </c>
      <c r="P1905" t="s">
        <v>485</v>
      </c>
      <c r="Q1905" t="s">
        <v>8794</v>
      </c>
      <c r="R1905" t="s">
        <v>8795</v>
      </c>
      <c r="S1905" t="s">
        <v>8794</v>
      </c>
      <c r="T1905" t="s">
        <v>8795</v>
      </c>
    </row>
    <row r="1906" spans="1:20">
      <c r="A1906" s="241">
        <v>44001</v>
      </c>
      <c r="B1906" t="s">
        <v>9233</v>
      </c>
      <c r="C1906" t="s">
        <v>3136</v>
      </c>
      <c r="D1906" t="s">
        <v>236</v>
      </c>
      <c r="E1906" t="s">
        <v>631</v>
      </c>
      <c r="F1906" t="s">
        <v>584</v>
      </c>
      <c r="G1906" t="s">
        <v>1420</v>
      </c>
      <c r="H1906" t="s">
        <v>549</v>
      </c>
      <c r="I1906" t="s">
        <v>560</v>
      </c>
      <c r="J1906" t="s">
        <v>230</v>
      </c>
      <c r="K1906" t="s">
        <v>268</v>
      </c>
      <c r="L1906">
        <v>0.87</v>
      </c>
      <c r="M1906" t="s">
        <v>9234</v>
      </c>
      <c r="N1906" t="s">
        <v>9235</v>
      </c>
      <c r="O1906" t="s">
        <v>9236</v>
      </c>
      <c r="P1906" t="s">
        <v>485</v>
      </c>
      <c r="Q1906" t="s">
        <v>8794</v>
      </c>
      <c r="R1906" t="s">
        <v>8795</v>
      </c>
      <c r="S1906" t="s">
        <v>8794</v>
      </c>
      <c r="T1906" t="s">
        <v>8795</v>
      </c>
    </row>
    <row r="1907" spans="1:20">
      <c r="A1907" s="241">
        <v>44001</v>
      </c>
      <c r="B1907" t="s">
        <v>9237</v>
      </c>
      <c r="C1907" t="s">
        <v>1367</v>
      </c>
      <c r="D1907" t="s">
        <v>1196</v>
      </c>
      <c r="E1907" t="s">
        <v>208</v>
      </c>
      <c r="F1907" t="s">
        <v>1756</v>
      </c>
      <c r="G1907" t="s">
        <v>804</v>
      </c>
      <c r="H1907" t="s">
        <v>805</v>
      </c>
      <c r="I1907" t="s">
        <v>266</v>
      </c>
      <c r="J1907" t="s">
        <v>1063</v>
      </c>
      <c r="K1907" t="s">
        <v>280</v>
      </c>
      <c r="L1907">
        <v>0.86</v>
      </c>
      <c r="M1907" t="s">
        <v>9238</v>
      </c>
      <c r="N1907" t="s">
        <v>9239</v>
      </c>
      <c r="O1907" t="s">
        <v>9240</v>
      </c>
      <c r="P1907" t="s">
        <v>485</v>
      </c>
      <c r="Q1907" t="s">
        <v>8794</v>
      </c>
      <c r="R1907" t="s">
        <v>8795</v>
      </c>
      <c r="S1907" t="s">
        <v>8794</v>
      </c>
      <c r="T1907" t="s">
        <v>8795</v>
      </c>
    </row>
    <row r="1908" spans="1:20">
      <c r="A1908" s="241">
        <v>44001</v>
      </c>
      <c r="B1908" t="s">
        <v>9241</v>
      </c>
      <c r="C1908" t="s">
        <v>1986</v>
      </c>
      <c r="D1908" t="s">
        <v>475</v>
      </c>
      <c r="E1908" t="s">
        <v>1139</v>
      </c>
      <c r="F1908" t="s">
        <v>616</v>
      </c>
      <c r="G1908" t="s">
        <v>814</v>
      </c>
      <c r="H1908" t="s">
        <v>228</v>
      </c>
      <c r="I1908" t="s">
        <v>838</v>
      </c>
      <c r="J1908" t="s">
        <v>289</v>
      </c>
      <c r="K1908" t="s">
        <v>338</v>
      </c>
      <c r="L1908">
        <v>0.86</v>
      </c>
      <c r="M1908" t="s">
        <v>9242</v>
      </c>
      <c r="N1908" t="s">
        <v>9243</v>
      </c>
      <c r="O1908" t="s">
        <v>9244</v>
      </c>
      <c r="P1908" t="s">
        <v>485</v>
      </c>
      <c r="Q1908" t="s">
        <v>8794</v>
      </c>
      <c r="R1908" t="s">
        <v>8795</v>
      </c>
      <c r="S1908" t="s">
        <v>8794</v>
      </c>
      <c r="T1908" t="s">
        <v>8795</v>
      </c>
    </row>
    <row r="1909" spans="1:20">
      <c r="A1909" s="241">
        <v>44001</v>
      </c>
      <c r="B1909" t="s">
        <v>9245</v>
      </c>
      <c r="C1909" t="s">
        <v>1877</v>
      </c>
      <c r="D1909" t="s">
        <v>1196</v>
      </c>
      <c r="E1909" t="s">
        <v>1139</v>
      </c>
      <c r="F1909" t="s">
        <v>682</v>
      </c>
      <c r="G1909" t="s">
        <v>567</v>
      </c>
      <c r="H1909" t="s">
        <v>529</v>
      </c>
      <c r="I1909" t="s">
        <v>863</v>
      </c>
      <c r="J1909" t="s">
        <v>620</v>
      </c>
      <c r="K1909" t="s">
        <v>666</v>
      </c>
      <c r="L1909">
        <v>0.86</v>
      </c>
      <c r="M1909" t="s">
        <v>9246</v>
      </c>
      <c r="N1909" t="s">
        <v>9247</v>
      </c>
      <c r="O1909" t="s">
        <v>9248</v>
      </c>
      <c r="P1909" t="s">
        <v>485</v>
      </c>
      <c r="Q1909" t="s">
        <v>8794</v>
      </c>
      <c r="R1909" t="s">
        <v>8795</v>
      </c>
      <c r="S1909" t="s">
        <v>8794</v>
      </c>
      <c r="T1909" t="s">
        <v>8795</v>
      </c>
    </row>
    <row r="1910" spans="1:20">
      <c r="A1910" s="241">
        <v>44001</v>
      </c>
      <c r="B1910" t="s">
        <v>9249</v>
      </c>
      <c r="C1910" t="s">
        <v>5481</v>
      </c>
      <c r="D1910" t="s">
        <v>262</v>
      </c>
      <c r="E1910" t="s">
        <v>1079</v>
      </c>
      <c r="F1910" t="s">
        <v>1080</v>
      </c>
      <c r="G1910" t="s">
        <v>1775</v>
      </c>
      <c r="H1910" t="s">
        <v>209</v>
      </c>
      <c r="I1910" t="s">
        <v>609</v>
      </c>
      <c r="J1910" t="s">
        <v>1484</v>
      </c>
      <c r="K1910" t="s">
        <v>359</v>
      </c>
      <c r="L1910">
        <v>0.86</v>
      </c>
      <c r="M1910" t="s">
        <v>9250</v>
      </c>
      <c r="N1910" t="s">
        <v>9251</v>
      </c>
      <c r="O1910" t="s">
        <v>9252</v>
      </c>
      <c r="P1910" t="s">
        <v>485</v>
      </c>
      <c r="Q1910" t="s">
        <v>8794</v>
      </c>
      <c r="R1910" t="s">
        <v>8795</v>
      </c>
      <c r="S1910" t="s">
        <v>8794</v>
      </c>
      <c r="T1910" t="s">
        <v>8795</v>
      </c>
    </row>
    <row r="1911" spans="1:20">
      <c r="A1911" s="241">
        <v>44001</v>
      </c>
      <c r="B1911" t="s">
        <v>9253</v>
      </c>
      <c r="C1911" t="s">
        <v>488</v>
      </c>
      <c r="D1911" t="s">
        <v>262</v>
      </c>
      <c r="E1911" t="s">
        <v>1139</v>
      </c>
      <c r="F1911" t="s">
        <v>1109</v>
      </c>
      <c r="G1911" t="s">
        <v>1269</v>
      </c>
      <c r="H1911" t="s">
        <v>209</v>
      </c>
      <c r="I1911" t="s">
        <v>1087</v>
      </c>
      <c r="J1911" t="s">
        <v>634</v>
      </c>
      <c r="K1911" t="s">
        <v>369</v>
      </c>
      <c r="L1911">
        <v>0.86</v>
      </c>
      <c r="M1911" t="s">
        <v>9254</v>
      </c>
      <c r="N1911" t="s">
        <v>9255</v>
      </c>
      <c r="O1911" t="s">
        <v>9256</v>
      </c>
      <c r="P1911" t="s">
        <v>485</v>
      </c>
      <c r="Q1911" t="s">
        <v>8794</v>
      </c>
      <c r="R1911" t="s">
        <v>8795</v>
      </c>
      <c r="S1911" t="s">
        <v>8794</v>
      </c>
      <c r="T1911" t="s">
        <v>8795</v>
      </c>
    </row>
    <row r="1912" spans="1:20">
      <c r="A1912" s="241">
        <v>44001</v>
      </c>
      <c r="B1912" t="s">
        <v>9257</v>
      </c>
      <c r="C1912" t="s">
        <v>1986</v>
      </c>
      <c r="D1912" t="s">
        <v>1877</v>
      </c>
      <c r="E1912" t="s">
        <v>631</v>
      </c>
      <c r="F1912" t="s">
        <v>1511</v>
      </c>
      <c r="G1912" t="s">
        <v>1477</v>
      </c>
      <c r="H1912" t="s">
        <v>346</v>
      </c>
      <c r="I1912" t="s">
        <v>1097</v>
      </c>
      <c r="J1912" t="s">
        <v>650</v>
      </c>
      <c r="K1912" t="s">
        <v>408</v>
      </c>
      <c r="L1912">
        <v>0.86</v>
      </c>
      <c r="M1912" t="s">
        <v>9258</v>
      </c>
      <c r="N1912" t="s">
        <v>9259</v>
      </c>
      <c r="O1912" t="s">
        <v>9260</v>
      </c>
      <c r="P1912" t="s">
        <v>485</v>
      </c>
      <c r="Q1912" t="s">
        <v>8794</v>
      </c>
      <c r="R1912" t="s">
        <v>8795</v>
      </c>
      <c r="S1912" t="s">
        <v>8794</v>
      </c>
      <c r="T1912" t="s">
        <v>8795</v>
      </c>
    </row>
    <row r="1913" spans="1:20">
      <c r="A1913" s="241">
        <v>44001</v>
      </c>
      <c r="B1913" t="s">
        <v>9261</v>
      </c>
      <c r="C1913" t="s">
        <v>488</v>
      </c>
      <c r="D1913" t="s">
        <v>273</v>
      </c>
      <c r="E1913" t="s">
        <v>1139</v>
      </c>
      <c r="F1913" t="s">
        <v>333</v>
      </c>
      <c r="G1913" t="s">
        <v>1477</v>
      </c>
      <c r="H1913" t="s">
        <v>1818</v>
      </c>
      <c r="I1913" t="s">
        <v>882</v>
      </c>
      <c r="J1913" t="s">
        <v>358</v>
      </c>
      <c r="K1913" t="s">
        <v>418</v>
      </c>
      <c r="L1913">
        <v>0.86</v>
      </c>
      <c r="M1913" t="s">
        <v>9262</v>
      </c>
      <c r="N1913" t="s">
        <v>9263</v>
      </c>
      <c r="O1913" t="s">
        <v>9264</v>
      </c>
      <c r="P1913" t="s">
        <v>485</v>
      </c>
      <c r="Q1913" t="s">
        <v>8794</v>
      </c>
      <c r="R1913" t="s">
        <v>8795</v>
      </c>
      <c r="S1913" t="s">
        <v>8794</v>
      </c>
      <c r="T1913" t="s">
        <v>8795</v>
      </c>
    </row>
    <row r="1914" spans="1:20">
      <c r="A1914" s="241">
        <v>44001</v>
      </c>
      <c r="B1914" t="s">
        <v>9265</v>
      </c>
      <c r="C1914" t="s">
        <v>1986</v>
      </c>
      <c r="D1914" t="s">
        <v>224</v>
      </c>
      <c r="E1914" t="s">
        <v>625</v>
      </c>
      <c r="F1914" t="s">
        <v>1620</v>
      </c>
      <c r="G1914" t="s">
        <v>324</v>
      </c>
      <c r="H1914" t="s">
        <v>1262</v>
      </c>
      <c r="I1914" t="s">
        <v>888</v>
      </c>
      <c r="J1914" t="s">
        <v>665</v>
      </c>
      <c r="K1914" t="s">
        <v>722</v>
      </c>
      <c r="L1914">
        <v>0.86</v>
      </c>
      <c r="M1914" t="s">
        <v>9266</v>
      </c>
      <c r="N1914" t="s">
        <v>9267</v>
      </c>
      <c r="O1914" t="s">
        <v>9268</v>
      </c>
      <c r="P1914" t="s">
        <v>485</v>
      </c>
      <c r="Q1914" t="s">
        <v>8794</v>
      </c>
      <c r="R1914" t="s">
        <v>8795</v>
      </c>
      <c r="S1914" t="s">
        <v>8794</v>
      </c>
      <c r="T1914" t="s">
        <v>8795</v>
      </c>
    </row>
    <row r="1915" spans="1:20">
      <c r="A1915" s="241">
        <v>44001</v>
      </c>
      <c r="B1915" t="s">
        <v>9269</v>
      </c>
      <c r="C1915" t="s">
        <v>3136</v>
      </c>
      <c r="D1915" t="s">
        <v>223</v>
      </c>
      <c r="E1915" t="s">
        <v>1139</v>
      </c>
      <c r="F1915" t="s">
        <v>364</v>
      </c>
      <c r="G1915" t="s">
        <v>1110</v>
      </c>
      <c r="H1915" t="s">
        <v>1756</v>
      </c>
      <c r="I1915" t="s">
        <v>664</v>
      </c>
      <c r="J1915" t="s">
        <v>1128</v>
      </c>
      <c r="K1915" t="s">
        <v>408</v>
      </c>
      <c r="L1915">
        <v>0.86</v>
      </c>
      <c r="M1915" t="s">
        <v>9270</v>
      </c>
      <c r="N1915" t="s">
        <v>9271</v>
      </c>
      <c r="O1915" t="s">
        <v>9272</v>
      </c>
      <c r="P1915" t="s">
        <v>485</v>
      </c>
      <c r="Q1915" t="s">
        <v>8794</v>
      </c>
      <c r="R1915" t="s">
        <v>8795</v>
      </c>
      <c r="S1915" t="s">
        <v>8794</v>
      </c>
      <c r="T1915" t="s">
        <v>8795</v>
      </c>
    </row>
    <row r="1916" spans="1:20">
      <c r="A1916" s="241">
        <v>44001</v>
      </c>
      <c r="B1916" t="s">
        <v>9273</v>
      </c>
      <c r="C1916" t="s">
        <v>475</v>
      </c>
      <c r="D1916" t="s">
        <v>475</v>
      </c>
      <c r="E1916" t="s">
        <v>382</v>
      </c>
      <c r="F1916" t="s">
        <v>383</v>
      </c>
      <c r="G1916" t="s">
        <v>1832</v>
      </c>
      <c r="H1916" t="s">
        <v>616</v>
      </c>
      <c r="I1916" t="s">
        <v>664</v>
      </c>
      <c r="J1916" t="s">
        <v>1128</v>
      </c>
      <c r="K1916" t="s">
        <v>408</v>
      </c>
      <c r="L1916">
        <v>0.86</v>
      </c>
      <c r="M1916" t="s">
        <v>9274</v>
      </c>
      <c r="N1916" t="s">
        <v>9275</v>
      </c>
      <c r="O1916" t="s">
        <v>9276</v>
      </c>
      <c r="P1916" t="s">
        <v>485</v>
      </c>
      <c r="Q1916" t="s">
        <v>8794</v>
      </c>
      <c r="R1916" t="s">
        <v>8795</v>
      </c>
      <c r="S1916" t="s">
        <v>8794</v>
      </c>
      <c r="T1916" t="s">
        <v>8795</v>
      </c>
    </row>
    <row r="1917" spans="1:20">
      <c r="A1917" s="241">
        <v>44001</v>
      </c>
      <c r="B1917" t="s">
        <v>9277</v>
      </c>
      <c r="C1917" t="s">
        <v>1877</v>
      </c>
      <c r="D1917" t="s">
        <v>206</v>
      </c>
      <c r="E1917" t="s">
        <v>631</v>
      </c>
      <c r="F1917" t="s">
        <v>374</v>
      </c>
      <c r="G1917" t="s">
        <v>1122</v>
      </c>
      <c r="H1917" t="s">
        <v>356</v>
      </c>
      <c r="I1917" t="s">
        <v>674</v>
      </c>
      <c r="J1917" t="s">
        <v>1569</v>
      </c>
      <c r="K1917" t="s">
        <v>722</v>
      </c>
      <c r="L1917">
        <v>0.86</v>
      </c>
      <c r="M1917" t="s">
        <v>9278</v>
      </c>
      <c r="N1917" t="s">
        <v>9279</v>
      </c>
      <c r="O1917" t="s">
        <v>9280</v>
      </c>
      <c r="P1917" t="s">
        <v>485</v>
      </c>
      <c r="Q1917" t="s">
        <v>8794</v>
      </c>
      <c r="R1917" t="s">
        <v>8795</v>
      </c>
      <c r="S1917" t="s">
        <v>8794</v>
      </c>
      <c r="T1917" t="s">
        <v>8795</v>
      </c>
    </row>
    <row r="1918" spans="1:20">
      <c r="A1918" s="241">
        <v>44001</v>
      </c>
      <c r="B1918" t="s">
        <v>9281</v>
      </c>
      <c r="C1918" t="s">
        <v>475</v>
      </c>
      <c r="D1918" t="s">
        <v>475</v>
      </c>
      <c r="E1918" t="s">
        <v>2478</v>
      </c>
      <c r="F1918" t="s">
        <v>904</v>
      </c>
      <c r="G1918" t="s">
        <v>2774</v>
      </c>
      <c r="H1918" t="s">
        <v>1467</v>
      </c>
      <c r="I1918" t="s">
        <v>911</v>
      </c>
      <c r="J1918" t="s">
        <v>1141</v>
      </c>
      <c r="K1918" t="s">
        <v>457</v>
      </c>
      <c r="L1918">
        <v>0.86</v>
      </c>
      <c r="M1918" t="s">
        <v>9282</v>
      </c>
      <c r="N1918" t="s">
        <v>9283</v>
      </c>
      <c r="O1918" t="s">
        <v>9284</v>
      </c>
      <c r="P1918" t="s">
        <v>485</v>
      </c>
      <c r="Q1918" t="s">
        <v>8794</v>
      </c>
      <c r="R1918" t="s">
        <v>8795</v>
      </c>
      <c r="S1918" t="s">
        <v>8794</v>
      </c>
      <c r="T1918" t="s">
        <v>8795</v>
      </c>
    </row>
    <row r="1919" spans="1:20">
      <c r="A1919" s="241">
        <v>44001</v>
      </c>
      <c r="B1919" t="s">
        <v>9285</v>
      </c>
      <c r="C1919" t="s">
        <v>475</v>
      </c>
      <c r="D1919" t="s">
        <v>1877</v>
      </c>
      <c r="E1919" t="s">
        <v>1139</v>
      </c>
      <c r="F1919" t="s">
        <v>2206</v>
      </c>
      <c r="G1919" t="s">
        <v>384</v>
      </c>
      <c r="H1919" t="s">
        <v>295</v>
      </c>
      <c r="I1919" t="s">
        <v>1140</v>
      </c>
      <c r="J1919" t="s">
        <v>407</v>
      </c>
      <c r="K1919" t="s">
        <v>428</v>
      </c>
      <c r="L1919">
        <v>0.86</v>
      </c>
      <c r="M1919" t="s">
        <v>9286</v>
      </c>
      <c r="N1919" t="s">
        <v>9287</v>
      </c>
      <c r="O1919" t="s">
        <v>9288</v>
      </c>
      <c r="P1919" t="s">
        <v>485</v>
      </c>
      <c r="Q1919" t="s">
        <v>8794</v>
      </c>
      <c r="R1919" t="s">
        <v>8795</v>
      </c>
      <c r="S1919" t="s">
        <v>8794</v>
      </c>
      <c r="T1919" t="s">
        <v>8795</v>
      </c>
    </row>
    <row r="1920" spans="1:20">
      <c r="A1920" s="241">
        <v>44001</v>
      </c>
      <c r="B1920" t="s">
        <v>9289</v>
      </c>
      <c r="C1920" t="s">
        <v>1986</v>
      </c>
      <c r="D1920" t="s">
        <v>475</v>
      </c>
      <c r="E1920" t="s">
        <v>443</v>
      </c>
      <c r="F1920" t="s">
        <v>689</v>
      </c>
      <c r="G1920" t="s">
        <v>681</v>
      </c>
      <c r="H1920" t="s">
        <v>1574</v>
      </c>
      <c r="I1920" t="s">
        <v>406</v>
      </c>
      <c r="J1920" t="s">
        <v>417</v>
      </c>
      <c r="K1920" t="s">
        <v>6918</v>
      </c>
      <c r="L1920">
        <v>0.86</v>
      </c>
      <c r="M1920" t="s">
        <v>9290</v>
      </c>
      <c r="N1920" t="s">
        <v>9291</v>
      </c>
      <c r="O1920" t="s">
        <v>9292</v>
      </c>
      <c r="P1920" t="s">
        <v>485</v>
      </c>
      <c r="Q1920" t="s">
        <v>8794</v>
      </c>
      <c r="R1920" t="s">
        <v>8795</v>
      </c>
      <c r="S1920" t="s">
        <v>8794</v>
      </c>
      <c r="T1920" t="s">
        <v>8795</v>
      </c>
    </row>
    <row r="1921" spans="1:20">
      <c r="A1921" s="241">
        <v>44001</v>
      </c>
      <c r="B1921" t="s">
        <v>9293</v>
      </c>
      <c r="C1921" t="s">
        <v>5481</v>
      </c>
      <c r="D1921" t="s">
        <v>510</v>
      </c>
      <c r="E1921" t="s">
        <v>2478</v>
      </c>
      <c r="F1921" t="s">
        <v>1156</v>
      </c>
      <c r="G1921" t="s">
        <v>1585</v>
      </c>
      <c r="H1921" t="s">
        <v>713</v>
      </c>
      <c r="I1921" t="s">
        <v>939</v>
      </c>
      <c r="J1921" t="s">
        <v>730</v>
      </c>
      <c r="K1921" t="s">
        <v>6918</v>
      </c>
      <c r="L1921">
        <v>0.86</v>
      </c>
      <c r="M1921" t="s">
        <v>9294</v>
      </c>
      <c r="N1921" t="s">
        <v>9295</v>
      </c>
      <c r="O1921" t="s">
        <v>9296</v>
      </c>
      <c r="P1921" t="s">
        <v>485</v>
      </c>
      <c r="Q1921" t="s">
        <v>8794</v>
      </c>
      <c r="R1921" t="s">
        <v>8795</v>
      </c>
      <c r="S1921" t="s">
        <v>8794</v>
      </c>
      <c r="T1921" t="s">
        <v>8795</v>
      </c>
    </row>
    <row r="1922" spans="1:20">
      <c r="A1922" s="241">
        <v>44001</v>
      </c>
      <c r="B1922" t="s">
        <v>9297</v>
      </c>
      <c r="C1922" t="s">
        <v>1666</v>
      </c>
      <c r="D1922" t="s">
        <v>1376</v>
      </c>
      <c r="E1922" t="s">
        <v>442</v>
      </c>
      <c r="F1922" t="s">
        <v>9298</v>
      </c>
      <c r="G1922" t="s">
        <v>9299</v>
      </c>
      <c r="H1922" t="s">
        <v>2637</v>
      </c>
      <c r="I1922" t="s">
        <v>9300</v>
      </c>
      <c r="J1922" t="s">
        <v>9301</v>
      </c>
      <c r="K1922" t="s">
        <v>9302</v>
      </c>
      <c r="L1922">
        <v>0.88</v>
      </c>
      <c r="M1922" t="s">
        <v>9303</v>
      </c>
      <c r="N1922" t="s">
        <v>9304</v>
      </c>
      <c r="O1922" t="s">
        <v>9305</v>
      </c>
      <c r="P1922" t="s">
        <v>485</v>
      </c>
      <c r="Q1922" t="s">
        <v>8794</v>
      </c>
      <c r="R1922" t="s">
        <v>8795</v>
      </c>
      <c r="S1922" t="s">
        <v>8794</v>
      </c>
      <c r="T1922" t="s">
        <v>8795</v>
      </c>
    </row>
    <row r="1923" spans="1:20">
      <c r="A1923" s="241">
        <v>44001</v>
      </c>
      <c r="B1923" t="s">
        <v>9306</v>
      </c>
      <c r="C1923" t="s">
        <v>9203</v>
      </c>
      <c r="D1923" t="s">
        <v>7258</v>
      </c>
      <c r="E1923" t="s">
        <v>2810</v>
      </c>
      <c r="F1923" t="s">
        <v>2627</v>
      </c>
      <c r="G1923" t="s">
        <v>5788</v>
      </c>
      <c r="H1923" t="s">
        <v>2239</v>
      </c>
      <c r="I1923" t="s">
        <v>3963</v>
      </c>
      <c r="J1923" t="s">
        <v>9307</v>
      </c>
      <c r="K1923" t="s">
        <v>2426</v>
      </c>
      <c r="L1923">
        <v>0.89</v>
      </c>
      <c r="M1923" t="s">
        <v>9308</v>
      </c>
      <c r="N1923" t="s">
        <v>9309</v>
      </c>
      <c r="O1923" t="s">
        <v>9310</v>
      </c>
      <c r="P1923" t="s">
        <v>485</v>
      </c>
      <c r="Q1923" t="s">
        <v>8794</v>
      </c>
      <c r="R1923" t="s">
        <v>8795</v>
      </c>
      <c r="S1923" t="s">
        <v>8794</v>
      </c>
      <c r="T1923" t="s">
        <v>8795</v>
      </c>
    </row>
    <row r="1924" spans="1:20">
      <c r="A1924" s="241">
        <v>44001</v>
      </c>
      <c r="B1924" t="s">
        <v>9311</v>
      </c>
      <c r="C1924" t="s">
        <v>7553</v>
      </c>
      <c r="D1924" t="s">
        <v>6985</v>
      </c>
      <c r="E1924" t="s">
        <v>1348</v>
      </c>
      <c r="F1924" t="s">
        <v>757</v>
      </c>
      <c r="G1924" t="s">
        <v>981</v>
      </c>
      <c r="H1924" t="s">
        <v>6943</v>
      </c>
      <c r="I1924" t="s">
        <v>6944</v>
      </c>
      <c r="J1924" t="s">
        <v>5475</v>
      </c>
      <c r="K1924" t="s">
        <v>975</v>
      </c>
      <c r="L1924">
        <v>0.89</v>
      </c>
      <c r="M1924" t="s">
        <v>9312</v>
      </c>
      <c r="N1924" t="s">
        <v>9313</v>
      </c>
      <c r="O1924" t="s">
        <v>9314</v>
      </c>
      <c r="P1924" t="s">
        <v>485</v>
      </c>
      <c r="Q1924" t="s">
        <v>8794</v>
      </c>
      <c r="R1924" t="s">
        <v>8795</v>
      </c>
      <c r="S1924" t="s">
        <v>8794</v>
      </c>
      <c r="T1924" t="s">
        <v>8795</v>
      </c>
    </row>
    <row r="1925" spans="1:20">
      <c r="A1925" s="241">
        <v>44001</v>
      </c>
      <c r="B1925" t="s">
        <v>9315</v>
      </c>
      <c r="C1925" t="s">
        <v>7116</v>
      </c>
      <c r="D1925" t="s">
        <v>9101</v>
      </c>
      <c r="E1925" t="s">
        <v>2810</v>
      </c>
      <c r="F1925" t="s">
        <v>466</v>
      </c>
      <c r="G1925" t="s">
        <v>8912</v>
      </c>
      <c r="H1925" t="s">
        <v>7126</v>
      </c>
      <c r="I1925" t="s">
        <v>5482</v>
      </c>
      <c r="J1925" t="s">
        <v>770</v>
      </c>
      <c r="K1925" t="s">
        <v>3131</v>
      </c>
      <c r="L1925">
        <v>0.89</v>
      </c>
      <c r="M1925" t="s">
        <v>9316</v>
      </c>
      <c r="N1925" t="s">
        <v>9317</v>
      </c>
      <c r="O1925" t="s">
        <v>9318</v>
      </c>
      <c r="P1925" t="s">
        <v>485</v>
      </c>
      <c r="Q1925" t="s">
        <v>8794</v>
      </c>
      <c r="R1925" t="s">
        <v>8795</v>
      </c>
      <c r="S1925" t="s">
        <v>8794</v>
      </c>
      <c r="T1925" t="s">
        <v>8795</v>
      </c>
    </row>
    <row r="1926" spans="1:20">
      <c r="A1926" s="241">
        <v>44001</v>
      </c>
      <c r="B1926" t="s">
        <v>9319</v>
      </c>
      <c r="C1926" t="s">
        <v>7442</v>
      </c>
      <c r="D1926" t="s">
        <v>6934</v>
      </c>
      <c r="E1926" t="s">
        <v>1666</v>
      </c>
      <c r="F1926" t="s">
        <v>3681</v>
      </c>
      <c r="G1926" t="s">
        <v>8912</v>
      </c>
      <c r="H1926" t="s">
        <v>4354</v>
      </c>
      <c r="I1926" t="s">
        <v>1970</v>
      </c>
      <c r="J1926" t="s">
        <v>9320</v>
      </c>
      <c r="K1926" t="s">
        <v>5273</v>
      </c>
      <c r="L1926">
        <v>0.89</v>
      </c>
      <c r="M1926" t="s">
        <v>9321</v>
      </c>
      <c r="N1926" t="s">
        <v>9322</v>
      </c>
      <c r="O1926" t="s">
        <v>9323</v>
      </c>
      <c r="P1926" t="s">
        <v>485</v>
      </c>
      <c r="Q1926" t="s">
        <v>8794</v>
      </c>
      <c r="R1926" t="s">
        <v>8795</v>
      </c>
      <c r="S1926" t="s">
        <v>8794</v>
      </c>
      <c r="T1926" t="s">
        <v>8795</v>
      </c>
    </row>
    <row r="1927" spans="1:20">
      <c r="A1927" s="241">
        <v>44001</v>
      </c>
      <c r="B1927" t="s">
        <v>9324</v>
      </c>
      <c r="C1927" t="s">
        <v>2821</v>
      </c>
      <c r="D1927" t="s">
        <v>1367</v>
      </c>
      <c r="E1927" t="s">
        <v>1079</v>
      </c>
      <c r="F1927" t="s">
        <v>559</v>
      </c>
      <c r="G1927" t="s">
        <v>4170</v>
      </c>
      <c r="H1927" t="s">
        <v>778</v>
      </c>
      <c r="I1927" t="s">
        <v>2011</v>
      </c>
      <c r="J1927" t="s">
        <v>514</v>
      </c>
      <c r="K1927" t="s">
        <v>571</v>
      </c>
      <c r="L1927">
        <v>0.87</v>
      </c>
      <c r="M1927" t="s">
        <v>9325</v>
      </c>
      <c r="N1927" t="s">
        <v>9326</v>
      </c>
      <c r="O1927" t="s">
        <v>9327</v>
      </c>
      <c r="P1927" t="s">
        <v>485</v>
      </c>
      <c r="Q1927" t="s">
        <v>8794</v>
      </c>
      <c r="R1927" t="s">
        <v>8795</v>
      </c>
      <c r="S1927" t="s">
        <v>8794</v>
      </c>
      <c r="T1927" t="s">
        <v>8795</v>
      </c>
    </row>
    <row r="1928" spans="1:20">
      <c r="A1928" s="241">
        <v>44001</v>
      </c>
      <c r="B1928" t="s">
        <v>9328</v>
      </c>
      <c r="C1928" t="s">
        <v>2810</v>
      </c>
      <c r="D1928" t="s">
        <v>5481</v>
      </c>
      <c r="E1928" t="s">
        <v>712</v>
      </c>
      <c r="F1928" t="s">
        <v>1426</v>
      </c>
      <c r="G1928" t="s">
        <v>777</v>
      </c>
      <c r="H1928" t="s">
        <v>3161</v>
      </c>
      <c r="I1928" t="s">
        <v>1698</v>
      </c>
      <c r="J1928" t="s">
        <v>2681</v>
      </c>
      <c r="K1928" t="s">
        <v>256</v>
      </c>
      <c r="L1928">
        <v>0.87</v>
      </c>
      <c r="M1928" t="s">
        <v>9329</v>
      </c>
      <c r="N1928" t="s">
        <v>9330</v>
      </c>
      <c r="O1928" t="s">
        <v>9331</v>
      </c>
      <c r="P1928" t="s">
        <v>485</v>
      </c>
      <c r="Q1928" t="s">
        <v>8794</v>
      </c>
      <c r="R1928" t="s">
        <v>8795</v>
      </c>
      <c r="S1928" t="s">
        <v>8794</v>
      </c>
      <c r="T1928" t="s">
        <v>8795</v>
      </c>
    </row>
    <row r="1929" spans="1:20">
      <c r="A1929" s="241">
        <v>44001</v>
      </c>
      <c r="B1929" t="s">
        <v>9332</v>
      </c>
      <c r="C1929" t="s">
        <v>1176</v>
      </c>
      <c r="D1929" t="s">
        <v>2626</v>
      </c>
      <c r="E1929" t="s">
        <v>392</v>
      </c>
      <c r="F1929" t="s">
        <v>1478</v>
      </c>
      <c r="G1929" t="s">
        <v>777</v>
      </c>
      <c r="H1929" t="s">
        <v>3161</v>
      </c>
      <c r="I1929" t="s">
        <v>793</v>
      </c>
      <c r="J1929" t="s">
        <v>551</v>
      </c>
      <c r="K1929" t="s">
        <v>280</v>
      </c>
      <c r="L1929">
        <v>0.87</v>
      </c>
      <c r="M1929" t="s">
        <v>9333</v>
      </c>
      <c r="N1929" t="s">
        <v>9334</v>
      </c>
      <c r="O1929" t="s">
        <v>9335</v>
      </c>
      <c r="P1929" t="s">
        <v>485</v>
      </c>
      <c r="Q1929" t="s">
        <v>8794</v>
      </c>
      <c r="R1929" t="s">
        <v>8795</v>
      </c>
      <c r="S1929" t="s">
        <v>8794</v>
      </c>
      <c r="T1929" t="s">
        <v>8795</v>
      </c>
    </row>
    <row r="1930" spans="1:20">
      <c r="A1930" s="241">
        <v>44001</v>
      </c>
      <c r="B1930" t="s">
        <v>9336</v>
      </c>
      <c r="C1930" t="s">
        <v>2821</v>
      </c>
      <c r="D1930" t="s">
        <v>1377</v>
      </c>
      <c r="E1930" t="s">
        <v>631</v>
      </c>
      <c r="F1930" t="s">
        <v>1069</v>
      </c>
      <c r="G1930" t="s">
        <v>2291</v>
      </c>
      <c r="H1930" t="s">
        <v>1390</v>
      </c>
      <c r="I1930" t="s">
        <v>1727</v>
      </c>
      <c r="J1930" t="s">
        <v>2881</v>
      </c>
      <c r="K1930" t="s">
        <v>256</v>
      </c>
      <c r="L1930">
        <v>0.87</v>
      </c>
      <c r="M1930" t="s">
        <v>9337</v>
      </c>
      <c r="N1930" t="s">
        <v>9338</v>
      </c>
      <c r="O1930" t="s">
        <v>9339</v>
      </c>
      <c r="P1930" t="s">
        <v>485</v>
      </c>
      <c r="Q1930" t="s">
        <v>8794</v>
      </c>
      <c r="R1930" t="s">
        <v>8795</v>
      </c>
      <c r="S1930" t="s">
        <v>8794</v>
      </c>
      <c r="T1930" t="s">
        <v>8795</v>
      </c>
    </row>
    <row r="1931" spans="1:20">
      <c r="A1931" s="241">
        <v>44001</v>
      </c>
      <c r="B1931" t="s">
        <v>9340</v>
      </c>
      <c r="C1931" t="s">
        <v>2821</v>
      </c>
      <c r="D1931" t="s">
        <v>1986</v>
      </c>
      <c r="E1931" t="s">
        <v>625</v>
      </c>
      <c r="F1931" t="s">
        <v>209</v>
      </c>
      <c r="G1931" t="s">
        <v>1025</v>
      </c>
      <c r="H1931" t="s">
        <v>1018</v>
      </c>
      <c r="I1931" t="s">
        <v>542</v>
      </c>
      <c r="J1931" t="s">
        <v>2881</v>
      </c>
      <c r="K1931" t="s">
        <v>280</v>
      </c>
      <c r="L1931">
        <v>0.87</v>
      </c>
      <c r="M1931" t="s">
        <v>9341</v>
      </c>
      <c r="N1931" t="s">
        <v>9342</v>
      </c>
      <c r="O1931" t="s">
        <v>9343</v>
      </c>
      <c r="P1931" t="s">
        <v>485</v>
      </c>
      <c r="Q1931" t="s">
        <v>8794</v>
      </c>
      <c r="R1931" t="s">
        <v>8795</v>
      </c>
      <c r="S1931" t="s">
        <v>8794</v>
      </c>
      <c r="T1931" t="s">
        <v>8795</v>
      </c>
    </row>
    <row r="1932" spans="1:20">
      <c r="A1932" s="241">
        <v>44001</v>
      </c>
      <c r="B1932" t="s">
        <v>9344</v>
      </c>
      <c r="C1932" t="s">
        <v>1176</v>
      </c>
      <c r="D1932" t="s">
        <v>1367</v>
      </c>
      <c r="E1932" t="s">
        <v>645</v>
      </c>
      <c r="F1932" t="s">
        <v>226</v>
      </c>
      <c r="G1932" t="s">
        <v>540</v>
      </c>
      <c r="H1932" t="s">
        <v>3999</v>
      </c>
      <c r="I1932" t="s">
        <v>212</v>
      </c>
      <c r="J1932" t="s">
        <v>561</v>
      </c>
      <c r="K1932" t="s">
        <v>338</v>
      </c>
      <c r="L1932">
        <v>0.87</v>
      </c>
      <c r="M1932" t="s">
        <v>9345</v>
      </c>
      <c r="N1932" t="s">
        <v>9346</v>
      </c>
      <c r="O1932" t="s">
        <v>9347</v>
      </c>
      <c r="P1932" t="s">
        <v>485</v>
      </c>
      <c r="Q1932" t="s">
        <v>8794</v>
      </c>
      <c r="R1932" t="s">
        <v>8795</v>
      </c>
      <c r="S1932" t="s">
        <v>8794</v>
      </c>
      <c r="T1932" t="s">
        <v>8795</v>
      </c>
    </row>
    <row r="1933" spans="1:20">
      <c r="A1933" s="241">
        <v>44001</v>
      </c>
      <c r="B1933" t="s">
        <v>9348</v>
      </c>
      <c r="C1933" t="s">
        <v>3136</v>
      </c>
      <c r="D1933" t="s">
        <v>2810</v>
      </c>
      <c r="E1933" t="s">
        <v>1079</v>
      </c>
      <c r="F1933" t="s">
        <v>1756</v>
      </c>
      <c r="G1933" t="s">
        <v>792</v>
      </c>
      <c r="H1933" t="s">
        <v>823</v>
      </c>
      <c r="I1933" t="s">
        <v>569</v>
      </c>
      <c r="J1933" t="s">
        <v>267</v>
      </c>
      <c r="K1933" t="s">
        <v>327</v>
      </c>
      <c r="L1933">
        <v>0.87</v>
      </c>
      <c r="M1933" t="s">
        <v>9349</v>
      </c>
      <c r="N1933" t="s">
        <v>9350</v>
      </c>
      <c r="O1933" t="s">
        <v>9351</v>
      </c>
      <c r="P1933" t="s">
        <v>485</v>
      </c>
      <c r="Q1933" t="s">
        <v>8794</v>
      </c>
      <c r="R1933" t="s">
        <v>8795</v>
      </c>
      <c r="S1933" t="s">
        <v>8794</v>
      </c>
      <c r="T1933" t="s">
        <v>8795</v>
      </c>
    </row>
    <row r="1934" spans="1:20">
      <c r="A1934" s="241">
        <v>44001</v>
      </c>
      <c r="B1934" t="s">
        <v>9352</v>
      </c>
      <c r="C1934" t="s">
        <v>1666</v>
      </c>
      <c r="D1934" t="s">
        <v>488</v>
      </c>
      <c r="E1934" t="s">
        <v>679</v>
      </c>
      <c r="F1934" t="s">
        <v>316</v>
      </c>
      <c r="G1934" t="s">
        <v>1037</v>
      </c>
      <c r="H1934" t="s">
        <v>549</v>
      </c>
      <c r="I1934" t="s">
        <v>560</v>
      </c>
      <c r="J1934" t="s">
        <v>1770</v>
      </c>
      <c r="K1934" t="s">
        <v>327</v>
      </c>
      <c r="L1934">
        <v>0.87</v>
      </c>
      <c r="M1934" t="s">
        <v>9353</v>
      </c>
      <c r="N1934" t="s">
        <v>9354</v>
      </c>
      <c r="O1934" t="s">
        <v>9355</v>
      </c>
      <c r="P1934" t="s">
        <v>485</v>
      </c>
      <c r="Q1934" t="s">
        <v>8794</v>
      </c>
      <c r="R1934" t="s">
        <v>8795</v>
      </c>
      <c r="S1934" t="s">
        <v>8794</v>
      </c>
      <c r="T1934" t="s">
        <v>8795</v>
      </c>
    </row>
    <row r="1935" spans="1:20">
      <c r="A1935" s="241">
        <v>44001</v>
      </c>
      <c r="B1935" t="s">
        <v>9356</v>
      </c>
      <c r="C1935" t="s">
        <v>1196</v>
      </c>
      <c r="D1935" t="s">
        <v>1367</v>
      </c>
      <c r="E1935" t="s">
        <v>274</v>
      </c>
      <c r="F1935" t="s">
        <v>2074</v>
      </c>
      <c r="G1935" t="s">
        <v>1433</v>
      </c>
      <c r="H1935" t="s">
        <v>1426</v>
      </c>
      <c r="I1935" t="s">
        <v>229</v>
      </c>
      <c r="J1935" t="s">
        <v>2330</v>
      </c>
      <c r="K1935" t="s">
        <v>666</v>
      </c>
      <c r="L1935">
        <v>0.87</v>
      </c>
      <c r="M1935" t="s">
        <v>9357</v>
      </c>
      <c r="N1935" t="s">
        <v>9358</v>
      </c>
      <c r="O1935" t="s">
        <v>9359</v>
      </c>
      <c r="P1935" t="s">
        <v>485</v>
      </c>
      <c r="Q1935" t="s">
        <v>8794</v>
      </c>
      <c r="R1935" t="s">
        <v>8795</v>
      </c>
      <c r="S1935" t="s">
        <v>8794</v>
      </c>
      <c r="T1935" t="s">
        <v>8795</v>
      </c>
    </row>
    <row r="1936" spans="1:20">
      <c r="A1936" s="241">
        <v>44001</v>
      </c>
      <c r="B1936" t="s">
        <v>9360</v>
      </c>
      <c r="C1936" t="s">
        <v>1986</v>
      </c>
      <c r="D1936" t="s">
        <v>3679</v>
      </c>
      <c r="E1936" t="s">
        <v>261</v>
      </c>
      <c r="F1936" t="s">
        <v>566</v>
      </c>
      <c r="G1936" t="s">
        <v>210</v>
      </c>
      <c r="H1936" t="s">
        <v>1257</v>
      </c>
      <c r="I1936" t="s">
        <v>266</v>
      </c>
      <c r="J1936" t="s">
        <v>1070</v>
      </c>
      <c r="K1936" t="s">
        <v>349</v>
      </c>
      <c r="L1936">
        <v>0.87</v>
      </c>
      <c r="M1936" t="s">
        <v>9361</v>
      </c>
      <c r="N1936" t="s">
        <v>9362</v>
      </c>
      <c r="O1936" t="s">
        <v>9363</v>
      </c>
      <c r="P1936" t="s">
        <v>485</v>
      </c>
      <c r="Q1936" t="s">
        <v>8794</v>
      </c>
      <c r="R1936" t="s">
        <v>8795</v>
      </c>
      <c r="S1936" t="s">
        <v>8794</v>
      </c>
      <c r="T1936" t="s">
        <v>8795</v>
      </c>
    </row>
    <row r="1937" spans="1:20">
      <c r="A1937" s="241">
        <v>44001</v>
      </c>
      <c r="B1937" t="s">
        <v>9364</v>
      </c>
      <c r="C1937" t="s">
        <v>3679</v>
      </c>
      <c r="D1937" t="s">
        <v>2821</v>
      </c>
      <c r="E1937" t="s">
        <v>645</v>
      </c>
      <c r="F1937" t="s">
        <v>263</v>
      </c>
      <c r="G1937" t="s">
        <v>1442</v>
      </c>
      <c r="H1937" t="s">
        <v>1017</v>
      </c>
      <c r="I1937" t="s">
        <v>838</v>
      </c>
      <c r="J1937" t="s">
        <v>298</v>
      </c>
      <c r="K1937" t="s">
        <v>700</v>
      </c>
      <c r="L1937">
        <v>0.87</v>
      </c>
      <c r="M1937" t="s">
        <v>9365</v>
      </c>
      <c r="N1937" t="s">
        <v>9366</v>
      </c>
      <c r="O1937" t="s">
        <v>9367</v>
      </c>
      <c r="P1937" t="s">
        <v>485</v>
      </c>
      <c r="Q1937" t="s">
        <v>8794</v>
      </c>
      <c r="R1937" t="s">
        <v>8795</v>
      </c>
      <c r="S1937" t="s">
        <v>8794</v>
      </c>
      <c r="T1937" t="s">
        <v>8795</v>
      </c>
    </row>
    <row r="1938" spans="1:20">
      <c r="A1938" s="241">
        <v>44001</v>
      </c>
      <c r="B1938" t="s">
        <v>9368</v>
      </c>
      <c r="C1938" t="s">
        <v>488</v>
      </c>
      <c r="D1938" t="s">
        <v>3136</v>
      </c>
      <c r="E1938" t="s">
        <v>615</v>
      </c>
      <c r="F1938" t="s">
        <v>855</v>
      </c>
      <c r="G1938" t="s">
        <v>276</v>
      </c>
      <c r="H1938" t="s">
        <v>209</v>
      </c>
      <c r="I1938" t="s">
        <v>863</v>
      </c>
      <c r="J1938" t="s">
        <v>318</v>
      </c>
      <c r="K1938" t="s">
        <v>369</v>
      </c>
      <c r="L1938">
        <v>0.86</v>
      </c>
      <c r="M1938" t="s">
        <v>9369</v>
      </c>
      <c r="N1938" t="s">
        <v>9370</v>
      </c>
      <c r="O1938" t="s">
        <v>9371</v>
      </c>
      <c r="P1938" t="s">
        <v>485</v>
      </c>
      <c r="Q1938" t="s">
        <v>8794</v>
      </c>
      <c r="R1938" t="s">
        <v>8795</v>
      </c>
      <c r="S1938" t="s">
        <v>8794</v>
      </c>
      <c r="T1938" t="s">
        <v>8795</v>
      </c>
    </row>
    <row r="1939" spans="1:20">
      <c r="A1939" s="241">
        <v>44001</v>
      </c>
      <c r="B1939" t="s">
        <v>9372</v>
      </c>
      <c r="C1939" t="s">
        <v>1377</v>
      </c>
      <c r="D1939" t="s">
        <v>3679</v>
      </c>
      <c r="E1939" t="s">
        <v>671</v>
      </c>
      <c r="F1939" t="s">
        <v>1056</v>
      </c>
      <c r="G1939" t="s">
        <v>227</v>
      </c>
      <c r="H1939" t="s">
        <v>1057</v>
      </c>
      <c r="I1939" t="s">
        <v>288</v>
      </c>
      <c r="J1939" t="s">
        <v>601</v>
      </c>
      <c r="K1939" t="s">
        <v>349</v>
      </c>
      <c r="L1939">
        <v>0.86</v>
      </c>
      <c r="M1939" t="s">
        <v>9373</v>
      </c>
      <c r="N1939" t="s">
        <v>9374</v>
      </c>
      <c r="O1939" t="s">
        <v>9375</v>
      </c>
      <c r="P1939" t="s">
        <v>485</v>
      </c>
      <c r="Q1939" t="s">
        <v>8794</v>
      </c>
      <c r="R1939" t="s">
        <v>8795</v>
      </c>
      <c r="S1939" t="s">
        <v>8794</v>
      </c>
      <c r="T1939" t="s">
        <v>8795</v>
      </c>
    </row>
    <row r="1940" spans="1:20">
      <c r="A1940" s="241">
        <v>44001</v>
      </c>
      <c r="B1940" t="s">
        <v>9376</v>
      </c>
      <c r="C1940" t="s">
        <v>1176</v>
      </c>
      <c r="D1940" t="s">
        <v>1367</v>
      </c>
      <c r="E1940" t="s">
        <v>645</v>
      </c>
      <c r="F1940" t="s">
        <v>1291</v>
      </c>
      <c r="G1940" t="s">
        <v>286</v>
      </c>
      <c r="H1940" t="s">
        <v>585</v>
      </c>
      <c r="I1940" t="s">
        <v>863</v>
      </c>
      <c r="J1940" t="s">
        <v>1827</v>
      </c>
      <c r="K1940" t="s">
        <v>428</v>
      </c>
      <c r="L1940">
        <v>0.87</v>
      </c>
      <c r="M1940" t="s">
        <v>9377</v>
      </c>
      <c r="N1940" t="s">
        <v>9378</v>
      </c>
      <c r="O1940" t="s">
        <v>9379</v>
      </c>
      <c r="P1940" t="s">
        <v>485</v>
      </c>
      <c r="Q1940" t="s">
        <v>8794</v>
      </c>
      <c r="R1940" t="s">
        <v>8795</v>
      </c>
      <c r="S1940" t="s">
        <v>8794</v>
      </c>
      <c r="T1940" t="s">
        <v>8795</v>
      </c>
    </row>
    <row r="1941" spans="1:20">
      <c r="A1941" s="241">
        <v>44001</v>
      </c>
      <c r="B1941" t="s">
        <v>9380</v>
      </c>
      <c r="C1941" t="s">
        <v>3669</v>
      </c>
      <c r="D1941" t="s">
        <v>1877</v>
      </c>
      <c r="E1941" t="s">
        <v>442</v>
      </c>
      <c r="F1941" t="s">
        <v>426</v>
      </c>
      <c r="G1941" t="s">
        <v>286</v>
      </c>
      <c r="H1941" t="s">
        <v>2910</v>
      </c>
      <c r="I1941" t="s">
        <v>1811</v>
      </c>
      <c r="J1941" t="s">
        <v>1506</v>
      </c>
      <c r="K1941" t="s">
        <v>448</v>
      </c>
      <c r="L1941">
        <v>0.87</v>
      </c>
      <c r="M1941" t="s">
        <v>9381</v>
      </c>
      <c r="N1941" t="s">
        <v>9382</v>
      </c>
      <c r="O1941" t="s">
        <v>9383</v>
      </c>
      <c r="P1941" t="s">
        <v>485</v>
      </c>
      <c r="Q1941" t="s">
        <v>8794</v>
      </c>
      <c r="R1941" t="s">
        <v>8795</v>
      </c>
      <c r="S1941" t="s">
        <v>8794</v>
      </c>
      <c r="T1941" t="s">
        <v>8795</v>
      </c>
    </row>
    <row r="1942" spans="1:20">
      <c r="A1942" s="241">
        <v>44001</v>
      </c>
      <c r="B1942" t="s">
        <v>9384</v>
      </c>
      <c r="C1942" t="s">
        <v>3669</v>
      </c>
      <c r="D1942" t="s">
        <v>3679</v>
      </c>
      <c r="E1942" t="s">
        <v>625</v>
      </c>
      <c r="F1942" t="s">
        <v>395</v>
      </c>
      <c r="G1942" t="s">
        <v>3284</v>
      </c>
      <c r="H1942" t="s">
        <v>608</v>
      </c>
      <c r="I1942" t="s">
        <v>1501</v>
      </c>
      <c r="J1942" t="s">
        <v>640</v>
      </c>
      <c r="K1942" t="s">
        <v>408</v>
      </c>
      <c r="L1942">
        <v>0.86</v>
      </c>
      <c r="M1942" t="s">
        <v>9385</v>
      </c>
      <c r="N1942" t="s">
        <v>9386</v>
      </c>
      <c r="O1942" t="s">
        <v>9387</v>
      </c>
      <c r="P1942" t="s">
        <v>485</v>
      </c>
      <c r="Q1942" t="s">
        <v>8794</v>
      </c>
      <c r="R1942" t="s">
        <v>8795</v>
      </c>
      <c r="S1942" t="s">
        <v>8794</v>
      </c>
      <c r="T1942" t="s">
        <v>8795</v>
      </c>
    </row>
    <row r="1943" spans="1:20">
      <c r="A1943" s="241">
        <v>44001</v>
      </c>
      <c r="B1943" t="s">
        <v>9388</v>
      </c>
      <c r="C1943" t="s">
        <v>1666</v>
      </c>
      <c r="D1943" t="s">
        <v>1877</v>
      </c>
      <c r="E1943" t="s">
        <v>615</v>
      </c>
      <c r="F1943" t="s">
        <v>405</v>
      </c>
      <c r="G1943" t="s">
        <v>306</v>
      </c>
      <c r="H1943" t="s">
        <v>1231</v>
      </c>
      <c r="I1943" t="s">
        <v>1501</v>
      </c>
      <c r="J1943" t="s">
        <v>326</v>
      </c>
      <c r="K1943" t="s">
        <v>369</v>
      </c>
      <c r="L1943">
        <v>0.86</v>
      </c>
      <c r="M1943" t="s">
        <v>9389</v>
      </c>
      <c r="N1943" t="s">
        <v>9390</v>
      </c>
      <c r="O1943" t="s">
        <v>9391</v>
      </c>
      <c r="P1943" t="s">
        <v>485</v>
      </c>
      <c r="Q1943" t="s">
        <v>8794</v>
      </c>
      <c r="R1943" t="s">
        <v>8795</v>
      </c>
      <c r="S1943" t="s">
        <v>8794</v>
      </c>
      <c r="T1943" t="s">
        <v>8795</v>
      </c>
    </row>
    <row r="1944" spans="1:20">
      <c r="A1944" s="241">
        <v>44001</v>
      </c>
      <c r="B1944" t="s">
        <v>9392</v>
      </c>
      <c r="C1944" t="s">
        <v>2821</v>
      </c>
      <c r="D1944" t="s">
        <v>1986</v>
      </c>
      <c r="E1944" t="s">
        <v>615</v>
      </c>
      <c r="F1944" t="s">
        <v>1511</v>
      </c>
      <c r="G1944" t="s">
        <v>591</v>
      </c>
      <c r="H1944" t="s">
        <v>2927</v>
      </c>
      <c r="I1944" t="s">
        <v>325</v>
      </c>
      <c r="J1944" t="s">
        <v>348</v>
      </c>
      <c r="K1944" t="s">
        <v>369</v>
      </c>
      <c r="L1944">
        <v>0.86</v>
      </c>
      <c r="M1944" t="s">
        <v>9393</v>
      </c>
      <c r="N1944" t="s">
        <v>9394</v>
      </c>
      <c r="O1944" t="s">
        <v>9395</v>
      </c>
      <c r="P1944" t="s">
        <v>485</v>
      </c>
      <c r="Q1944" t="s">
        <v>8794</v>
      </c>
      <c r="R1944" t="s">
        <v>8795</v>
      </c>
      <c r="S1944" t="s">
        <v>8794</v>
      </c>
      <c r="T1944" t="s">
        <v>8795</v>
      </c>
    </row>
    <row r="1945" spans="1:20">
      <c r="A1945" s="241">
        <v>44001</v>
      </c>
      <c r="B1945" t="s">
        <v>9396</v>
      </c>
      <c r="C1945" t="s">
        <v>1176</v>
      </c>
      <c r="D1945" t="s">
        <v>1877</v>
      </c>
      <c r="E1945" t="s">
        <v>645</v>
      </c>
      <c r="F1945" t="s">
        <v>435</v>
      </c>
      <c r="G1945" t="s">
        <v>334</v>
      </c>
      <c r="H1945" t="s">
        <v>316</v>
      </c>
      <c r="I1945" t="s">
        <v>882</v>
      </c>
      <c r="J1945" t="s">
        <v>1116</v>
      </c>
      <c r="K1945" t="s">
        <v>457</v>
      </c>
      <c r="L1945">
        <v>0.86</v>
      </c>
      <c r="M1945" t="s">
        <v>9397</v>
      </c>
      <c r="N1945" t="s">
        <v>9398</v>
      </c>
      <c r="O1945" t="s">
        <v>9399</v>
      </c>
      <c r="P1945" t="s">
        <v>485</v>
      </c>
      <c r="Q1945" t="s">
        <v>8794</v>
      </c>
      <c r="R1945" t="s">
        <v>8795</v>
      </c>
      <c r="S1945" t="s">
        <v>8794</v>
      </c>
      <c r="T1945" t="s">
        <v>8795</v>
      </c>
    </row>
    <row r="1946" spans="1:20">
      <c r="A1946" s="241">
        <v>44001</v>
      </c>
      <c r="B1946" t="s">
        <v>9400</v>
      </c>
      <c r="C1946" t="s">
        <v>3669</v>
      </c>
      <c r="D1946" t="s">
        <v>5481</v>
      </c>
      <c r="E1946" t="s">
        <v>679</v>
      </c>
      <c r="F1946" t="s">
        <v>897</v>
      </c>
      <c r="G1946" t="s">
        <v>1500</v>
      </c>
      <c r="H1946" t="s">
        <v>335</v>
      </c>
      <c r="I1946" t="s">
        <v>1859</v>
      </c>
      <c r="J1946" t="s">
        <v>377</v>
      </c>
      <c r="K1946" t="s">
        <v>7035</v>
      </c>
      <c r="L1946">
        <v>0.86</v>
      </c>
      <c r="M1946" t="s">
        <v>9401</v>
      </c>
      <c r="N1946" t="s">
        <v>9402</v>
      </c>
      <c r="O1946" t="s">
        <v>9403</v>
      </c>
      <c r="P1946" t="s">
        <v>485</v>
      </c>
      <c r="Q1946" t="s">
        <v>8794</v>
      </c>
      <c r="R1946" t="s">
        <v>8795</v>
      </c>
      <c r="S1946" t="s">
        <v>8794</v>
      </c>
      <c r="T1946" t="s">
        <v>8795</v>
      </c>
    </row>
    <row r="1947" spans="1:20">
      <c r="A1947" s="241">
        <v>44001</v>
      </c>
      <c r="B1947" t="s">
        <v>9404</v>
      </c>
      <c r="C1947" t="s">
        <v>3669</v>
      </c>
      <c r="D1947" t="s">
        <v>262</v>
      </c>
      <c r="E1947" t="s">
        <v>625</v>
      </c>
      <c r="F1947" t="s">
        <v>435</v>
      </c>
      <c r="G1947" t="s">
        <v>1483</v>
      </c>
      <c r="H1947" t="s">
        <v>1255</v>
      </c>
      <c r="I1947" t="s">
        <v>882</v>
      </c>
      <c r="J1947" t="s">
        <v>358</v>
      </c>
      <c r="K1947" t="s">
        <v>408</v>
      </c>
      <c r="L1947">
        <v>0.86</v>
      </c>
      <c r="M1947" t="s">
        <v>9405</v>
      </c>
      <c r="N1947" t="s">
        <v>9406</v>
      </c>
      <c r="O1947" t="s">
        <v>9407</v>
      </c>
      <c r="P1947" t="s">
        <v>485</v>
      </c>
      <c r="Q1947" t="s">
        <v>8794</v>
      </c>
      <c r="R1947" t="s">
        <v>8795</v>
      </c>
      <c r="S1947" t="s">
        <v>8794</v>
      </c>
      <c r="T1947" t="s">
        <v>8795</v>
      </c>
    </row>
    <row r="1948" spans="1:20">
      <c r="A1948" s="241">
        <v>44001</v>
      </c>
      <c r="B1948" t="s">
        <v>9408</v>
      </c>
      <c r="C1948" t="s">
        <v>1367</v>
      </c>
      <c r="D1948" t="s">
        <v>1986</v>
      </c>
      <c r="E1948" t="s">
        <v>1139</v>
      </c>
      <c r="F1948" t="s">
        <v>897</v>
      </c>
      <c r="G1948" t="s">
        <v>365</v>
      </c>
      <c r="H1948" t="s">
        <v>566</v>
      </c>
      <c r="I1948" t="s">
        <v>656</v>
      </c>
      <c r="J1948" t="s">
        <v>387</v>
      </c>
      <c r="K1948" t="s">
        <v>7035</v>
      </c>
      <c r="L1948">
        <v>0.86</v>
      </c>
      <c r="M1948" t="s">
        <v>9409</v>
      </c>
      <c r="N1948" t="s">
        <v>9410</v>
      </c>
      <c r="O1948" t="s">
        <v>9411</v>
      </c>
      <c r="P1948" t="s">
        <v>485</v>
      </c>
      <c r="Q1948" t="s">
        <v>8794</v>
      </c>
      <c r="R1948" t="s">
        <v>8795</v>
      </c>
      <c r="S1948" t="s">
        <v>8794</v>
      </c>
      <c r="T1948" t="s">
        <v>8795</v>
      </c>
    </row>
    <row r="1949" spans="1:20">
      <c r="A1949" s="241">
        <v>44001</v>
      </c>
      <c r="B1949" t="s">
        <v>9412</v>
      </c>
      <c r="C1949" t="s">
        <v>1986</v>
      </c>
      <c r="D1949" t="s">
        <v>1877</v>
      </c>
      <c r="E1949" t="s">
        <v>712</v>
      </c>
      <c r="F1949" t="s">
        <v>333</v>
      </c>
      <c r="G1949" t="s">
        <v>648</v>
      </c>
      <c r="H1949" t="s">
        <v>356</v>
      </c>
      <c r="I1949" t="s">
        <v>376</v>
      </c>
      <c r="J1949" t="s">
        <v>684</v>
      </c>
      <c r="K1949" t="s">
        <v>428</v>
      </c>
      <c r="L1949">
        <v>0.86</v>
      </c>
      <c r="M1949" t="s">
        <v>9413</v>
      </c>
      <c r="N1949" t="s">
        <v>9414</v>
      </c>
      <c r="O1949" t="s">
        <v>9415</v>
      </c>
      <c r="P1949" t="s">
        <v>485</v>
      </c>
      <c r="Q1949" t="s">
        <v>8794</v>
      </c>
      <c r="R1949" t="s">
        <v>8795</v>
      </c>
      <c r="S1949" t="s">
        <v>8794</v>
      </c>
      <c r="T1949" t="s">
        <v>8795</v>
      </c>
    </row>
    <row r="1950" spans="1:20">
      <c r="A1950" s="241">
        <v>44001</v>
      </c>
      <c r="B1950" t="s">
        <v>9416</v>
      </c>
      <c r="C1950" t="s">
        <v>1196</v>
      </c>
      <c r="D1950" t="s">
        <v>1367</v>
      </c>
      <c r="E1950" t="s">
        <v>631</v>
      </c>
      <c r="F1950" t="s">
        <v>2206</v>
      </c>
      <c r="G1950" t="s">
        <v>648</v>
      </c>
      <c r="H1950" t="s">
        <v>598</v>
      </c>
      <c r="I1950" t="s">
        <v>1134</v>
      </c>
      <c r="J1950" t="s">
        <v>397</v>
      </c>
      <c r="K1950" t="s">
        <v>457</v>
      </c>
      <c r="L1950">
        <v>0.86</v>
      </c>
      <c r="M1950" t="s">
        <v>9417</v>
      </c>
      <c r="N1950" t="s">
        <v>9418</v>
      </c>
      <c r="O1950" t="s">
        <v>9419</v>
      </c>
      <c r="P1950" t="s">
        <v>485</v>
      </c>
      <c r="Q1950" t="s">
        <v>8794</v>
      </c>
      <c r="R1950" t="s">
        <v>8795</v>
      </c>
      <c r="S1950" t="s">
        <v>8794</v>
      </c>
      <c r="T1950" t="s">
        <v>8795</v>
      </c>
    </row>
    <row r="1951" spans="1:20">
      <c r="A1951" s="241">
        <v>44001</v>
      </c>
      <c r="B1951" t="s">
        <v>9420</v>
      </c>
      <c r="C1951" t="s">
        <v>1367</v>
      </c>
      <c r="D1951" t="s">
        <v>3679</v>
      </c>
      <c r="E1951" t="s">
        <v>712</v>
      </c>
      <c r="F1951" t="s">
        <v>672</v>
      </c>
      <c r="G1951" t="s">
        <v>365</v>
      </c>
      <c r="H1951" t="s">
        <v>385</v>
      </c>
      <c r="I1951" t="s">
        <v>683</v>
      </c>
      <c r="J1951" t="s">
        <v>699</v>
      </c>
      <c r="K1951" t="s">
        <v>7065</v>
      </c>
      <c r="L1951">
        <v>0.86</v>
      </c>
      <c r="M1951" t="s">
        <v>9421</v>
      </c>
      <c r="N1951" t="s">
        <v>9422</v>
      </c>
      <c r="O1951" t="s">
        <v>9423</v>
      </c>
      <c r="P1951" t="s">
        <v>485</v>
      </c>
      <c r="Q1951" t="s">
        <v>8794</v>
      </c>
      <c r="R1951" t="s">
        <v>8795</v>
      </c>
      <c r="S1951" t="s">
        <v>8794</v>
      </c>
      <c r="T1951" t="s">
        <v>8795</v>
      </c>
    </row>
    <row r="1952" spans="1:20">
      <c r="A1952" s="241">
        <v>44001</v>
      </c>
      <c r="B1952" t="s">
        <v>9424</v>
      </c>
      <c r="C1952" t="s">
        <v>1877</v>
      </c>
      <c r="D1952" t="s">
        <v>488</v>
      </c>
      <c r="E1952" t="s">
        <v>615</v>
      </c>
      <c r="F1952" t="s">
        <v>2206</v>
      </c>
      <c r="G1952" t="s">
        <v>663</v>
      </c>
      <c r="H1952" t="s">
        <v>590</v>
      </c>
      <c r="I1952" t="s">
        <v>911</v>
      </c>
      <c r="J1952" t="s">
        <v>919</v>
      </c>
      <c r="K1952" t="s">
        <v>6918</v>
      </c>
      <c r="L1952">
        <v>0.86</v>
      </c>
      <c r="M1952" t="s">
        <v>9425</v>
      </c>
      <c r="N1952" t="s">
        <v>9426</v>
      </c>
      <c r="O1952" t="s">
        <v>9427</v>
      </c>
      <c r="P1952" t="s">
        <v>485</v>
      </c>
      <c r="Q1952" t="s">
        <v>8794</v>
      </c>
      <c r="R1952" t="s">
        <v>8795</v>
      </c>
      <c r="S1952" t="s">
        <v>8794</v>
      </c>
      <c r="T1952" t="s">
        <v>8795</v>
      </c>
    </row>
    <row r="1953" spans="1:20">
      <c r="A1953" s="241">
        <v>44001</v>
      </c>
      <c r="B1953" t="s">
        <v>9428</v>
      </c>
      <c r="C1953" t="s">
        <v>3679</v>
      </c>
      <c r="D1953" t="s">
        <v>3679</v>
      </c>
      <c r="E1953" t="s">
        <v>671</v>
      </c>
      <c r="F1953" t="s">
        <v>689</v>
      </c>
      <c r="G1953" t="s">
        <v>1115</v>
      </c>
      <c r="H1953" t="s">
        <v>598</v>
      </c>
      <c r="I1953" t="s">
        <v>1579</v>
      </c>
      <c r="J1953" t="s">
        <v>1304</v>
      </c>
      <c r="K1953" t="s">
        <v>7052</v>
      </c>
      <c r="L1953">
        <v>0.86</v>
      </c>
      <c r="M1953" t="s">
        <v>9429</v>
      </c>
      <c r="N1953" t="s">
        <v>9430</v>
      </c>
      <c r="O1953" t="s">
        <v>9431</v>
      </c>
      <c r="P1953" t="s">
        <v>485</v>
      </c>
      <c r="Q1953" t="s">
        <v>8794</v>
      </c>
      <c r="R1953" t="s">
        <v>8795</v>
      </c>
      <c r="S1953" t="s">
        <v>8794</v>
      </c>
      <c r="T1953" t="s">
        <v>8795</v>
      </c>
    </row>
    <row r="1954" spans="1:20">
      <c r="A1954" s="241">
        <v>44001</v>
      </c>
      <c r="B1954" t="s">
        <v>9432</v>
      </c>
      <c r="C1954" t="s">
        <v>1176</v>
      </c>
      <c r="D1954" t="s">
        <v>475</v>
      </c>
      <c r="E1954" t="s">
        <v>1079</v>
      </c>
      <c r="F1954" t="s">
        <v>689</v>
      </c>
      <c r="G1954" t="s">
        <v>681</v>
      </c>
      <c r="H1954" t="s">
        <v>616</v>
      </c>
      <c r="I1954" t="s">
        <v>1140</v>
      </c>
      <c r="J1954" t="s">
        <v>417</v>
      </c>
      <c r="K1954" t="s">
        <v>7065</v>
      </c>
      <c r="L1954">
        <v>0.86</v>
      </c>
      <c r="M1954" t="s">
        <v>9433</v>
      </c>
      <c r="N1954" t="s">
        <v>9434</v>
      </c>
      <c r="O1954" t="s">
        <v>9435</v>
      </c>
      <c r="P1954" t="s">
        <v>485</v>
      </c>
      <c r="Q1954" t="s">
        <v>8794</v>
      </c>
      <c r="R1954" t="s">
        <v>8795</v>
      </c>
      <c r="S1954" t="s">
        <v>8794</v>
      </c>
      <c r="T1954" t="s">
        <v>8795</v>
      </c>
    </row>
    <row r="1955" spans="1:20">
      <c r="A1955" s="241">
        <v>44001</v>
      </c>
      <c r="B1955" t="s">
        <v>9436</v>
      </c>
      <c r="C1955" t="s">
        <v>2810</v>
      </c>
      <c r="D1955" t="s">
        <v>475</v>
      </c>
      <c r="E1955" t="s">
        <v>392</v>
      </c>
      <c r="F1955" t="s">
        <v>403</v>
      </c>
      <c r="G1955" t="s">
        <v>697</v>
      </c>
      <c r="H1955" t="s">
        <v>1552</v>
      </c>
      <c r="I1955" t="s">
        <v>1923</v>
      </c>
      <c r="J1955" t="s">
        <v>954</v>
      </c>
      <c r="K1955" t="s">
        <v>7052</v>
      </c>
      <c r="L1955">
        <v>0.86</v>
      </c>
      <c r="M1955" t="s">
        <v>9437</v>
      </c>
      <c r="N1955" t="s">
        <v>9438</v>
      </c>
      <c r="O1955" t="s">
        <v>9439</v>
      </c>
      <c r="P1955" t="s">
        <v>485</v>
      </c>
      <c r="Q1955" t="s">
        <v>8794</v>
      </c>
      <c r="R1955" t="s">
        <v>8795</v>
      </c>
      <c r="S1955" t="s">
        <v>8794</v>
      </c>
      <c r="T1955" t="s">
        <v>8795</v>
      </c>
    </row>
    <row r="1956" spans="1:20">
      <c r="A1956" s="241">
        <v>44001</v>
      </c>
      <c r="B1956" t="s">
        <v>9440</v>
      </c>
      <c r="C1956" t="s">
        <v>1986</v>
      </c>
      <c r="D1956" t="s">
        <v>1877</v>
      </c>
      <c r="E1956" t="s">
        <v>625</v>
      </c>
      <c r="F1956" t="s">
        <v>2227</v>
      </c>
      <c r="G1956" t="s">
        <v>2393</v>
      </c>
      <c r="H1956" t="s">
        <v>405</v>
      </c>
      <c r="I1956" t="s">
        <v>436</v>
      </c>
      <c r="J1956" t="s">
        <v>730</v>
      </c>
      <c r="K1956" t="s">
        <v>5949</v>
      </c>
      <c r="L1956">
        <v>0.86</v>
      </c>
      <c r="M1956" t="s">
        <v>9441</v>
      </c>
      <c r="N1956" t="s">
        <v>9442</v>
      </c>
      <c r="O1956" t="s">
        <v>9443</v>
      </c>
      <c r="P1956" t="s">
        <v>485</v>
      </c>
      <c r="Q1956" t="s">
        <v>8794</v>
      </c>
      <c r="R1956" t="s">
        <v>8795</v>
      </c>
      <c r="S1956" t="s">
        <v>8794</v>
      </c>
      <c r="T1956" t="s">
        <v>8795</v>
      </c>
    </row>
    <row r="1957" spans="1:20">
      <c r="A1957" s="241">
        <v>44001</v>
      </c>
      <c r="B1957" t="s">
        <v>9444</v>
      </c>
      <c r="C1957" t="s">
        <v>3136</v>
      </c>
      <c r="D1957" t="s">
        <v>1986</v>
      </c>
      <c r="E1957" t="s">
        <v>631</v>
      </c>
      <c r="F1957" t="s">
        <v>3086</v>
      </c>
      <c r="G1957" t="s">
        <v>1585</v>
      </c>
      <c r="H1957" t="s">
        <v>323</v>
      </c>
      <c r="I1957" t="s">
        <v>947</v>
      </c>
      <c r="J1957" t="s">
        <v>456</v>
      </c>
      <c r="K1957" t="s">
        <v>7052</v>
      </c>
      <c r="L1957">
        <v>0.86</v>
      </c>
      <c r="M1957" t="s">
        <v>9445</v>
      </c>
      <c r="N1957" t="s">
        <v>9446</v>
      </c>
      <c r="O1957" t="s">
        <v>9447</v>
      </c>
      <c r="P1957" t="s">
        <v>485</v>
      </c>
      <c r="Q1957" t="s">
        <v>8794</v>
      </c>
      <c r="R1957" t="s">
        <v>8795</v>
      </c>
      <c r="S1957" t="s">
        <v>8794</v>
      </c>
      <c r="T1957" t="s">
        <v>8795</v>
      </c>
    </row>
    <row r="1958" spans="1:20">
      <c r="A1958" s="241">
        <v>44001</v>
      </c>
      <c r="B1958" t="s">
        <v>9448</v>
      </c>
      <c r="C1958" t="s">
        <v>3136</v>
      </c>
      <c r="D1958" t="s">
        <v>1176</v>
      </c>
      <c r="E1958" t="s">
        <v>645</v>
      </c>
      <c r="F1958" t="s">
        <v>3086</v>
      </c>
      <c r="G1958" t="s">
        <v>1133</v>
      </c>
      <c r="H1958" t="s">
        <v>639</v>
      </c>
      <c r="I1958" t="s">
        <v>3807</v>
      </c>
      <c r="J1958" t="s">
        <v>6923</v>
      </c>
      <c r="K1958" t="s">
        <v>7083</v>
      </c>
      <c r="L1958">
        <v>0.86</v>
      </c>
      <c r="M1958" t="s">
        <v>9449</v>
      </c>
      <c r="N1958" t="s">
        <v>9450</v>
      </c>
      <c r="O1958" t="s">
        <v>9451</v>
      </c>
      <c r="P1958" t="s">
        <v>485</v>
      </c>
      <c r="Q1958" t="s">
        <v>8794</v>
      </c>
      <c r="R1958" t="s">
        <v>8795</v>
      </c>
      <c r="S1958" t="s">
        <v>8794</v>
      </c>
      <c r="T1958" t="s">
        <v>8795</v>
      </c>
    </row>
    <row r="1959" spans="1:20">
      <c r="A1959" s="241">
        <v>44001</v>
      </c>
      <c r="B1959" t="s">
        <v>9452</v>
      </c>
      <c r="C1959" t="s">
        <v>1377</v>
      </c>
      <c r="D1959" t="s">
        <v>5481</v>
      </c>
      <c r="E1959" t="s">
        <v>679</v>
      </c>
      <c r="F1959" t="s">
        <v>1156</v>
      </c>
      <c r="G1959" t="s">
        <v>434</v>
      </c>
      <c r="H1959" t="s">
        <v>1103</v>
      </c>
      <c r="I1959" t="s">
        <v>3807</v>
      </c>
      <c r="J1959" t="s">
        <v>7098</v>
      </c>
      <c r="K1959" t="s">
        <v>5949</v>
      </c>
      <c r="L1959">
        <v>0.86</v>
      </c>
      <c r="M1959" t="s">
        <v>9453</v>
      </c>
      <c r="N1959" t="s">
        <v>9454</v>
      </c>
      <c r="O1959" t="s">
        <v>9455</v>
      </c>
      <c r="P1959" t="s">
        <v>485</v>
      </c>
      <c r="Q1959" t="s">
        <v>8794</v>
      </c>
      <c r="R1959" t="s">
        <v>8795</v>
      </c>
      <c r="S1959" t="s">
        <v>8794</v>
      </c>
      <c r="T1959" t="s">
        <v>8795</v>
      </c>
    </row>
    <row r="1960" spans="1:20">
      <c r="A1960" s="241">
        <v>44001</v>
      </c>
      <c r="B1960" t="s">
        <v>9456</v>
      </c>
      <c r="C1960" t="s">
        <v>9101</v>
      </c>
      <c r="D1960" t="s">
        <v>6950</v>
      </c>
      <c r="E1960" t="s">
        <v>2810</v>
      </c>
      <c r="F1960" t="s">
        <v>1349</v>
      </c>
      <c r="G1960" t="s">
        <v>9457</v>
      </c>
      <c r="H1960" t="s">
        <v>5098</v>
      </c>
      <c r="I1960" t="s">
        <v>9458</v>
      </c>
      <c r="J1960" t="s">
        <v>741</v>
      </c>
      <c r="K1960" t="s">
        <v>4897</v>
      </c>
      <c r="L1960">
        <v>0.89</v>
      </c>
      <c r="M1960" t="s">
        <v>9459</v>
      </c>
      <c r="N1960" t="s">
        <v>9460</v>
      </c>
      <c r="O1960" t="s">
        <v>9461</v>
      </c>
      <c r="P1960" t="s">
        <v>485</v>
      </c>
      <c r="Q1960" t="s">
        <v>8794</v>
      </c>
      <c r="R1960" t="s">
        <v>8795</v>
      </c>
      <c r="S1960" t="s">
        <v>8794</v>
      </c>
      <c r="T1960" t="s">
        <v>8795</v>
      </c>
    </row>
    <row r="1961" spans="1:20">
      <c r="A1961" s="241">
        <v>44001</v>
      </c>
      <c r="B1961" t="s">
        <v>9462</v>
      </c>
      <c r="C1961" t="s">
        <v>7826</v>
      </c>
      <c r="D1961" t="s">
        <v>6942</v>
      </c>
      <c r="E1961" t="s">
        <v>2644</v>
      </c>
      <c r="F1961" t="s">
        <v>739</v>
      </c>
      <c r="G1961" t="s">
        <v>1977</v>
      </c>
      <c r="H1961" t="s">
        <v>6943</v>
      </c>
      <c r="I1961" t="s">
        <v>1360</v>
      </c>
      <c r="J1961" t="s">
        <v>9106</v>
      </c>
      <c r="K1961" t="s">
        <v>5476</v>
      </c>
      <c r="L1961">
        <v>0.89</v>
      </c>
      <c r="M1961" t="s">
        <v>9463</v>
      </c>
      <c r="N1961" t="s">
        <v>9464</v>
      </c>
      <c r="O1961" t="s">
        <v>9465</v>
      </c>
      <c r="P1961" t="s">
        <v>485</v>
      </c>
      <c r="Q1961" t="s">
        <v>8794</v>
      </c>
      <c r="R1961" t="s">
        <v>8795</v>
      </c>
      <c r="S1961" t="s">
        <v>8794</v>
      </c>
      <c r="T1961" t="s">
        <v>8795</v>
      </c>
    </row>
    <row r="1962" spans="1:20">
      <c r="A1962" s="241">
        <v>44001</v>
      </c>
      <c r="B1962" t="s">
        <v>9466</v>
      </c>
      <c r="C1962" t="s">
        <v>6912</v>
      </c>
      <c r="D1962" t="s">
        <v>7116</v>
      </c>
      <c r="E1962" t="s">
        <v>1195</v>
      </c>
      <c r="F1962" t="s">
        <v>1378</v>
      </c>
      <c r="G1962" t="s">
        <v>1656</v>
      </c>
      <c r="H1962" t="s">
        <v>9467</v>
      </c>
      <c r="I1962" t="s">
        <v>9209</v>
      </c>
      <c r="J1962" t="s">
        <v>6703</v>
      </c>
      <c r="K1962" t="s">
        <v>1362</v>
      </c>
      <c r="L1962">
        <v>0.89</v>
      </c>
      <c r="M1962" t="s">
        <v>9468</v>
      </c>
      <c r="N1962" t="s">
        <v>9469</v>
      </c>
      <c r="O1962" t="s">
        <v>9470</v>
      </c>
      <c r="P1962" t="s">
        <v>485</v>
      </c>
      <c r="Q1962" t="s">
        <v>8794</v>
      </c>
      <c r="R1962" t="s">
        <v>8795</v>
      </c>
      <c r="S1962" t="s">
        <v>8794</v>
      </c>
      <c r="T1962" t="s">
        <v>8795</v>
      </c>
    </row>
    <row r="1963" spans="1:20">
      <c r="A1963" s="241">
        <v>44001</v>
      </c>
      <c r="B1963" t="s">
        <v>9471</v>
      </c>
      <c r="C1963" t="s">
        <v>7281</v>
      </c>
      <c r="D1963" t="s">
        <v>1357</v>
      </c>
      <c r="E1963" t="s">
        <v>488</v>
      </c>
      <c r="F1963" t="s">
        <v>500</v>
      </c>
      <c r="G1963" t="s">
        <v>9472</v>
      </c>
      <c r="H1963" t="s">
        <v>4914</v>
      </c>
      <c r="I1963" t="s">
        <v>9473</v>
      </c>
      <c r="J1963" t="s">
        <v>9474</v>
      </c>
      <c r="K1963" t="s">
        <v>9475</v>
      </c>
      <c r="L1963">
        <v>0.89</v>
      </c>
      <c r="M1963" t="s">
        <v>9476</v>
      </c>
      <c r="N1963" t="s">
        <v>9477</v>
      </c>
      <c r="O1963" t="s">
        <v>9478</v>
      </c>
      <c r="P1963" t="s">
        <v>485</v>
      </c>
      <c r="Q1963" t="s">
        <v>8794</v>
      </c>
      <c r="R1963" t="s">
        <v>8795</v>
      </c>
      <c r="S1963" t="s">
        <v>8794</v>
      </c>
      <c r="T1963" t="s">
        <v>8795</v>
      </c>
    </row>
    <row r="1964" spans="1:20">
      <c r="A1964" s="241">
        <v>44001</v>
      </c>
      <c r="B1964" t="s">
        <v>9479</v>
      </c>
      <c r="C1964" t="s">
        <v>1666</v>
      </c>
      <c r="D1964" t="s">
        <v>2810</v>
      </c>
      <c r="E1964" t="s">
        <v>679</v>
      </c>
      <c r="F1964" t="s">
        <v>1746</v>
      </c>
      <c r="G1964" t="s">
        <v>2653</v>
      </c>
      <c r="H1964" t="s">
        <v>9480</v>
      </c>
      <c r="I1964" t="s">
        <v>4377</v>
      </c>
      <c r="J1964" t="s">
        <v>1681</v>
      </c>
      <c r="K1964" t="s">
        <v>571</v>
      </c>
      <c r="L1964">
        <v>0.87</v>
      </c>
      <c r="M1964" t="s">
        <v>9481</v>
      </c>
      <c r="N1964" t="s">
        <v>9482</v>
      </c>
      <c r="O1964" t="s">
        <v>9483</v>
      </c>
      <c r="P1964" t="s">
        <v>485</v>
      </c>
      <c r="Q1964" t="s">
        <v>8794</v>
      </c>
      <c r="R1964" t="s">
        <v>8795</v>
      </c>
      <c r="S1964" t="s">
        <v>8794</v>
      </c>
      <c r="T1964" t="s">
        <v>8795</v>
      </c>
    </row>
    <row r="1965" spans="1:20">
      <c r="A1965" s="241">
        <v>44001</v>
      </c>
      <c r="B1965" t="s">
        <v>9484</v>
      </c>
      <c r="C1965" t="s">
        <v>1377</v>
      </c>
      <c r="D1965" t="s">
        <v>488</v>
      </c>
      <c r="E1965" t="s">
        <v>274</v>
      </c>
      <c r="F1965" t="s">
        <v>2010</v>
      </c>
      <c r="G1965" t="s">
        <v>1398</v>
      </c>
      <c r="H1965" t="s">
        <v>3161</v>
      </c>
      <c r="I1965" t="s">
        <v>793</v>
      </c>
      <c r="J1965" t="s">
        <v>1428</v>
      </c>
      <c r="K1965" t="s">
        <v>268</v>
      </c>
      <c r="L1965">
        <v>0.87</v>
      </c>
      <c r="M1965" t="s">
        <v>9485</v>
      </c>
      <c r="N1965" t="s">
        <v>9486</v>
      </c>
      <c r="O1965" t="s">
        <v>9487</v>
      </c>
      <c r="P1965" t="s">
        <v>485</v>
      </c>
      <c r="Q1965" t="s">
        <v>8794</v>
      </c>
      <c r="R1965" t="s">
        <v>8795</v>
      </c>
      <c r="S1965" t="s">
        <v>8794</v>
      </c>
      <c r="T1965" t="s">
        <v>8795</v>
      </c>
    </row>
    <row r="1966" spans="1:20">
      <c r="A1966" s="241">
        <v>44001</v>
      </c>
      <c r="B1966" t="s">
        <v>9488</v>
      </c>
      <c r="C1966" t="s">
        <v>2821</v>
      </c>
      <c r="D1966" t="s">
        <v>1986</v>
      </c>
      <c r="E1966" t="s">
        <v>423</v>
      </c>
      <c r="F1966" t="s">
        <v>539</v>
      </c>
      <c r="G1966" t="s">
        <v>1398</v>
      </c>
      <c r="H1966" t="s">
        <v>512</v>
      </c>
      <c r="I1966" t="s">
        <v>1727</v>
      </c>
      <c r="J1966" t="s">
        <v>1240</v>
      </c>
      <c r="K1966" t="s">
        <v>579</v>
      </c>
      <c r="L1966">
        <v>0.87</v>
      </c>
      <c r="M1966" t="s">
        <v>9489</v>
      </c>
      <c r="N1966" t="s">
        <v>9490</v>
      </c>
      <c r="O1966" t="s">
        <v>9491</v>
      </c>
      <c r="P1966" t="s">
        <v>485</v>
      </c>
      <c r="Q1966" t="s">
        <v>8794</v>
      </c>
      <c r="R1966" t="s">
        <v>8795</v>
      </c>
      <c r="S1966" t="s">
        <v>8794</v>
      </c>
      <c r="T1966" t="s">
        <v>8795</v>
      </c>
    </row>
    <row r="1967" spans="1:20">
      <c r="A1967" s="241">
        <v>44001</v>
      </c>
      <c r="B1967" t="s">
        <v>9492</v>
      </c>
      <c r="C1967" t="s">
        <v>1176</v>
      </c>
      <c r="D1967" t="s">
        <v>3679</v>
      </c>
      <c r="E1967" t="s">
        <v>679</v>
      </c>
      <c r="F1967" t="s">
        <v>307</v>
      </c>
      <c r="G1967" t="s">
        <v>511</v>
      </c>
      <c r="H1967" t="s">
        <v>2300</v>
      </c>
      <c r="I1967" t="s">
        <v>532</v>
      </c>
      <c r="J1967" t="s">
        <v>1240</v>
      </c>
      <c r="K1967" t="s">
        <v>338</v>
      </c>
      <c r="L1967">
        <v>0.87</v>
      </c>
      <c r="M1967" t="s">
        <v>9493</v>
      </c>
      <c r="N1967" t="s">
        <v>9494</v>
      </c>
      <c r="O1967" t="s">
        <v>9495</v>
      </c>
      <c r="P1967" t="s">
        <v>485</v>
      </c>
      <c r="Q1967" t="s">
        <v>8794</v>
      </c>
      <c r="R1967" t="s">
        <v>8795</v>
      </c>
      <c r="S1967" t="s">
        <v>8794</v>
      </c>
      <c r="T1967" t="s">
        <v>8795</v>
      </c>
    </row>
    <row r="1968" spans="1:20">
      <c r="A1968" s="241">
        <v>44001</v>
      </c>
      <c r="B1968" t="s">
        <v>9496</v>
      </c>
      <c r="C1968" t="s">
        <v>2821</v>
      </c>
      <c r="D1968" t="s">
        <v>3679</v>
      </c>
      <c r="E1968" t="s">
        <v>294</v>
      </c>
      <c r="F1968" t="s">
        <v>600</v>
      </c>
      <c r="G1968" t="s">
        <v>2043</v>
      </c>
      <c r="H1968" t="s">
        <v>787</v>
      </c>
      <c r="I1968" t="s">
        <v>1427</v>
      </c>
      <c r="J1968" t="s">
        <v>807</v>
      </c>
      <c r="K1968" t="s">
        <v>327</v>
      </c>
      <c r="L1968">
        <v>0.87</v>
      </c>
      <c r="M1968" t="s">
        <v>9497</v>
      </c>
      <c r="N1968" t="s">
        <v>9498</v>
      </c>
      <c r="O1968" t="s">
        <v>9499</v>
      </c>
      <c r="P1968" t="s">
        <v>485</v>
      </c>
      <c r="Q1968" t="s">
        <v>8794</v>
      </c>
      <c r="R1968" t="s">
        <v>8795</v>
      </c>
      <c r="S1968" t="s">
        <v>8794</v>
      </c>
      <c r="T1968" t="s">
        <v>8795</v>
      </c>
    </row>
    <row r="1969" spans="1:20">
      <c r="A1969" s="241">
        <v>44001</v>
      </c>
      <c r="B1969" t="s">
        <v>9500</v>
      </c>
      <c r="C1969" t="s">
        <v>2810</v>
      </c>
      <c r="D1969" t="s">
        <v>1377</v>
      </c>
      <c r="E1969" t="s">
        <v>645</v>
      </c>
      <c r="F1969" t="s">
        <v>1255</v>
      </c>
      <c r="G1969" t="s">
        <v>792</v>
      </c>
      <c r="H1969" t="s">
        <v>549</v>
      </c>
      <c r="I1969" t="s">
        <v>242</v>
      </c>
      <c r="J1969" t="s">
        <v>1770</v>
      </c>
      <c r="K1969" t="s">
        <v>338</v>
      </c>
      <c r="L1969">
        <v>0.87</v>
      </c>
      <c r="M1969" t="s">
        <v>9501</v>
      </c>
      <c r="N1969" t="s">
        <v>9502</v>
      </c>
      <c r="O1969" t="s">
        <v>9503</v>
      </c>
      <c r="P1969" t="s">
        <v>485</v>
      </c>
      <c r="Q1969" t="s">
        <v>8794</v>
      </c>
      <c r="R1969" t="s">
        <v>8795</v>
      </c>
      <c r="S1969" t="s">
        <v>8794</v>
      </c>
      <c r="T1969" t="s">
        <v>8795</v>
      </c>
    </row>
    <row r="1970" spans="1:20">
      <c r="A1970" s="241">
        <v>44001</v>
      </c>
      <c r="B1970" t="s">
        <v>9504</v>
      </c>
      <c r="C1970" t="s">
        <v>3831</v>
      </c>
      <c r="D1970" t="s">
        <v>1367</v>
      </c>
      <c r="E1970" t="s">
        <v>1139</v>
      </c>
      <c r="F1970" t="s">
        <v>1255</v>
      </c>
      <c r="G1970" t="s">
        <v>3160</v>
      </c>
      <c r="H1970" t="s">
        <v>1213</v>
      </c>
      <c r="I1970" t="s">
        <v>1747</v>
      </c>
      <c r="J1970" t="s">
        <v>1245</v>
      </c>
      <c r="K1970" t="s">
        <v>280</v>
      </c>
      <c r="L1970">
        <v>0.87</v>
      </c>
      <c r="M1970" t="s">
        <v>9505</v>
      </c>
      <c r="N1970" t="s">
        <v>9506</v>
      </c>
      <c r="O1970" t="s">
        <v>9507</v>
      </c>
      <c r="P1970" t="s">
        <v>485</v>
      </c>
      <c r="Q1970" t="s">
        <v>8794</v>
      </c>
      <c r="R1970" t="s">
        <v>8795</v>
      </c>
      <c r="S1970" t="s">
        <v>8794</v>
      </c>
      <c r="T1970" t="s">
        <v>8795</v>
      </c>
    </row>
    <row r="1971" spans="1:20">
      <c r="A1971" s="241">
        <v>44001</v>
      </c>
      <c r="B1971" t="s">
        <v>9508</v>
      </c>
      <c r="C1971" t="s">
        <v>5481</v>
      </c>
      <c r="D1971" t="s">
        <v>3679</v>
      </c>
      <c r="E1971" t="s">
        <v>261</v>
      </c>
      <c r="F1971" t="s">
        <v>881</v>
      </c>
      <c r="G1971" t="s">
        <v>540</v>
      </c>
      <c r="H1971" t="s">
        <v>815</v>
      </c>
      <c r="I1971" t="s">
        <v>1250</v>
      </c>
      <c r="J1971" t="s">
        <v>2330</v>
      </c>
      <c r="K1971" t="s">
        <v>349</v>
      </c>
      <c r="L1971">
        <v>0.87</v>
      </c>
      <c r="M1971" t="s">
        <v>9509</v>
      </c>
      <c r="N1971" t="s">
        <v>9510</v>
      </c>
      <c r="O1971" t="s">
        <v>9511</v>
      </c>
      <c r="P1971" t="s">
        <v>485</v>
      </c>
      <c r="Q1971" t="s">
        <v>8794</v>
      </c>
      <c r="R1971" t="s">
        <v>8795</v>
      </c>
      <c r="S1971" t="s">
        <v>8794</v>
      </c>
      <c r="T1971" t="s">
        <v>8795</v>
      </c>
    </row>
    <row r="1972" spans="1:20">
      <c r="A1972" s="241">
        <v>44001</v>
      </c>
      <c r="B1972" t="s">
        <v>9512</v>
      </c>
      <c r="C1972" t="s">
        <v>3669</v>
      </c>
      <c r="D1972" t="s">
        <v>1196</v>
      </c>
      <c r="E1972" t="s">
        <v>645</v>
      </c>
      <c r="F1972" t="s">
        <v>1262</v>
      </c>
      <c r="G1972" t="s">
        <v>1239</v>
      </c>
      <c r="H1972" t="s">
        <v>799</v>
      </c>
      <c r="I1972" t="s">
        <v>2329</v>
      </c>
      <c r="J1972" t="s">
        <v>1063</v>
      </c>
      <c r="K1972" t="s">
        <v>666</v>
      </c>
      <c r="L1972">
        <v>0.87</v>
      </c>
      <c r="M1972" t="s">
        <v>9513</v>
      </c>
      <c r="N1972" t="s">
        <v>9514</v>
      </c>
      <c r="O1972" t="s">
        <v>9515</v>
      </c>
      <c r="P1972" t="s">
        <v>485</v>
      </c>
      <c r="Q1972" t="s">
        <v>8794</v>
      </c>
      <c r="R1972" t="s">
        <v>8795</v>
      </c>
      <c r="S1972" t="s">
        <v>8794</v>
      </c>
      <c r="T1972" t="s">
        <v>8795</v>
      </c>
    </row>
    <row r="1973" spans="1:20">
      <c r="A1973" s="241">
        <v>44001</v>
      </c>
      <c r="B1973" t="s">
        <v>9516</v>
      </c>
      <c r="C1973" t="s">
        <v>1176</v>
      </c>
      <c r="D1973" t="s">
        <v>1986</v>
      </c>
      <c r="E1973" t="s">
        <v>1079</v>
      </c>
      <c r="F1973" t="s">
        <v>385</v>
      </c>
      <c r="G1973" t="s">
        <v>2075</v>
      </c>
      <c r="H1973" t="s">
        <v>2324</v>
      </c>
      <c r="I1973" t="s">
        <v>266</v>
      </c>
      <c r="J1973" t="s">
        <v>279</v>
      </c>
      <c r="K1973" t="s">
        <v>327</v>
      </c>
      <c r="L1973">
        <v>0.87</v>
      </c>
      <c r="M1973" t="s">
        <v>9517</v>
      </c>
      <c r="N1973" t="s">
        <v>9518</v>
      </c>
      <c r="O1973" t="s">
        <v>9519</v>
      </c>
      <c r="P1973" t="s">
        <v>485</v>
      </c>
      <c r="Q1973" t="s">
        <v>8794</v>
      </c>
      <c r="R1973" t="s">
        <v>8795</v>
      </c>
      <c r="S1973" t="s">
        <v>8794</v>
      </c>
      <c r="T1973" t="s">
        <v>8795</v>
      </c>
    </row>
    <row r="1974" spans="1:20">
      <c r="A1974" s="241">
        <v>44001</v>
      </c>
      <c r="B1974" t="s">
        <v>9520</v>
      </c>
      <c r="C1974" t="s">
        <v>475</v>
      </c>
      <c r="D1974" t="s">
        <v>488</v>
      </c>
      <c r="E1974" t="s">
        <v>625</v>
      </c>
      <c r="F1974" t="s">
        <v>598</v>
      </c>
      <c r="G1974" t="s">
        <v>1447</v>
      </c>
      <c r="H1974" t="s">
        <v>287</v>
      </c>
      <c r="I1974" t="s">
        <v>1468</v>
      </c>
      <c r="J1974" t="s">
        <v>601</v>
      </c>
      <c r="K1974" t="s">
        <v>359</v>
      </c>
      <c r="L1974">
        <v>0.87</v>
      </c>
      <c r="M1974" t="s">
        <v>9521</v>
      </c>
      <c r="N1974" t="s">
        <v>9522</v>
      </c>
      <c r="O1974" t="s">
        <v>9523</v>
      </c>
      <c r="P1974" t="s">
        <v>485</v>
      </c>
      <c r="Q1974" t="s">
        <v>8794</v>
      </c>
      <c r="R1974" t="s">
        <v>8795</v>
      </c>
      <c r="S1974" t="s">
        <v>8794</v>
      </c>
      <c r="T1974" t="s">
        <v>8795</v>
      </c>
    </row>
    <row r="1975" spans="1:20">
      <c r="A1975" s="241">
        <v>44001</v>
      </c>
      <c r="B1975" t="s">
        <v>9524</v>
      </c>
      <c r="C1975" t="s">
        <v>1367</v>
      </c>
      <c r="D1975" t="s">
        <v>488</v>
      </c>
      <c r="E1975" t="s">
        <v>2478</v>
      </c>
      <c r="F1975" t="s">
        <v>1080</v>
      </c>
      <c r="G1975" t="s">
        <v>1044</v>
      </c>
      <c r="H1975" t="s">
        <v>307</v>
      </c>
      <c r="I1975" t="s">
        <v>849</v>
      </c>
      <c r="J1975" t="s">
        <v>1484</v>
      </c>
      <c r="K1975" t="s">
        <v>369</v>
      </c>
      <c r="L1975">
        <v>0.87</v>
      </c>
      <c r="M1975" t="s">
        <v>9525</v>
      </c>
      <c r="N1975" t="s">
        <v>9526</v>
      </c>
      <c r="O1975" t="s">
        <v>9527</v>
      </c>
      <c r="P1975" t="s">
        <v>485</v>
      </c>
      <c r="Q1975" t="s">
        <v>8794</v>
      </c>
      <c r="R1975" t="s">
        <v>8795</v>
      </c>
      <c r="S1975" t="s">
        <v>8794</v>
      </c>
      <c r="T1975" t="s">
        <v>8795</v>
      </c>
    </row>
    <row r="1976" spans="1:20">
      <c r="A1976" s="241">
        <v>44001</v>
      </c>
      <c r="B1976" t="s">
        <v>9528</v>
      </c>
      <c r="C1976" t="s">
        <v>2626</v>
      </c>
      <c r="D1976" t="s">
        <v>2821</v>
      </c>
      <c r="E1976" t="s">
        <v>712</v>
      </c>
      <c r="F1976" t="s">
        <v>395</v>
      </c>
      <c r="G1976" t="s">
        <v>1044</v>
      </c>
      <c r="H1976" t="s">
        <v>1017</v>
      </c>
      <c r="I1976" t="s">
        <v>297</v>
      </c>
      <c r="J1976" t="s">
        <v>620</v>
      </c>
      <c r="K1976" t="s">
        <v>418</v>
      </c>
      <c r="L1976">
        <v>0.87</v>
      </c>
      <c r="M1976" t="s">
        <v>9529</v>
      </c>
      <c r="N1976" t="s">
        <v>9530</v>
      </c>
      <c r="O1976" t="s">
        <v>9531</v>
      </c>
      <c r="P1976" t="s">
        <v>485</v>
      </c>
      <c r="Q1976" t="s">
        <v>8794</v>
      </c>
      <c r="R1976" t="s">
        <v>8795</v>
      </c>
      <c r="S1976" t="s">
        <v>8794</v>
      </c>
      <c r="T1976" t="s">
        <v>8795</v>
      </c>
    </row>
    <row r="1977" spans="1:20">
      <c r="A1977" s="241">
        <v>44001</v>
      </c>
      <c r="B1977" t="s">
        <v>9532</v>
      </c>
      <c r="C1977" t="s">
        <v>1367</v>
      </c>
      <c r="D1977" t="s">
        <v>223</v>
      </c>
      <c r="E1977" t="s">
        <v>679</v>
      </c>
      <c r="F1977" t="s">
        <v>855</v>
      </c>
      <c r="G1977" t="s">
        <v>1775</v>
      </c>
      <c r="H1977" t="s">
        <v>1057</v>
      </c>
      <c r="I1977" t="s">
        <v>308</v>
      </c>
      <c r="J1977" t="s">
        <v>1484</v>
      </c>
      <c r="K1977" t="s">
        <v>666</v>
      </c>
      <c r="L1977">
        <v>0.86</v>
      </c>
      <c r="M1977" t="s">
        <v>9533</v>
      </c>
      <c r="N1977" t="s">
        <v>9534</v>
      </c>
      <c r="O1977" t="s">
        <v>9535</v>
      </c>
      <c r="P1977" t="s">
        <v>485</v>
      </c>
      <c r="Q1977" t="s">
        <v>8794</v>
      </c>
      <c r="R1977" t="s">
        <v>8795</v>
      </c>
      <c r="S1977" t="s">
        <v>8794</v>
      </c>
      <c r="T1977" t="s">
        <v>8795</v>
      </c>
    </row>
    <row r="1978" spans="1:20">
      <c r="A1978" s="241">
        <v>44001</v>
      </c>
      <c r="B1978" t="s">
        <v>9536</v>
      </c>
      <c r="C1978" t="s">
        <v>1176</v>
      </c>
      <c r="D1978" t="s">
        <v>262</v>
      </c>
      <c r="E1978" t="s">
        <v>614</v>
      </c>
      <c r="F1978" t="s">
        <v>926</v>
      </c>
      <c r="G1978" t="s">
        <v>558</v>
      </c>
      <c r="H1978" t="s">
        <v>3554</v>
      </c>
      <c r="I1978" t="s">
        <v>308</v>
      </c>
      <c r="J1978" t="s">
        <v>620</v>
      </c>
      <c r="K1978" t="s">
        <v>359</v>
      </c>
      <c r="L1978">
        <v>0.86</v>
      </c>
      <c r="M1978" t="s">
        <v>9537</v>
      </c>
      <c r="N1978" t="s">
        <v>9538</v>
      </c>
      <c r="O1978" t="s">
        <v>9539</v>
      </c>
      <c r="P1978" t="s">
        <v>485</v>
      </c>
      <c r="Q1978" t="s">
        <v>8794</v>
      </c>
      <c r="R1978" t="s">
        <v>8795</v>
      </c>
      <c r="S1978" t="s">
        <v>8794</v>
      </c>
      <c r="T1978" t="s">
        <v>8795</v>
      </c>
    </row>
    <row r="1979" spans="1:20">
      <c r="A1979" s="241">
        <v>44001</v>
      </c>
      <c r="B1979" t="s">
        <v>9540</v>
      </c>
      <c r="C1979" t="s">
        <v>5481</v>
      </c>
      <c r="D1979" t="s">
        <v>1877</v>
      </c>
      <c r="E1979" t="s">
        <v>625</v>
      </c>
      <c r="F1979" t="s">
        <v>1109</v>
      </c>
      <c r="G1979" t="s">
        <v>567</v>
      </c>
      <c r="H1979" t="s">
        <v>862</v>
      </c>
      <c r="I1979" t="s">
        <v>1087</v>
      </c>
      <c r="J1979" t="s">
        <v>1495</v>
      </c>
      <c r="K1979" t="s">
        <v>700</v>
      </c>
      <c r="L1979">
        <v>0.86</v>
      </c>
      <c r="M1979" t="s">
        <v>9541</v>
      </c>
      <c r="N1979" t="s">
        <v>9542</v>
      </c>
      <c r="O1979" t="s">
        <v>9543</v>
      </c>
      <c r="P1979" t="s">
        <v>485</v>
      </c>
      <c r="Q1979" t="s">
        <v>8794</v>
      </c>
      <c r="R1979" t="s">
        <v>8795</v>
      </c>
      <c r="S1979" t="s">
        <v>8794</v>
      </c>
      <c r="T1979" t="s">
        <v>8795</v>
      </c>
    </row>
    <row r="1980" spans="1:20">
      <c r="A1980" s="241">
        <v>44001</v>
      </c>
      <c r="B1980" t="s">
        <v>9544</v>
      </c>
      <c r="C1980" t="s">
        <v>488</v>
      </c>
      <c r="D1980" t="s">
        <v>1196</v>
      </c>
      <c r="E1980" t="s">
        <v>671</v>
      </c>
      <c r="F1980" t="s">
        <v>405</v>
      </c>
      <c r="G1980" t="s">
        <v>836</v>
      </c>
      <c r="H1980" t="s">
        <v>316</v>
      </c>
      <c r="I1980" t="s">
        <v>1501</v>
      </c>
      <c r="J1980" t="s">
        <v>326</v>
      </c>
      <c r="K1980" t="s">
        <v>369</v>
      </c>
      <c r="L1980">
        <v>0.86</v>
      </c>
      <c r="M1980" t="s">
        <v>9545</v>
      </c>
      <c r="N1980" t="s">
        <v>9546</v>
      </c>
      <c r="O1980" t="s">
        <v>9547</v>
      </c>
      <c r="P1980" t="s">
        <v>485</v>
      </c>
      <c r="Q1980" t="s">
        <v>8794</v>
      </c>
      <c r="R1980" t="s">
        <v>8795</v>
      </c>
      <c r="S1980" t="s">
        <v>8794</v>
      </c>
      <c r="T1980" t="s">
        <v>8795</v>
      </c>
    </row>
    <row r="1981" spans="1:20">
      <c r="A1981" s="241">
        <v>44001</v>
      </c>
      <c r="B1981" t="s">
        <v>9548</v>
      </c>
      <c r="C1981" t="s">
        <v>488</v>
      </c>
      <c r="D1981" t="s">
        <v>1877</v>
      </c>
      <c r="E1981" t="s">
        <v>631</v>
      </c>
      <c r="F1981" t="s">
        <v>633</v>
      </c>
      <c r="G1981" t="s">
        <v>599</v>
      </c>
      <c r="H1981" t="s">
        <v>316</v>
      </c>
      <c r="I1981" t="s">
        <v>325</v>
      </c>
      <c r="J1981" t="s">
        <v>337</v>
      </c>
      <c r="K1981" t="s">
        <v>700</v>
      </c>
      <c r="L1981">
        <v>0.86</v>
      </c>
      <c r="M1981" t="s">
        <v>9549</v>
      </c>
      <c r="N1981" t="s">
        <v>9550</v>
      </c>
      <c r="O1981" t="s">
        <v>9551</v>
      </c>
      <c r="P1981" t="s">
        <v>485</v>
      </c>
      <c r="Q1981" t="s">
        <v>8794</v>
      </c>
      <c r="R1981" t="s">
        <v>8795</v>
      </c>
      <c r="S1981" t="s">
        <v>8794</v>
      </c>
      <c r="T1981" t="s">
        <v>8795</v>
      </c>
    </row>
    <row r="1982" spans="1:20">
      <c r="A1982" s="241">
        <v>44001</v>
      </c>
      <c r="B1982" t="s">
        <v>9552</v>
      </c>
      <c r="C1982" t="s">
        <v>1986</v>
      </c>
      <c r="D1982" t="s">
        <v>488</v>
      </c>
      <c r="E1982" t="s">
        <v>625</v>
      </c>
      <c r="F1982" t="s">
        <v>354</v>
      </c>
      <c r="G1982" t="s">
        <v>1263</v>
      </c>
      <c r="H1982" t="s">
        <v>239</v>
      </c>
      <c r="I1982" t="s">
        <v>347</v>
      </c>
      <c r="J1982" t="s">
        <v>358</v>
      </c>
      <c r="K1982" t="s">
        <v>722</v>
      </c>
      <c r="L1982">
        <v>0.86</v>
      </c>
      <c r="M1982" t="s">
        <v>9553</v>
      </c>
      <c r="N1982" t="s">
        <v>9554</v>
      </c>
      <c r="O1982" t="s">
        <v>9555</v>
      </c>
      <c r="P1982" t="s">
        <v>485</v>
      </c>
      <c r="Q1982" t="s">
        <v>8794</v>
      </c>
      <c r="R1982" t="s">
        <v>8795</v>
      </c>
      <c r="S1982" t="s">
        <v>8794</v>
      </c>
      <c r="T1982" t="s">
        <v>8795</v>
      </c>
    </row>
    <row r="1983" spans="1:20">
      <c r="A1983" s="241">
        <v>44001</v>
      </c>
      <c r="B1983" t="s">
        <v>9556</v>
      </c>
      <c r="C1983" t="s">
        <v>1176</v>
      </c>
      <c r="D1983" t="s">
        <v>475</v>
      </c>
      <c r="E1983" t="s">
        <v>645</v>
      </c>
      <c r="F1983" t="s">
        <v>1109</v>
      </c>
      <c r="G1983" t="s">
        <v>334</v>
      </c>
      <c r="H1983" t="s">
        <v>226</v>
      </c>
      <c r="I1983" t="s">
        <v>347</v>
      </c>
      <c r="J1983" t="s">
        <v>1868</v>
      </c>
      <c r="K1983" t="s">
        <v>428</v>
      </c>
      <c r="L1983">
        <v>0.86</v>
      </c>
      <c r="M1983" t="s">
        <v>9557</v>
      </c>
      <c r="N1983" t="s">
        <v>9558</v>
      </c>
      <c r="O1983" t="s">
        <v>9559</v>
      </c>
      <c r="P1983" t="s">
        <v>485</v>
      </c>
      <c r="Q1983" t="s">
        <v>8794</v>
      </c>
      <c r="R1983" t="s">
        <v>8795</v>
      </c>
      <c r="S1983" t="s">
        <v>8794</v>
      </c>
      <c r="T1983" t="s">
        <v>8795</v>
      </c>
    </row>
    <row r="1984" spans="1:20">
      <c r="A1984" s="241">
        <v>44001</v>
      </c>
      <c r="B1984" t="s">
        <v>9560</v>
      </c>
      <c r="C1984" t="s">
        <v>1377</v>
      </c>
      <c r="D1984" t="s">
        <v>262</v>
      </c>
      <c r="E1984" t="s">
        <v>645</v>
      </c>
      <c r="F1984" t="s">
        <v>333</v>
      </c>
      <c r="G1984" t="s">
        <v>315</v>
      </c>
      <c r="H1984" t="s">
        <v>584</v>
      </c>
      <c r="I1984" t="s">
        <v>888</v>
      </c>
      <c r="J1984" t="s">
        <v>657</v>
      </c>
      <c r="K1984" t="s">
        <v>418</v>
      </c>
      <c r="L1984">
        <v>0.86</v>
      </c>
      <c r="M1984" t="s">
        <v>9561</v>
      </c>
      <c r="N1984" t="s">
        <v>9562</v>
      </c>
      <c r="O1984" t="s">
        <v>9563</v>
      </c>
      <c r="P1984" t="s">
        <v>485</v>
      </c>
      <c r="Q1984" t="s">
        <v>8794</v>
      </c>
      <c r="R1984" t="s">
        <v>8795</v>
      </c>
      <c r="S1984" t="s">
        <v>8794</v>
      </c>
      <c r="T1984" t="s">
        <v>8795</v>
      </c>
    </row>
    <row r="1985" spans="1:20">
      <c r="A1985" s="241">
        <v>44001</v>
      </c>
      <c r="B1985" t="s">
        <v>9564</v>
      </c>
      <c r="C1985" t="s">
        <v>2626</v>
      </c>
      <c r="D1985" t="s">
        <v>1196</v>
      </c>
      <c r="E1985" t="s">
        <v>392</v>
      </c>
      <c r="F1985" t="s">
        <v>445</v>
      </c>
      <c r="G1985" t="s">
        <v>1081</v>
      </c>
      <c r="H1985" t="s">
        <v>584</v>
      </c>
      <c r="I1985" t="s">
        <v>888</v>
      </c>
      <c r="J1985" t="s">
        <v>657</v>
      </c>
      <c r="K1985" t="s">
        <v>418</v>
      </c>
      <c r="L1985">
        <v>0.86</v>
      </c>
      <c r="M1985" t="s">
        <v>9565</v>
      </c>
      <c r="N1985" t="s">
        <v>9566</v>
      </c>
      <c r="O1985" t="s">
        <v>9567</v>
      </c>
      <c r="P1985" t="s">
        <v>485</v>
      </c>
      <c r="Q1985" t="s">
        <v>8794</v>
      </c>
      <c r="R1985" t="s">
        <v>8795</v>
      </c>
      <c r="S1985" t="s">
        <v>8794</v>
      </c>
      <c r="T1985" t="s">
        <v>8795</v>
      </c>
    </row>
    <row r="1986" spans="1:20">
      <c r="A1986" s="241">
        <v>44001</v>
      </c>
      <c r="B1986" t="s">
        <v>9568</v>
      </c>
      <c r="C1986" t="s">
        <v>488</v>
      </c>
      <c r="D1986" t="s">
        <v>1877</v>
      </c>
      <c r="E1986" t="s">
        <v>631</v>
      </c>
      <c r="F1986" t="s">
        <v>383</v>
      </c>
      <c r="G1986" t="s">
        <v>324</v>
      </c>
      <c r="H1986" t="s">
        <v>576</v>
      </c>
      <c r="I1986" t="s">
        <v>367</v>
      </c>
      <c r="J1986" t="s">
        <v>387</v>
      </c>
      <c r="K1986" t="s">
        <v>448</v>
      </c>
      <c r="L1986">
        <v>0.86</v>
      </c>
      <c r="M1986" t="s">
        <v>9569</v>
      </c>
      <c r="N1986" t="s">
        <v>9570</v>
      </c>
      <c r="O1986" t="s">
        <v>9571</v>
      </c>
      <c r="P1986" t="s">
        <v>485</v>
      </c>
      <c r="Q1986" t="s">
        <v>8794</v>
      </c>
      <c r="R1986" t="s">
        <v>8795</v>
      </c>
      <c r="S1986" t="s">
        <v>8794</v>
      </c>
      <c r="T1986" t="s">
        <v>8795</v>
      </c>
    </row>
    <row r="1987" spans="1:20">
      <c r="A1987" s="241">
        <v>44001</v>
      </c>
      <c r="B1987" t="s">
        <v>9572</v>
      </c>
      <c r="C1987" t="s">
        <v>1196</v>
      </c>
      <c r="D1987" t="s">
        <v>5481</v>
      </c>
      <c r="E1987" t="s">
        <v>1079</v>
      </c>
      <c r="F1987" t="s">
        <v>2206</v>
      </c>
      <c r="G1987" t="s">
        <v>875</v>
      </c>
      <c r="H1987" t="s">
        <v>356</v>
      </c>
      <c r="I1987" t="s">
        <v>376</v>
      </c>
      <c r="J1987" t="s">
        <v>1569</v>
      </c>
      <c r="K1987" t="s">
        <v>7035</v>
      </c>
      <c r="L1987">
        <v>0.86</v>
      </c>
      <c r="M1987" t="s">
        <v>9573</v>
      </c>
      <c r="N1987" t="s">
        <v>9574</v>
      </c>
      <c r="O1987" t="s">
        <v>9575</v>
      </c>
      <c r="P1987" t="s">
        <v>485</v>
      </c>
      <c r="Q1987" t="s">
        <v>8794</v>
      </c>
      <c r="R1987" t="s">
        <v>8795</v>
      </c>
      <c r="S1987" t="s">
        <v>8794</v>
      </c>
      <c r="T1987" t="s">
        <v>8795</v>
      </c>
    </row>
    <row r="1988" spans="1:20">
      <c r="A1988" s="241">
        <v>44001</v>
      </c>
      <c r="B1988" t="s">
        <v>9576</v>
      </c>
      <c r="C1988" t="s">
        <v>1377</v>
      </c>
      <c r="D1988" t="s">
        <v>1877</v>
      </c>
      <c r="E1988" t="s">
        <v>625</v>
      </c>
      <c r="F1988" t="s">
        <v>2579</v>
      </c>
      <c r="G1988" t="s">
        <v>345</v>
      </c>
      <c r="H1988" t="s">
        <v>366</v>
      </c>
      <c r="I1988" t="s">
        <v>386</v>
      </c>
      <c r="J1988" t="s">
        <v>912</v>
      </c>
      <c r="K1988" t="s">
        <v>722</v>
      </c>
      <c r="L1988">
        <v>0.86</v>
      </c>
      <c r="M1988" t="s">
        <v>9577</v>
      </c>
      <c r="N1988" t="s">
        <v>9578</v>
      </c>
      <c r="O1988" t="s">
        <v>9579</v>
      </c>
      <c r="P1988" t="s">
        <v>485</v>
      </c>
      <c r="Q1988" t="s">
        <v>8794</v>
      </c>
      <c r="R1988" t="s">
        <v>8795</v>
      </c>
      <c r="S1988" t="s">
        <v>8794</v>
      </c>
      <c r="T1988" t="s">
        <v>8795</v>
      </c>
    </row>
    <row r="1989" spans="1:20">
      <c r="A1989" s="241">
        <v>44001</v>
      </c>
      <c r="B1989" t="s">
        <v>9580</v>
      </c>
      <c r="C1989" t="s">
        <v>1367</v>
      </c>
      <c r="D1989" t="s">
        <v>5481</v>
      </c>
      <c r="E1989" t="s">
        <v>382</v>
      </c>
      <c r="F1989" t="s">
        <v>1882</v>
      </c>
      <c r="G1989" t="s">
        <v>355</v>
      </c>
      <c r="H1989" t="s">
        <v>1546</v>
      </c>
      <c r="I1989" t="s">
        <v>683</v>
      </c>
      <c r="J1989" t="s">
        <v>691</v>
      </c>
      <c r="K1989" t="s">
        <v>457</v>
      </c>
      <c r="L1989">
        <v>0.86</v>
      </c>
      <c r="M1989" t="s">
        <v>9581</v>
      </c>
      <c r="N1989" t="s">
        <v>9582</v>
      </c>
      <c r="O1989" t="s">
        <v>9583</v>
      </c>
      <c r="P1989" t="s">
        <v>485</v>
      </c>
      <c r="Q1989" t="s">
        <v>8794</v>
      </c>
      <c r="R1989" t="s">
        <v>8795</v>
      </c>
      <c r="S1989" t="s">
        <v>8794</v>
      </c>
      <c r="T1989" t="s">
        <v>8795</v>
      </c>
    </row>
    <row r="1990" spans="1:20">
      <c r="A1990" s="241">
        <v>44001</v>
      </c>
      <c r="B1990" t="s">
        <v>9584</v>
      </c>
      <c r="C1990" t="s">
        <v>3136</v>
      </c>
      <c r="D1990" t="s">
        <v>1196</v>
      </c>
      <c r="E1990" t="s">
        <v>631</v>
      </c>
      <c r="F1990" t="s">
        <v>924</v>
      </c>
      <c r="G1990" t="s">
        <v>1562</v>
      </c>
      <c r="H1990" t="s">
        <v>1467</v>
      </c>
      <c r="I1990" t="s">
        <v>1579</v>
      </c>
      <c r="J1990" t="s">
        <v>707</v>
      </c>
      <c r="K1990" t="s">
        <v>457</v>
      </c>
      <c r="L1990">
        <v>0.86</v>
      </c>
      <c r="M1990" t="s">
        <v>9585</v>
      </c>
      <c r="N1990" t="s">
        <v>9586</v>
      </c>
      <c r="O1990" t="s">
        <v>9587</v>
      </c>
      <c r="P1990" t="s">
        <v>485</v>
      </c>
      <c r="Q1990" t="s">
        <v>8794</v>
      </c>
      <c r="R1990" t="s">
        <v>8795</v>
      </c>
      <c r="S1990" t="s">
        <v>8794</v>
      </c>
      <c r="T1990" t="s">
        <v>8795</v>
      </c>
    </row>
    <row r="1991" spans="1:20">
      <c r="A1991" s="241">
        <v>44001</v>
      </c>
      <c r="B1991" t="s">
        <v>9588</v>
      </c>
      <c r="C1991" t="s">
        <v>5481</v>
      </c>
      <c r="D1991" t="s">
        <v>262</v>
      </c>
      <c r="E1991" t="s">
        <v>1079</v>
      </c>
      <c r="F1991" t="s">
        <v>2579</v>
      </c>
      <c r="G1991" t="s">
        <v>375</v>
      </c>
      <c r="H1991" t="s">
        <v>616</v>
      </c>
      <c r="I1991" t="s">
        <v>911</v>
      </c>
      <c r="J1991" t="s">
        <v>397</v>
      </c>
      <c r="K1991" t="s">
        <v>408</v>
      </c>
      <c r="L1991">
        <v>0.86</v>
      </c>
      <c r="M1991" t="s">
        <v>9589</v>
      </c>
      <c r="N1991" t="s">
        <v>9590</v>
      </c>
      <c r="O1991" t="s">
        <v>9591</v>
      </c>
      <c r="P1991" t="s">
        <v>485</v>
      </c>
      <c r="Q1991" t="s">
        <v>8794</v>
      </c>
      <c r="R1991" t="s">
        <v>8795</v>
      </c>
      <c r="S1991" t="s">
        <v>8794</v>
      </c>
      <c r="T1991" t="s">
        <v>8795</v>
      </c>
    </row>
    <row r="1992" spans="1:20">
      <c r="A1992" s="241">
        <v>44001</v>
      </c>
      <c r="B1992" t="s">
        <v>9592</v>
      </c>
      <c r="C1992" t="s">
        <v>1196</v>
      </c>
      <c r="D1992" t="s">
        <v>1877</v>
      </c>
      <c r="E1992" t="s">
        <v>679</v>
      </c>
      <c r="F1992" t="s">
        <v>413</v>
      </c>
      <c r="G1992" t="s">
        <v>1590</v>
      </c>
      <c r="H1992" t="s">
        <v>305</v>
      </c>
      <c r="I1992" t="s">
        <v>406</v>
      </c>
      <c r="J1992" t="s">
        <v>417</v>
      </c>
      <c r="K1992" t="s">
        <v>6918</v>
      </c>
      <c r="L1992">
        <v>0.86</v>
      </c>
      <c r="M1992" t="s">
        <v>9593</v>
      </c>
      <c r="N1992" t="s">
        <v>9594</v>
      </c>
      <c r="O1992" t="s">
        <v>9595</v>
      </c>
      <c r="P1992" t="s">
        <v>485</v>
      </c>
      <c r="Q1992" t="s">
        <v>8794</v>
      </c>
      <c r="R1992" t="s">
        <v>8795</v>
      </c>
      <c r="S1992" t="s">
        <v>8794</v>
      </c>
      <c r="T1992" t="s">
        <v>8795</v>
      </c>
    </row>
    <row r="1993" spans="1:20">
      <c r="A1993" s="241">
        <v>44001</v>
      </c>
      <c r="B1993" t="s">
        <v>9596</v>
      </c>
      <c r="C1993" t="s">
        <v>1367</v>
      </c>
      <c r="D1993" t="s">
        <v>3136</v>
      </c>
      <c r="E1993" t="s">
        <v>343</v>
      </c>
      <c r="F1993" t="s">
        <v>917</v>
      </c>
      <c r="G1993" t="s">
        <v>394</v>
      </c>
      <c r="H1993" t="s">
        <v>1552</v>
      </c>
      <c r="I1993" t="s">
        <v>698</v>
      </c>
      <c r="J1993" t="s">
        <v>1309</v>
      </c>
      <c r="K1993" t="s">
        <v>6918</v>
      </c>
      <c r="L1993">
        <v>0.86</v>
      </c>
      <c r="M1993" t="s">
        <v>9597</v>
      </c>
      <c r="N1993" t="s">
        <v>9598</v>
      </c>
      <c r="O1993" t="s">
        <v>9599</v>
      </c>
      <c r="P1993" t="s">
        <v>485</v>
      </c>
      <c r="Q1993" t="s">
        <v>8794</v>
      </c>
      <c r="R1993" t="s">
        <v>8795</v>
      </c>
      <c r="S1993" t="s">
        <v>8794</v>
      </c>
      <c r="T1993" t="s">
        <v>8795</v>
      </c>
    </row>
    <row r="1994" spans="1:20">
      <c r="A1994" s="241">
        <v>44001</v>
      </c>
      <c r="B1994" t="s">
        <v>9600</v>
      </c>
      <c r="C1994" t="s">
        <v>1367</v>
      </c>
      <c r="D1994" t="s">
        <v>1877</v>
      </c>
      <c r="E1994" t="s">
        <v>2478</v>
      </c>
      <c r="F1994" t="s">
        <v>1164</v>
      </c>
      <c r="G1994" t="s">
        <v>2393</v>
      </c>
      <c r="H1994" t="s">
        <v>333</v>
      </c>
      <c r="I1994" t="s">
        <v>446</v>
      </c>
      <c r="J1994" t="s">
        <v>7242</v>
      </c>
      <c r="K1994" t="s">
        <v>7065</v>
      </c>
      <c r="L1994">
        <v>0.86</v>
      </c>
      <c r="M1994" t="s">
        <v>9601</v>
      </c>
      <c r="N1994" t="s">
        <v>9602</v>
      </c>
      <c r="O1994" t="s">
        <v>9603</v>
      </c>
      <c r="P1994" t="s">
        <v>485</v>
      </c>
      <c r="Q1994" t="s">
        <v>8794</v>
      </c>
      <c r="R1994" t="s">
        <v>8795</v>
      </c>
      <c r="S1994" t="s">
        <v>8794</v>
      </c>
      <c r="T1994" t="s">
        <v>8795</v>
      </c>
    </row>
    <row r="1995" spans="1:20">
      <c r="A1995" s="241">
        <v>44001</v>
      </c>
      <c r="B1995" t="s">
        <v>9604</v>
      </c>
      <c r="C1995" t="s">
        <v>1877</v>
      </c>
      <c r="D1995" t="s">
        <v>1877</v>
      </c>
      <c r="E1995" t="s">
        <v>615</v>
      </c>
      <c r="F1995" t="s">
        <v>937</v>
      </c>
      <c r="G1995" t="s">
        <v>1585</v>
      </c>
      <c r="H1995" t="s">
        <v>295</v>
      </c>
      <c r="I1995" t="s">
        <v>416</v>
      </c>
      <c r="J1995" t="s">
        <v>1159</v>
      </c>
      <c r="K1995" t="s">
        <v>7052</v>
      </c>
      <c r="L1995">
        <v>0.86</v>
      </c>
      <c r="M1995" t="s">
        <v>9605</v>
      </c>
      <c r="N1995" t="s">
        <v>9606</v>
      </c>
      <c r="O1995" t="s">
        <v>9607</v>
      </c>
      <c r="P1995" t="s">
        <v>485</v>
      </c>
      <c r="Q1995" t="s">
        <v>8794</v>
      </c>
      <c r="R1995" t="s">
        <v>8795</v>
      </c>
      <c r="S1995" t="s">
        <v>8794</v>
      </c>
      <c r="T1995" t="s">
        <v>8795</v>
      </c>
    </row>
    <row r="1996" spans="1:20">
      <c r="A1996" s="241">
        <v>44001</v>
      </c>
      <c r="B1996" t="s">
        <v>9608</v>
      </c>
      <c r="C1996" t="s">
        <v>3136</v>
      </c>
      <c r="D1996" t="s">
        <v>1877</v>
      </c>
      <c r="E1996" t="s">
        <v>294</v>
      </c>
      <c r="F1996" t="s">
        <v>4133</v>
      </c>
      <c r="G1996" t="s">
        <v>384</v>
      </c>
      <c r="H1996" t="s">
        <v>405</v>
      </c>
      <c r="I1996" t="s">
        <v>721</v>
      </c>
      <c r="J1996" t="s">
        <v>456</v>
      </c>
      <c r="K1996" t="s">
        <v>7052</v>
      </c>
      <c r="L1996">
        <v>0.86</v>
      </c>
      <c r="M1996" t="s">
        <v>9609</v>
      </c>
      <c r="N1996" t="s">
        <v>9610</v>
      </c>
      <c r="O1996" t="s">
        <v>9611</v>
      </c>
      <c r="P1996" t="s">
        <v>485</v>
      </c>
      <c r="Q1996" t="s">
        <v>8794</v>
      </c>
      <c r="R1996" t="s">
        <v>8795</v>
      </c>
      <c r="S1996" t="s">
        <v>8794</v>
      </c>
      <c r="T1996" t="s">
        <v>8795</v>
      </c>
    </row>
    <row r="1997" spans="1:20">
      <c r="A1997" s="241">
        <v>44001</v>
      </c>
      <c r="B1997" t="s">
        <v>9612</v>
      </c>
      <c r="C1997" t="s">
        <v>3679</v>
      </c>
      <c r="D1997" t="s">
        <v>262</v>
      </c>
      <c r="E1997" t="s">
        <v>712</v>
      </c>
      <c r="F1997" t="s">
        <v>1625</v>
      </c>
      <c r="G1997" t="s">
        <v>697</v>
      </c>
      <c r="H1997" t="s">
        <v>445</v>
      </c>
      <c r="I1997" t="s">
        <v>947</v>
      </c>
      <c r="J1997" t="s">
        <v>6929</v>
      </c>
      <c r="K1997" t="s">
        <v>6924</v>
      </c>
      <c r="L1997">
        <v>0.86</v>
      </c>
      <c r="M1997" t="s">
        <v>9613</v>
      </c>
      <c r="N1997" t="s">
        <v>9614</v>
      </c>
      <c r="O1997" t="s">
        <v>9615</v>
      </c>
      <c r="P1997" t="s">
        <v>485</v>
      </c>
      <c r="Q1997" t="s">
        <v>8794</v>
      </c>
      <c r="R1997" t="s">
        <v>8795</v>
      </c>
      <c r="S1997" t="s">
        <v>8794</v>
      </c>
      <c r="T1997" t="s">
        <v>8795</v>
      </c>
    </row>
    <row r="1998" spans="1:20">
      <c r="A1998" s="241">
        <v>44001</v>
      </c>
      <c r="B1998" t="s">
        <v>9616</v>
      </c>
      <c r="C1998" t="s">
        <v>1367</v>
      </c>
      <c r="D1998" t="s">
        <v>488</v>
      </c>
      <c r="E1998" t="s">
        <v>2478</v>
      </c>
      <c r="F1998" t="s">
        <v>727</v>
      </c>
      <c r="G1998" t="s">
        <v>918</v>
      </c>
      <c r="H1998" t="s">
        <v>720</v>
      </c>
      <c r="I1998" t="s">
        <v>947</v>
      </c>
      <c r="J1998" t="s">
        <v>456</v>
      </c>
      <c r="K1998" t="s">
        <v>6918</v>
      </c>
      <c r="L1998">
        <v>0.86</v>
      </c>
      <c r="M1998" t="s">
        <v>9617</v>
      </c>
      <c r="N1998" t="s">
        <v>9618</v>
      </c>
      <c r="O1998" t="s">
        <v>9619</v>
      </c>
      <c r="P1998" t="s">
        <v>485</v>
      </c>
      <c r="Q1998" t="s">
        <v>8794</v>
      </c>
      <c r="R1998" t="s">
        <v>8795</v>
      </c>
      <c r="S1998" t="s">
        <v>8794</v>
      </c>
      <c r="T1998" t="s">
        <v>8795</v>
      </c>
    </row>
    <row r="1999" spans="1:20">
      <c r="A1999" s="241">
        <v>44001</v>
      </c>
      <c r="B1999" t="s">
        <v>9620</v>
      </c>
      <c r="C1999" t="s">
        <v>2821</v>
      </c>
      <c r="D1999" t="s">
        <v>736</v>
      </c>
      <c r="E1999" t="s">
        <v>236</v>
      </c>
      <c r="F1999" t="s">
        <v>1625</v>
      </c>
      <c r="G1999" t="s">
        <v>1017</v>
      </c>
      <c r="H1999" t="s">
        <v>4354</v>
      </c>
      <c r="I1999" t="s">
        <v>9621</v>
      </c>
      <c r="J1999" t="s">
        <v>9622</v>
      </c>
      <c r="K1999" t="s">
        <v>9623</v>
      </c>
      <c r="L1999">
        <v>0.88</v>
      </c>
      <c r="M1999" t="s">
        <v>9624</v>
      </c>
      <c r="N1999" t="s">
        <v>9625</v>
      </c>
      <c r="O1999" t="s">
        <v>9626</v>
      </c>
      <c r="P1999" t="s">
        <v>485</v>
      </c>
      <c r="Q1999" t="s">
        <v>8794</v>
      </c>
      <c r="R1999" t="s">
        <v>8795</v>
      </c>
      <c r="S1999" t="s">
        <v>8794</v>
      </c>
      <c r="T1999" t="s">
        <v>8795</v>
      </c>
    </row>
    <row r="2000" spans="1:20">
      <c r="A2000" s="241">
        <v>44001</v>
      </c>
      <c r="B2000" t="s">
        <v>9627</v>
      </c>
      <c r="C2000" t="s">
        <v>5284</v>
      </c>
      <c r="D2000" t="s">
        <v>6912</v>
      </c>
      <c r="E2000" t="s">
        <v>2448</v>
      </c>
      <c r="F2000" t="s">
        <v>9628</v>
      </c>
      <c r="G2000" t="s">
        <v>5467</v>
      </c>
      <c r="H2000" t="s">
        <v>466</v>
      </c>
      <c r="I2000" t="s">
        <v>7682</v>
      </c>
      <c r="J2000" t="s">
        <v>9629</v>
      </c>
      <c r="K2000" t="s">
        <v>7555</v>
      </c>
      <c r="L2000">
        <v>0.89</v>
      </c>
      <c r="M2000" t="s">
        <v>9630</v>
      </c>
      <c r="N2000" t="s">
        <v>9631</v>
      </c>
      <c r="O2000" t="s">
        <v>9632</v>
      </c>
      <c r="P2000" t="s">
        <v>485</v>
      </c>
      <c r="Q2000" t="s">
        <v>8794</v>
      </c>
      <c r="R2000" t="s">
        <v>8795</v>
      </c>
      <c r="S2000" t="s">
        <v>8794</v>
      </c>
      <c r="T2000" t="s">
        <v>8795</v>
      </c>
    </row>
    <row r="2001" spans="1:20">
      <c r="A2001" s="241">
        <v>44001</v>
      </c>
      <c r="B2001" t="s">
        <v>9633</v>
      </c>
      <c r="C2001" t="s">
        <v>9101</v>
      </c>
      <c r="D2001" t="s">
        <v>9203</v>
      </c>
      <c r="E2001" t="s">
        <v>1665</v>
      </c>
      <c r="F2001" t="s">
        <v>2645</v>
      </c>
      <c r="G2001" t="s">
        <v>490</v>
      </c>
      <c r="H2001" t="s">
        <v>2449</v>
      </c>
      <c r="I2001" t="s">
        <v>759</v>
      </c>
      <c r="J2001" t="s">
        <v>6587</v>
      </c>
      <c r="K2001" t="s">
        <v>1362</v>
      </c>
      <c r="L2001">
        <v>0.89</v>
      </c>
      <c r="M2001" t="s">
        <v>9634</v>
      </c>
      <c r="N2001" t="s">
        <v>9635</v>
      </c>
      <c r="O2001" t="s">
        <v>9636</v>
      </c>
      <c r="P2001" t="s">
        <v>485</v>
      </c>
      <c r="Q2001" t="s">
        <v>8794</v>
      </c>
      <c r="R2001" t="s">
        <v>8795</v>
      </c>
      <c r="S2001" t="s">
        <v>8794</v>
      </c>
      <c r="T2001" t="s">
        <v>8795</v>
      </c>
    </row>
    <row r="2002" spans="1:20">
      <c r="A2002" s="241">
        <v>44001</v>
      </c>
      <c r="B2002" t="s">
        <v>9637</v>
      </c>
      <c r="C2002" t="s">
        <v>6950</v>
      </c>
      <c r="D2002" t="s">
        <v>5795</v>
      </c>
      <c r="E2002" t="s">
        <v>1357</v>
      </c>
      <c r="F2002" t="s">
        <v>5468</v>
      </c>
      <c r="G2002" t="s">
        <v>9638</v>
      </c>
      <c r="H2002" t="s">
        <v>1657</v>
      </c>
      <c r="I2002" t="s">
        <v>1370</v>
      </c>
      <c r="J2002" t="s">
        <v>1371</v>
      </c>
      <c r="K2002" t="s">
        <v>771</v>
      </c>
      <c r="L2002">
        <v>0.89</v>
      </c>
      <c r="M2002" t="s">
        <v>9639</v>
      </c>
      <c r="N2002" t="s">
        <v>9640</v>
      </c>
      <c r="O2002" t="s">
        <v>9641</v>
      </c>
      <c r="P2002" t="s">
        <v>485</v>
      </c>
      <c r="Q2002" t="s">
        <v>8794</v>
      </c>
      <c r="R2002" t="s">
        <v>8795</v>
      </c>
      <c r="S2002" t="s">
        <v>8794</v>
      </c>
      <c r="T2002" t="s">
        <v>8795</v>
      </c>
    </row>
    <row r="2003" spans="1:20">
      <c r="A2003" s="241">
        <v>44001</v>
      </c>
      <c r="B2003" t="s">
        <v>9642</v>
      </c>
      <c r="C2003" t="s">
        <v>1195</v>
      </c>
      <c r="D2003" t="s">
        <v>273</v>
      </c>
      <c r="E2003" t="s">
        <v>236</v>
      </c>
      <c r="F2003" t="s">
        <v>981</v>
      </c>
      <c r="G2003" t="s">
        <v>7141</v>
      </c>
      <c r="H2003" t="s">
        <v>4634</v>
      </c>
      <c r="I2003" t="s">
        <v>9643</v>
      </c>
      <c r="J2003" t="s">
        <v>9644</v>
      </c>
      <c r="K2003" t="s">
        <v>9645</v>
      </c>
      <c r="L2003">
        <v>0.88</v>
      </c>
      <c r="M2003" t="s">
        <v>9646</v>
      </c>
      <c r="N2003" t="s">
        <v>9647</v>
      </c>
      <c r="O2003" t="s">
        <v>9648</v>
      </c>
      <c r="P2003" t="s">
        <v>485</v>
      </c>
      <c r="Q2003" t="s">
        <v>8794</v>
      </c>
      <c r="R2003" t="s">
        <v>8795</v>
      </c>
      <c r="S2003" t="s">
        <v>8794</v>
      </c>
      <c r="T2003" t="s">
        <v>8795</v>
      </c>
    </row>
    <row r="2004" spans="1:20">
      <c r="A2004" s="241">
        <v>44001</v>
      </c>
      <c r="B2004" t="s">
        <v>9649</v>
      </c>
      <c r="C2004" t="s">
        <v>1377</v>
      </c>
      <c r="D2004" t="s">
        <v>1877</v>
      </c>
      <c r="E2004" t="s">
        <v>671</v>
      </c>
      <c r="F2004" t="s">
        <v>1704</v>
      </c>
      <c r="G2004" t="s">
        <v>2004</v>
      </c>
      <c r="H2004" t="s">
        <v>1000</v>
      </c>
      <c r="I2004" t="s">
        <v>1686</v>
      </c>
      <c r="J2004" t="s">
        <v>1405</v>
      </c>
      <c r="K2004" t="s">
        <v>244</v>
      </c>
      <c r="L2004">
        <v>0.87</v>
      </c>
      <c r="M2004" t="s">
        <v>9650</v>
      </c>
      <c r="N2004" t="s">
        <v>9651</v>
      </c>
      <c r="O2004" t="s">
        <v>9652</v>
      </c>
      <c r="P2004" t="s">
        <v>485</v>
      </c>
      <c r="Q2004" t="s">
        <v>8794</v>
      </c>
      <c r="R2004" t="s">
        <v>8795</v>
      </c>
      <c r="S2004" t="s">
        <v>8794</v>
      </c>
      <c r="T2004" t="s">
        <v>8795</v>
      </c>
    </row>
    <row r="2005" spans="1:20">
      <c r="A2005" s="241">
        <v>44001</v>
      </c>
      <c r="B2005" t="s">
        <v>9653</v>
      </c>
      <c r="C2005" t="s">
        <v>1666</v>
      </c>
      <c r="D2005" t="s">
        <v>510</v>
      </c>
      <c r="E2005" t="s">
        <v>1139</v>
      </c>
      <c r="F2005" t="s">
        <v>1231</v>
      </c>
      <c r="G2005" t="s">
        <v>2023</v>
      </c>
      <c r="H2005" t="s">
        <v>6714</v>
      </c>
      <c r="I2005" t="s">
        <v>1019</v>
      </c>
      <c r="J2005" t="s">
        <v>1233</v>
      </c>
      <c r="K2005" t="s">
        <v>579</v>
      </c>
      <c r="L2005">
        <v>0.87</v>
      </c>
      <c r="M2005" t="s">
        <v>9654</v>
      </c>
      <c r="N2005" t="s">
        <v>9655</v>
      </c>
      <c r="O2005" t="s">
        <v>9656</v>
      </c>
      <c r="P2005" t="s">
        <v>485</v>
      </c>
      <c r="Q2005" t="s">
        <v>8794</v>
      </c>
      <c r="R2005" t="s">
        <v>8795</v>
      </c>
      <c r="S2005" t="s">
        <v>8794</v>
      </c>
      <c r="T2005" t="s">
        <v>8795</v>
      </c>
    </row>
    <row r="2006" spans="1:20">
      <c r="A2006" s="241">
        <v>44001</v>
      </c>
      <c r="B2006" t="s">
        <v>9657</v>
      </c>
      <c r="C2006" t="s">
        <v>5481</v>
      </c>
      <c r="D2006" t="s">
        <v>1877</v>
      </c>
      <c r="E2006" t="s">
        <v>631</v>
      </c>
      <c r="F2006" t="s">
        <v>862</v>
      </c>
      <c r="G2006" t="s">
        <v>2282</v>
      </c>
      <c r="H2006" t="s">
        <v>3161</v>
      </c>
      <c r="I2006" t="s">
        <v>1019</v>
      </c>
      <c r="J2006" t="s">
        <v>1233</v>
      </c>
      <c r="K2006" t="s">
        <v>579</v>
      </c>
      <c r="L2006">
        <v>0.87</v>
      </c>
      <c r="M2006" t="s">
        <v>9658</v>
      </c>
      <c r="N2006" t="s">
        <v>9659</v>
      </c>
      <c r="O2006" t="s">
        <v>9660</v>
      </c>
      <c r="P2006" t="s">
        <v>485</v>
      </c>
      <c r="Q2006" t="s">
        <v>8794</v>
      </c>
      <c r="R2006" t="s">
        <v>8795</v>
      </c>
      <c r="S2006" t="s">
        <v>8794</v>
      </c>
      <c r="T2006" t="s">
        <v>8795</v>
      </c>
    </row>
    <row r="2007" spans="1:20">
      <c r="A2007" s="241">
        <v>44001</v>
      </c>
      <c r="B2007" t="s">
        <v>9661</v>
      </c>
      <c r="C2007" t="s">
        <v>1196</v>
      </c>
      <c r="D2007" t="s">
        <v>475</v>
      </c>
      <c r="E2007" t="s">
        <v>2478</v>
      </c>
      <c r="F2007" t="s">
        <v>1231</v>
      </c>
      <c r="G2007" t="s">
        <v>3160</v>
      </c>
      <c r="H2007" t="s">
        <v>2005</v>
      </c>
      <c r="I2007" t="s">
        <v>1226</v>
      </c>
      <c r="J2007" t="s">
        <v>533</v>
      </c>
      <c r="K2007" t="s">
        <v>244</v>
      </c>
      <c r="L2007">
        <v>0.87</v>
      </c>
      <c r="M2007" t="s">
        <v>9662</v>
      </c>
      <c r="N2007" t="s">
        <v>9663</v>
      </c>
      <c r="O2007" t="s">
        <v>9664</v>
      </c>
      <c r="P2007" t="s">
        <v>485</v>
      </c>
      <c r="Q2007" t="s">
        <v>8794</v>
      </c>
      <c r="R2007" t="s">
        <v>8795</v>
      </c>
      <c r="S2007" t="s">
        <v>8794</v>
      </c>
      <c r="T2007" t="s">
        <v>8795</v>
      </c>
    </row>
    <row r="2008" spans="1:20">
      <c r="A2008" s="241">
        <v>44001</v>
      </c>
      <c r="B2008" t="s">
        <v>9665</v>
      </c>
      <c r="C2008" t="s">
        <v>1367</v>
      </c>
      <c r="D2008" t="s">
        <v>223</v>
      </c>
      <c r="E2008" t="s">
        <v>1139</v>
      </c>
      <c r="F2008" t="s">
        <v>316</v>
      </c>
      <c r="G2008" t="s">
        <v>777</v>
      </c>
      <c r="H2008" t="s">
        <v>3999</v>
      </c>
      <c r="I2008" t="s">
        <v>1232</v>
      </c>
      <c r="J2008" t="s">
        <v>1240</v>
      </c>
      <c r="K2008" t="s">
        <v>268</v>
      </c>
      <c r="L2008">
        <v>0.87</v>
      </c>
      <c r="M2008" t="s">
        <v>9666</v>
      </c>
      <c r="N2008" t="s">
        <v>9667</v>
      </c>
      <c r="O2008" t="s">
        <v>9668</v>
      </c>
      <c r="P2008" t="s">
        <v>485</v>
      </c>
      <c r="Q2008" t="s">
        <v>8794</v>
      </c>
      <c r="R2008" t="s">
        <v>8795</v>
      </c>
      <c r="S2008" t="s">
        <v>8794</v>
      </c>
      <c r="T2008" t="s">
        <v>8795</v>
      </c>
    </row>
    <row r="2009" spans="1:20">
      <c r="A2009" s="241">
        <v>44001</v>
      </c>
      <c r="B2009" t="s">
        <v>9669</v>
      </c>
      <c r="C2009" t="s">
        <v>2821</v>
      </c>
      <c r="D2009" t="s">
        <v>475</v>
      </c>
      <c r="E2009" t="s">
        <v>679</v>
      </c>
      <c r="F2009" t="s">
        <v>608</v>
      </c>
      <c r="G2009" t="s">
        <v>1398</v>
      </c>
      <c r="H2009" t="s">
        <v>2861</v>
      </c>
      <c r="I2009" t="s">
        <v>1421</v>
      </c>
      <c r="J2009" t="s">
        <v>1039</v>
      </c>
      <c r="K2009" t="s">
        <v>268</v>
      </c>
      <c r="L2009">
        <v>0.87</v>
      </c>
      <c r="M2009" t="s">
        <v>9670</v>
      </c>
      <c r="N2009" t="s">
        <v>9671</v>
      </c>
      <c r="O2009" t="s">
        <v>9672</v>
      </c>
      <c r="P2009" t="s">
        <v>485</v>
      </c>
      <c r="Q2009" t="s">
        <v>8794</v>
      </c>
      <c r="R2009" t="s">
        <v>8795</v>
      </c>
      <c r="S2009" t="s">
        <v>8794</v>
      </c>
      <c r="T2009" t="s">
        <v>8795</v>
      </c>
    </row>
    <row r="2010" spans="1:20">
      <c r="A2010" s="241">
        <v>44001</v>
      </c>
      <c r="B2010" t="s">
        <v>9673</v>
      </c>
      <c r="C2010" t="s">
        <v>488</v>
      </c>
      <c r="D2010" t="s">
        <v>262</v>
      </c>
      <c r="E2010" t="s">
        <v>1139</v>
      </c>
      <c r="F2010" t="s">
        <v>1056</v>
      </c>
      <c r="G2010" t="s">
        <v>2080</v>
      </c>
      <c r="H2010" t="s">
        <v>1746</v>
      </c>
      <c r="I2010" t="s">
        <v>824</v>
      </c>
      <c r="J2010" t="s">
        <v>2330</v>
      </c>
      <c r="K2010" t="s">
        <v>338</v>
      </c>
      <c r="L2010">
        <v>0.87</v>
      </c>
      <c r="M2010" t="s">
        <v>9674</v>
      </c>
      <c r="N2010" t="s">
        <v>9675</v>
      </c>
      <c r="O2010" t="s">
        <v>9676</v>
      </c>
      <c r="P2010" t="s">
        <v>485</v>
      </c>
      <c r="Q2010" t="s">
        <v>8794</v>
      </c>
      <c r="R2010" t="s">
        <v>8795</v>
      </c>
      <c r="S2010" t="s">
        <v>8794</v>
      </c>
      <c r="T2010" t="s">
        <v>8795</v>
      </c>
    </row>
    <row r="2011" spans="1:20">
      <c r="A2011" s="241">
        <v>44001</v>
      </c>
      <c r="B2011" t="s">
        <v>9677</v>
      </c>
      <c r="C2011" t="s">
        <v>1367</v>
      </c>
      <c r="D2011" t="s">
        <v>236</v>
      </c>
      <c r="E2011" t="s">
        <v>2478</v>
      </c>
      <c r="F2011" t="s">
        <v>835</v>
      </c>
      <c r="G2011" t="s">
        <v>2314</v>
      </c>
      <c r="H2011" t="s">
        <v>559</v>
      </c>
      <c r="I2011" t="s">
        <v>824</v>
      </c>
      <c r="J2011" t="s">
        <v>255</v>
      </c>
      <c r="K2011" t="s">
        <v>280</v>
      </c>
      <c r="L2011">
        <v>0.87</v>
      </c>
      <c r="M2011" t="s">
        <v>9678</v>
      </c>
      <c r="N2011" t="s">
        <v>9679</v>
      </c>
      <c r="O2011" t="s">
        <v>9680</v>
      </c>
      <c r="P2011" t="s">
        <v>485</v>
      </c>
      <c r="Q2011" t="s">
        <v>8794</v>
      </c>
      <c r="R2011" t="s">
        <v>8795</v>
      </c>
      <c r="S2011" t="s">
        <v>8794</v>
      </c>
      <c r="T2011" t="s">
        <v>8795</v>
      </c>
    </row>
    <row r="2012" spans="1:20">
      <c r="A2012" s="241">
        <v>44001</v>
      </c>
      <c r="B2012" t="s">
        <v>9681</v>
      </c>
      <c r="C2012" t="s">
        <v>224</v>
      </c>
      <c r="D2012" t="s">
        <v>262</v>
      </c>
      <c r="E2012" t="s">
        <v>671</v>
      </c>
      <c r="F2012" t="s">
        <v>1262</v>
      </c>
      <c r="G2012" t="s">
        <v>548</v>
      </c>
      <c r="H2012" t="s">
        <v>1257</v>
      </c>
      <c r="I2012" t="s">
        <v>569</v>
      </c>
      <c r="J2012" t="s">
        <v>2330</v>
      </c>
      <c r="K2012" t="s">
        <v>256</v>
      </c>
      <c r="L2012">
        <v>0.86</v>
      </c>
      <c r="M2012" t="s">
        <v>9682</v>
      </c>
      <c r="N2012" t="s">
        <v>9683</v>
      </c>
      <c r="O2012" t="s">
        <v>9684</v>
      </c>
      <c r="P2012" t="s">
        <v>485</v>
      </c>
      <c r="Q2012" t="s">
        <v>8794</v>
      </c>
      <c r="R2012" t="s">
        <v>8795</v>
      </c>
      <c r="S2012" t="s">
        <v>8794</v>
      </c>
      <c r="T2012" t="s">
        <v>8795</v>
      </c>
    </row>
    <row r="2013" spans="1:20">
      <c r="A2013" s="241">
        <v>44001</v>
      </c>
      <c r="B2013" t="s">
        <v>9685</v>
      </c>
      <c r="C2013" t="s">
        <v>3136</v>
      </c>
      <c r="D2013" t="s">
        <v>224</v>
      </c>
      <c r="E2013" t="s">
        <v>1079</v>
      </c>
      <c r="F2013" t="s">
        <v>1756</v>
      </c>
      <c r="G2013" t="s">
        <v>1420</v>
      </c>
      <c r="H2013" t="s">
        <v>823</v>
      </c>
      <c r="I2013" t="s">
        <v>229</v>
      </c>
      <c r="J2013" t="s">
        <v>2330</v>
      </c>
      <c r="K2013" t="s">
        <v>327</v>
      </c>
      <c r="L2013">
        <v>0.87</v>
      </c>
      <c r="M2013" t="s">
        <v>9686</v>
      </c>
      <c r="N2013" t="s">
        <v>9687</v>
      </c>
      <c r="O2013" t="s">
        <v>9688</v>
      </c>
      <c r="P2013" t="s">
        <v>485</v>
      </c>
      <c r="Q2013" t="s">
        <v>8794</v>
      </c>
      <c r="R2013" t="s">
        <v>8795</v>
      </c>
      <c r="S2013" t="s">
        <v>8794</v>
      </c>
      <c r="T2013" t="s">
        <v>8795</v>
      </c>
    </row>
    <row r="2014" spans="1:20">
      <c r="A2014" s="241">
        <v>44001</v>
      </c>
      <c r="B2014" t="s">
        <v>9689</v>
      </c>
      <c r="C2014" t="s">
        <v>5481</v>
      </c>
      <c r="D2014" t="s">
        <v>510</v>
      </c>
      <c r="E2014" t="s">
        <v>712</v>
      </c>
      <c r="F2014" t="s">
        <v>848</v>
      </c>
      <c r="G2014" t="s">
        <v>540</v>
      </c>
      <c r="H2014" t="s">
        <v>1677</v>
      </c>
      <c r="I2014" t="s">
        <v>569</v>
      </c>
      <c r="J2014" t="s">
        <v>267</v>
      </c>
      <c r="K2014" t="s">
        <v>666</v>
      </c>
      <c r="L2014">
        <v>0.87</v>
      </c>
      <c r="M2014" t="s">
        <v>9690</v>
      </c>
      <c r="N2014" t="s">
        <v>9691</v>
      </c>
      <c r="O2014" t="s">
        <v>9692</v>
      </c>
      <c r="P2014" t="s">
        <v>485</v>
      </c>
      <c r="Q2014" t="s">
        <v>8794</v>
      </c>
      <c r="R2014" t="s">
        <v>8795</v>
      </c>
      <c r="S2014" t="s">
        <v>8794</v>
      </c>
      <c r="T2014" t="s">
        <v>8795</v>
      </c>
    </row>
    <row r="2015" spans="1:20">
      <c r="A2015" s="241">
        <v>44001</v>
      </c>
      <c r="B2015" t="s">
        <v>9693</v>
      </c>
      <c r="C2015" t="s">
        <v>1377</v>
      </c>
      <c r="D2015" t="s">
        <v>510</v>
      </c>
      <c r="E2015" t="s">
        <v>392</v>
      </c>
      <c r="F2015" t="s">
        <v>1817</v>
      </c>
      <c r="G2015" t="s">
        <v>1239</v>
      </c>
      <c r="H2015" t="s">
        <v>1704</v>
      </c>
      <c r="I2015" t="s">
        <v>1264</v>
      </c>
      <c r="J2015" t="s">
        <v>592</v>
      </c>
      <c r="K2015" t="s">
        <v>280</v>
      </c>
      <c r="L2015">
        <v>0.86</v>
      </c>
      <c r="M2015" t="s">
        <v>9694</v>
      </c>
      <c r="N2015" t="s">
        <v>9695</v>
      </c>
      <c r="O2015" t="s">
        <v>9696</v>
      </c>
      <c r="P2015" t="s">
        <v>485</v>
      </c>
      <c r="Q2015" t="s">
        <v>8794</v>
      </c>
      <c r="R2015" t="s">
        <v>8795</v>
      </c>
      <c r="S2015" t="s">
        <v>8794</v>
      </c>
      <c r="T2015" t="s">
        <v>8795</v>
      </c>
    </row>
    <row r="2016" spans="1:20">
      <c r="A2016" s="241">
        <v>44001</v>
      </c>
      <c r="B2016" t="s">
        <v>9697</v>
      </c>
      <c r="C2016" t="s">
        <v>1877</v>
      </c>
      <c r="D2016" t="s">
        <v>510</v>
      </c>
      <c r="E2016" t="s">
        <v>679</v>
      </c>
      <c r="F2016" t="s">
        <v>1147</v>
      </c>
      <c r="G2016" t="s">
        <v>1239</v>
      </c>
      <c r="H2016" t="s">
        <v>1017</v>
      </c>
      <c r="I2016" t="s">
        <v>1468</v>
      </c>
      <c r="J2016" t="s">
        <v>298</v>
      </c>
      <c r="K2016" t="s">
        <v>651</v>
      </c>
      <c r="L2016">
        <v>0.86</v>
      </c>
      <c r="M2016" t="s">
        <v>9698</v>
      </c>
      <c r="N2016" t="s">
        <v>9699</v>
      </c>
      <c r="O2016" t="s">
        <v>9700</v>
      </c>
      <c r="P2016" t="s">
        <v>485</v>
      </c>
      <c r="Q2016" t="s">
        <v>8794</v>
      </c>
      <c r="R2016" t="s">
        <v>8795</v>
      </c>
      <c r="S2016" t="s">
        <v>8794</v>
      </c>
      <c r="T2016" t="s">
        <v>8795</v>
      </c>
    </row>
    <row r="2017" spans="1:20">
      <c r="A2017" s="241">
        <v>44001</v>
      </c>
      <c r="B2017" t="s">
        <v>9701</v>
      </c>
      <c r="C2017" t="s">
        <v>1367</v>
      </c>
      <c r="D2017" t="s">
        <v>207</v>
      </c>
      <c r="E2017" t="s">
        <v>208</v>
      </c>
      <c r="F2017" t="s">
        <v>1493</v>
      </c>
      <c r="G2017" t="s">
        <v>798</v>
      </c>
      <c r="H2017" t="s">
        <v>600</v>
      </c>
      <c r="I2017" t="s">
        <v>863</v>
      </c>
      <c r="J2017" t="s">
        <v>620</v>
      </c>
      <c r="K2017" t="s">
        <v>666</v>
      </c>
      <c r="L2017">
        <v>0.86</v>
      </c>
      <c r="M2017" t="s">
        <v>9702</v>
      </c>
      <c r="N2017" t="s">
        <v>9703</v>
      </c>
      <c r="O2017" t="s">
        <v>9704</v>
      </c>
      <c r="P2017" t="s">
        <v>485</v>
      </c>
      <c r="Q2017" t="s">
        <v>8794</v>
      </c>
      <c r="R2017" t="s">
        <v>8795</v>
      </c>
      <c r="S2017" t="s">
        <v>8794</v>
      </c>
      <c r="T2017" t="s">
        <v>8795</v>
      </c>
    </row>
    <row r="2018" spans="1:20">
      <c r="A2018" s="241">
        <v>44001</v>
      </c>
      <c r="B2018" t="s">
        <v>9705</v>
      </c>
      <c r="C2018" t="s">
        <v>206</v>
      </c>
      <c r="D2018" t="s">
        <v>1986</v>
      </c>
      <c r="E2018" t="s">
        <v>631</v>
      </c>
      <c r="F2018" t="s">
        <v>682</v>
      </c>
      <c r="G2018" t="s">
        <v>276</v>
      </c>
      <c r="H2018" t="s">
        <v>253</v>
      </c>
      <c r="I2018" t="s">
        <v>288</v>
      </c>
      <c r="J2018" t="s">
        <v>601</v>
      </c>
      <c r="K2018" t="s">
        <v>349</v>
      </c>
      <c r="L2018">
        <v>0.86</v>
      </c>
      <c r="M2018" t="s">
        <v>9706</v>
      </c>
      <c r="N2018" t="s">
        <v>9707</v>
      </c>
      <c r="O2018" t="s">
        <v>9708</v>
      </c>
      <c r="P2018" t="s">
        <v>485</v>
      </c>
      <c r="Q2018" t="s">
        <v>8794</v>
      </c>
      <c r="R2018" t="s">
        <v>8795</v>
      </c>
      <c r="S2018" t="s">
        <v>8794</v>
      </c>
      <c r="T2018" t="s">
        <v>8795</v>
      </c>
    </row>
    <row r="2019" spans="1:20">
      <c r="A2019" s="241">
        <v>44001</v>
      </c>
      <c r="B2019" t="s">
        <v>9709</v>
      </c>
      <c r="C2019" t="s">
        <v>488</v>
      </c>
      <c r="D2019" t="s">
        <v>262</v>
      </c>
      <c r="E2019" t="s">
        <v>1079</v>
      </c>
      <c r="F2019" t="s">
        <v>2151</v>
      </c>
      <c r="G2019" t="s">
        <v>264</v>
      </c>
      <c r="H2019" t="s">
        <v>265</v>
      </c>
      <c r="I2019" t="s">
        <v>863</v>
      </c>
      <c r="J2019" t="s">
        <v>870</v>
      </c>
      <c r="K2019" t="s">
        <v>359</v>
      </c>
      <c r="L2019">
        <v>0.86</v>
      </c>
      <c r="M2019" t="s">
        <v>9710</v>
      </c>
      <c r="N2019" t="s">
        <v>9711</v>
      </c>
      <c r="O2019" t="s">
        <v>9712</v>
      </c>
      <c r="P2019" t="s">
        <v>485</v>
      </c>
      <c r="Q2019" t="s">
        <v>8794</v>
      </c>
      <c r="R2019" t="s">
        <v>8795</v>
      </c>
      <c r="S2019" t="s">
        <v>8794</v>
      </c>
      <c r="T2019" t="s">
        <v>8795</v>
      </c>
    </row>
    <row r="2020" spans="1:20">
      <c r="A2020" s="241">
        <v>44001</v>
      </c>
      <c r="B2020" t="s">
        <v>9713</v>
      </c>
      <c r="C2020" t="s">
        <v>5481</v>
      </c>
      <c r="D2020" t="s">
        <v>206</v>
      </c>
      <c r="E2020" t="s">
        <v>679</v>
      </c>
      <c r="F2020" t="s">
        <v>706</v>
      </c>
      <c r="G2020" t="s">
        <v>1781</v>
      </c>
      <c r="H2020" t="s">
        <v>316</v>
      </c>
      <c r="I2020" t="s">
        <v>1087</v>
      </c>
      <c r="J2020" t="s">
        <v>1495</v>
      </c>
      <c r="K2020" t="s">
        <v>700</v>
      </c>
      <c r="L2020">
        <v>0.86</v>
      </c>
      <c r="M2020" t="s">
        <v>9714</v>
      </c>
      <c r="N2020" t="s">
        <v>9715</v>
      </c>
      <c r="O2020" t="s">
        <v>9716</v>
      </c>
      <c r="P2020" t="s">
        <v>485</v>
      </c>
      <c r="Q2020" t="s">
        <v>8794</v>
      </c>
      <c r="R2020" t="s">
        <v>8795</v>
      </c>
      <c r="S2020" t="s">
        <v>8794</v>
      </c>
      <c r="T2020" t="s">
        <v>8795</v>
      </c>
    </row>
    <row r="2021" spans="1:20">
      <c r="A2021" s="241">
        <v>44001</v>
      </c>
      <c r="B2021" t="s">
        <v>9717</v>
      </c>
      <c r="C2021" t="s">
        <v>488</v>
      </c>
      <c r="D2021" t="s">
        <v>262</v>
      </c>
      <c r="E2021" t="s">
        <v>392</v>
      </c>
      <c r="F2021" t="s">
        <v>445</v>
      </c>
      <c r="G2021" t="s">
        <v>1447</v>
      </c>
      <c r="H2021" t="s">
        <v>2074</v>
      </c>
      <c r="I2021" t="s">
        <v>1842</v>
      </c>
      <c r="J2021" t="s">
        <v>326</v>
      </c>
      <c r="K2021" t="s">
        <v>359</v>
      </c>
      <c r="L2021">
        <v>0.86</v>
      </c>
      <c r="M2021" t="s">
        <v>9718</v>
      </c>
      <c r="N2021" t="s">
        <v>9719</v>
      </c>
      <c r="O2021" t="s">
        <v>9720</v>
      </c>
      <c r="P2021" t="s">
        <v>485</v>
      </c>
      <c r="Q2021" t="s">
        <v>8794</v>
      </c>
      <c r="R2021" t="s">
        <v>8795</v>
      </c>
      <c r="S2021" t="s">
        <v>8794</v>
      </c>
      <c r="T2021" t="s">
        <v>8795</v>
      </c>
    </row>
    <row r="2022" spans="1:20">
      <c r="A2022" s="241">
        <v>44001</v>
      </c>
      <c r="B2022" t="s">
        <v>9721</v>
      </c>
      <c r="C2022" t="s">
        <v>1377</v>
      </c>
      <c r="D2022" t="s">
        <v>236</v>
      </c>
      <c r="E2022" t="s">
        <v>443</v>
      </c>
      <c r="F2022" t="s">
        <v>633</v>
      </c>
      <c r="G2022" t="s">
        <v>856</v>
      </c>
      <c r="H2022" t="s">
        <v>813</v>
      </c>
      <c r="I2022" t="s">
        <v>1097</v>
      </c>
      <c r="J2022" t="s">
        <v>650</v>
      </c>
      <c r="K2022" t="s">
        <v>428</v>
      </c>
      <c r="L2022">
        <v>0.86</v>
      </c>
      <c r="M2022" t="s">
        <v>9722</v>
      </c>
      <c r="N2022" t="s">
        <v>9723</v>
      </c>
      <c r="O2022" t="s">
        <v>9724</v>
      </c>
      <c r="P2022" t="s">
        <v>485</v>
      </c>
      <c r="Q2022" t="s">
        <v>8794</v>
      </c>
      <c r="R2022" t="s">
        <v>8795</v>
      </c>
      <c r="S2022" t="s">
        <v>8794</v>
      </c>
      <c r="T2022" t="s">
        <v>8795</v>
      </c>
    </row>
    <row r="2023" spans="1:20">
      <c r="A2023" s="241">
        <v>44001</v>
      </c>
      <c r="B2023" t="s">
        <v>9725</v>
      </c>
      <c r="C2023" t="s">
        <v>1986</v>
      </c>
      <c r="D2023" t="s">
        <v>249</v>
      </c>
      <c r="E2023" t="s">
        <v>712</v>
      </c>
      <c r="F2023" t="s">
        <v>1620</v>
      </c>
      <c r="G2023" t="s">
        <v>306</v>
      </c>
      <c r="H2023" t="s">
        <v>868</v>
      </c>
      <c r="I2023" t="s">
        <v>325</v>
      </c>
      <c r="J2023" t="s">
        <v>348</v>
      </c>
      <c r="K2023" t="s">
        <v>418</v>
      </c>
      <c r="L2023">
        <v>0.86</v>
      </c>
      <c r="M2023" t="s">
        <v>9726</v>
      </c>
      <c r="N2023" t="s">
        <v>9727</v>
      </c>
      <c r="O2023" t="s">
        <v>9728</v>
      </c>
      <c r="P2023" t="s">
        <v>485</v>
      </c>
      <c r="Q2023" t="s">
        <v>8794</v>
      </c>
      <c r="R2023" t="s">
        <v>8795</v>
      </c>
      <c r="S2023" t="s">
        <v>8794</v>
      </c>
      <c r="T2023" t="s">
        <v>8795</v>
      </c>
    </row>
    <row r="2024" spans="1:20">
      <c r="A2024" s="241">
        <v>44001</v>
      </c>
      <c r="B2024" t="s">
        <v>9729</v>
      </c>
      <c r="C2024" t="s">
        <v>3136</v>
      </c>
      <c r="D2024" t="s">
        <v>475</v>
      </c>
      <c r="E2024" t="s">
        <v>392</v>
      </c>
      <c r="F2024" t="s">
        <v>729</v>
      </c>
      <c r="G2024" t="s">
        <v>345</v>
      </c>
      <c r="H2024" t="s">
        <v>2074</v>
      </c>
      <c r="I2024" t="s">
        <v>1518</v>
      </c>
      <c r="J2024" t="s">
        <v>358</v>
      </c>
      <c r="K2024" t="s">
        <v>700</v>
      </c>
      <c r="L2024">
        <v>0.86</v>
      </c>
      <c r="M2024" t="s">
        <v>9730</v>
      </c>
      <c r="N2024" t="s">
        <v>9731</v>
      </c>
      <c r="O2024" t="s">
        <v>9732</v>
      </c>
      <c r="P2024" t="s">
        <v>485</v>
      </c>
      <c r="Q2024" t="s">
        <v>8794</v>
      </c>
      <c r="R2024" t="s">
        <v>8795</v>
      </c>
      <c r="S2024" t="s">
        <v>8794</v>
      </c>
      <c r="T2024" t="s">
        <v>8795</v>
      </c>
    </row>
    <row r="2025" spans="1:20">
      <c r="A2025" s="241">
        <v>44001</v>
      </c>
      <c r="B2025" t="s">
        <v>9733</v>
      </c>
      <c r="C2025" t="s">
        <v>1367</v>
      </c>
      <c r="D2025" t="s">
        <v>475</v>
      </c>
      <c r="E2025" t="s">
        <v>2549</v>
      </c>
      <c r="F2025" t="s">
        <v>364</v>
      </c>
      <c r="G2025" t="s">
        <v>1841</v>
      </c>
      <c r="H2025" t="s">
        <v>335</v>
      </c>
      <c r="I2025" t="s">
        <v>1859</v>
      </c>
      <c r="J2025" t="s">
        <v>665</v>
      </c>
      <c r="K2025" t="s">
        <v>428</v>
      </c>
      <c r="L2025">
        <v>0.86</v>
      </c>
      <c r="M2025" t="s">
        <v>9734</v>
      </c>
      <c r="N2025" t="s">
        <v>9735</v>
      </c>
      <c r="O2025" t="s">
        <v>9736</v>
      </c>
      <c r="P2025" t="s">
        <v>485</v>
      </c>
      <c r="Q2025" t="s">
        <v>8794</v>
      </c>
      <c r="R2025" t="s">
        <v>8795</v>
      </c>
      <c r="S2025" t="s">
        <v>8794</v>
      </c>
      <c r="T2025" t="s">
        <v>8795</v>
      </c>
    </row>
    <row r="2026" spans="1:20">
      <c r="A2026" s="241">
        <v>44001</v>
      </c>
      <c r="B2026" t="s">
        <v>9737</v>
      </c>
      <c r="C2026" t="s">
        <v>3136</v>
      </c>
      <c r="D2026" t="s">
        <v>273</v>
      </c>
      <c r="E2026" t="s">
        <v>1139</v>
      </c>
      <c r="F2026" t="s">
        <v>383</v>
      </c>
      <c r="G2026" t="s">
        <v>875</v>
      </c>
      <c r="H2026" t="s">
        <v>356</v>
      </c>
      <c r="I2026" t="s">
        <v>376</v>
      </c>
      <c r="J2026" t="s">
        <v>387</v>
      </c>
      <c r="K2026" t="s">
        <v>418</v>
      </c>
      <c r="L2026">
        <v>0.86</v>
      </c>
      <c r="M2026" t="s">
        <v>9738</v>
      </c>
      <c r="N2026" t="s">
        <v>9739</v>
      </c>
      <c r="O2026" t="s">
        <v>9740</v>
      </c>
      <c r="P2026" t="s">
        <v>485</v>
      </c>
      <c r="Q2026" t="s">
        <v>8794</v>
      </c>
      <c r="R2026" t="s">
        <v>8795</v>
      </c>
      <c r="S2026" t="s">
        <v>8794</v>
      </c>
      <c r="T2026" t="s">
        <v>8795</v>
      </c>
    </row>
    <row r="2027" spans="1:20">
      <c r="A2027" s="241">
        <v>44001</v>
      </c>
      <c r="B2027" t="s">
        <v>9741</v>
      </c>
      <c r="C2027" t="s">
        <v>488</v>
      </c>
      <c r="D2027" t="s">
        <v>236</v>
      </c>
      <c r="E2027" t="s">
        <v>392</v>
      </c>
      <c r="F2027" t="s">
        <v>364</v>
      </c>
      <c r="G2027" t="s">
        <v>1841</v>
      </c>
      <c r="H2027" t="s">
        <v>1769</v>
      </c>
      <c r="I2027" t="s">
        <v>367</v>
      </c>
      <c r="J2027" t="s">
        <v>377</v>
      </c>
      <c r="K2027" t="s">
        <v>408</v>
      </c>
      <c r="L2027">
        <v>0.86</v>
      </c>
      <c r="M2027" t="s">
        <v>9742</v>
      </c>
      <c r="N2027" t="s">
        <v>9743</v>
      </c>
      <c r="O2027" t="s">
        <v>9744</v>
      </c>
      <c r="P2027" t="s">
        <v>485</v>
      </c>
      <c r="Q2027" t="s">
        <v>8794</v>
      </c>
      <c r="R2027" t="s">
        <v>8795</v>
      </c>
      <c r="S2027" t="s">
        <v>8794</v>
      </c>
      <c r="T2027" t="s">
        <v>8795</v>
      </c>
    </row>
    <row r="2028" spans="1:20">
      <c r="A2028" s="241">
        <v>44001</v>
      </c>
      <c r="B2028" t="s">
        <v>9745</v>
      </c>
      <c r="C2028" t="s">
        <v>1196</v>
      </c>
      <c r="D2028" t="s">
        <v>1877</v>
      </c>
      <c r="E2028" t="s">
        <v>1139</v>
      </c>
      <c r="F2028" t="s">
        <v>364</v>
      </c>
      <c r="G2028" t="s">
        <v>617</v>
      </c>
      <c r="H2028" t="s">
        <v>1262</v>
      </c>
      <c r="I2028" t="s">
        <v>664</v>
      </c>
      <c r="J2028" t="s">
        <v>1128</v>
      </c>
      <c r="K2028" t="s">
        <v>408</v>
      </c>
      <c r="L2028">
        <v>0.86</v>
      </c>
      <c r="M2028" t="s">
        <v>9746</v>
      </c>
      <c r="N2028" t="s">
        <v>9747</v>
      </c>
      <c r="O2028" t="s">
        <v>9748</v>
      </c>
      <c r="P2028" t="s">
        <v>485</v>
      </c>
      <c r="Q2028" t="s">
        <v>8794</v>
      </c>
      <c r="R2028" t="s">
        <v>8795</v>
      </c>
      <c r="S2028" t="s">
        <v>8794</v>
      </c>
      <c r="T2028" t="s">
        <v>8795</v>
      </c>
    </row>
    <row r="2029" spans="1:20">
      <c r="A2029" s="241">
        <v>44001</v>
      </c>
      <c r="B2029" t="s">
        <v>9749</v>
      </c>
      <c r="C2029" t="s">
        <v>3136</v>
      </c>
      <c r="D2029" t="s">
        <v>510</v>
      </c>
      <c r="E2029" t="s">
        <v>679</v>
      </c>
      <c r="F2029" t="s">
        <v>344</v>
      </c>
      <c r="G2029" t="s">
        <v>648</v>
      </c>
      <c r="H2029" t="s">
        <v>1056</v>
      </c>
      <c r="I2029" t="s">
        <v>1563</v>
      </c>
      <c r="J2029" t="s">
        <v>912</v>
      </c>
      <c r="K2029" t="s">
        <v>408</v>
      </c>
      <c r="L2029">
        <v>0.86</v>
      </c>
      <c r="M2029" t="s">
        <v>9750</v>
      </c>
      <c r="N2029" t="s">
        <v>9751</v>
      </c>
      <c r="O2029" t="s">
        <v>9752</v>
      </c>
      <c r="P2029" t="s">
        <v>485</v>
      </c>
      <c r="Q2029" t="s">
        <v>8794</v>
      </c>
      <c r="R2029" t="s">
        <v>8795</v>
      </c>
      <c r="S2029" t="s">
        <v>8794</v>
      </c>
      <c r="T2029" t="s">
        <v>8795</v>
      </c>
    </row>
    <row r="2030" spans="1:20">
      <c r="A2030" s="241">
        <v>44001</v>
      </c>
      <c r="B2030" t="s">
        <v>9753</v>
      </c>
      <c r="C2030" t="s">
        <v>1367</v>
      </c>
      <c r="D2030" t="s">
        <v>1877</v>
      </c>
      <c r="E2030" t="s">
        <v>443</v>
      </c>
      <c r="F2030" t="s">
        <v>2579</v>
      </c>
      <c r="G2030" t="s">
        <v>1517</v>
      </c>
      <c r="H2030" t="s">
        <v>1056</v>
      </c>
      <c r="I2030" t="s">
        <v>1563</v>
      </c>
      <c r="J2030" t="s">
        <v>912</v>
      </c>
      <c r="K2030" t="s">
        <v>428</v>
      </c>
      <c r="L2030">
        <v>0.86</v>
      </c>
      <c r="M2030" t="s">
        <v>9754</v>
      </c>
      <c r="N2030" t="s">
        <v>9755</v>
      </c>
      <c r="O2030" t="s">
        <v>9756</v>
      </c>
      <c r="P2030" t="s">
        <v>485</v>
      </c>
      <c r="Q2030" t="s">
        <v>8794</v>
      </c>
      <c r="R2030" t="s">
        <v>8795</v>
      </c>
      <c r="S2030" t="s">
        <v>8794</v>
      </c>
      <c r="T2030" t="s">
        <v>8795</v>
      </c>
    </row>
    <row r="2031" spans="1:20">
      <c r="A2031" s="241">
        <v>44001</v>
      </c>
      <c r="B2031" t="s">
        <v>9757</v>
      </c>
      <c r="C2031" t="s">
        <v>1377</v>
      </c>
      <c r="D2031" t="s">
        <v>236</v>
      </c>
      <c r="E2031" t="s">
        <v>443</v>
      </c>
      <c r="F2031" t="s">
        <v>904</v>
      </c>
      <c r="G2031" t="s">
        <v>898</v>
      </c>
      <c r="H2031" t="s">
        <v>263</v>
      </c>
      <c r="I2031" t="s">
        <v>1563</v>
      </c>
      <c r="J2031" t="s">
        <v>691</v>
      </c>
      <c r="K2031" t="s">
        <v>722</v>
      </c>
      <c r="L2031">
        <v>0.86</v>
      </c>
      <c r="M2031" t="s">
        <v>9758</v>
      </c>
      <c r="N2031" t="s">
        <v>9759</v>
      </c>
      <c r="O2031" t="s">
        <v>9760</v>
      </c>
      <c r="P2031" t="s">
        <v>485</v>
      </c>
      <c r="Q2031" t="s">
        <v>8794</v>
      </c>
      <c r="R2031" t="s">
        <v>8795</v>
      </c>
      <c r="S2031" t="s">
        <v>8794</v>
      </c>
      <c r="T2031" t="s">
        <v>8795</v>
      </c>
    </row>
    <row r="2032" spans="1:20">
      <c r="A2032" s="241">
        <v>44001</v>
      </c>
      <c r="B2032" t="s">
        <v>9761</v>
      </c>
      <c r="C2032" t="s">
        <v>262</v>
      </c>
      <c r="D2032" t="s">
        <v>273</v>
      </c>
      <c r="E2032" t="s">
        <v>645</v>
      </c>
      <c r="F2032" t="s">
        <v>413</v>
      </c>
      <c r="G2032" t="s">
        <v>1590</v>
      </c>
      <c r="H2032" t="s">
        <v>285</v>
      </c>
      <c r="I2032" t="s">
        <v>1579</v>
      </c>
      <c r="J2032" t="s">
        <v>407</v>
      </c>
      <c r="K2032" t="s">
        <v>7035</v>
      </c>
      <c r="L2032">
        <v>0.86</v>
      </c>
      <c r="M2032" t="s">
        <v>9762</v>
      </c>
      <c r="N2032" t="s">
        <v>9763</v>
      </c>
      <c r="O2032" t="s">
        <v>9764</v>
      </c>
      <c r="P2032" t="s">
        <v>485</v>
      </c>
      <c r="Q2032" t="s">
        <v>8794</v>
      </c>
      <c r="R2032" t="s">
        <v>8795</v>
      </c>
      <c r="S2032" t="s">
        <v>8794</v>
      </c>
      <c r="T2032" t="s">
        <v>8795</v>
      </c>
    </row>
    <row r="2033" spans="1:20">
      <c r="A2033" s="241">
        <v>44001</v>
      </c>
      <c r="B2033" t="s">
        <v>9765</v>
      </c>
      <c r="C2033" t="s">
        <v>1877</v>
      </c>
      <c r="D2033" t="s">
        <v>206</v>
      </c>
      <c r="E2033" t="s">
        <v>2535</v>
      </c>
      <c r="F2033" t="s">
        <v>1177</v>
      </c>
      <c r="G2033" t="s">
        <v>2393</v>
      </c>
      <c r="H2033" t="s">
        <v>1291</v>
      </c>
      <c r="I2033" t="s">
        <v>1140</v>
      </c>
      <c r="J2033" t="s">
        <v>1309</v>
      </c>
      <c r="K2033" t="s">
        <v>6918</v>
      </c>
      <c r="L2033">
        <v>0.86</v>
      </c>
      <c r="M2033" t="s">
        <v>9766</v>
      </c>
      <c r="N2033" t="s">
        <v>9767</v>
      </c>
      <c r="O2033" t="s">
        <v>9768</v>
      </c>
      <c r="P2033" t="s">
        <v>485</v>
      </c>
      <c r="Q2033" t="s">
        <v>8794</v>
      </c>
      <c r="R2033" t="s">
        <v>8795</v>
      </c>
      <c r="S2033" t="s">
        <v>8794</v>
      </c>
      <c r="T2033" t="s">
        <v>8795</v>
      </c>
    </row>
    <row r="2034" spans="1:20">
      <c r="A2034" s="241">
        <v>44001</v>
      </c>
      <c r="B2034" t="s">
        <v>9769</v>
      </c>
      <c r="C2034" t="s">
        <v>1877</v>
      </c>
      <c r="D2034" t="s">
        <v>475</v>
      </c>
      <c r="E2034" t="s">
        <v>2549</v>
      </c>
      <c r="F2034" t="s">
        <v>1303</v>
      </c>
      <c r="G2034" t="s">
        <v>1562</v>
      </c>
      <c r="H2034" t="s">
        <v>616</v>
      </c>
      <c r="I2034" t="s">
        <v>690</v>
      </c>
      <c r="J2034" t="s">
        <v>919</v>
      </c>
      <c r="K2034" t="s">
        <v>722</v>
      </c>
      <c r="L2034">
        <v>0.86</v>
      </c>
      <c r="M2034" t="s">
        <v>9770</v>
      </c>
      <c r="N2034" t="s">
        <v>9771</v>
      </c>
      <c r="O2034" t="s">
        <v>9772</v>
      </c>
      <c r="P2034" t="s">
        <v>485</v>
      </c>
      <c r="Q2034" t="s">
        <v>8794</v>
      </c>
      <c r="R2034" t="s">
        <v>8795</v>
      </c>
      <c r="S2034" t="s">
        <v>8794</v>
      </c>
      <c r="T2034" t="s">
        <v>8795</v>
      </c>
    </row>
    <row r="2035" spans="1:20">
      <c r="A2035" s="241">
        <v>44001</v>
      </c>
      <c r="B2035" t="s">
        <v>9773</v>
      </c>
      <c r="C2035" t="s">
        <v>236</v>
      </c>
      <c r="D2035" t="s">
        <v>510</v>
      </c>
      <c r="E2035" t="s">
        <v>679</v>
      </c>
      <c r="F2035" t="s">
        <v>1945</v>
      </c>
      <c r="G2035" t="s">
        <v>1568</v>
      </c>
      <c r="H2035" t="s">
        <v>395</v>
      </c>
      <c r="I2035" t="s">
        <v>1923</v>
      </c>
      <c r="J2035" t="s">
        <v>437</v>
      </c>
      <c r="K2035" t="s">
        <v>7035</v>
      </c>
      <c r="L2035">
        <v>0.86</v>
      </c>
      <c r="M2035" t="s">
        <v>9774</v>
      </c>
      <c r="N2035" t="s">
        <v>9775</v>
      </c>
      <c r="O2035" t="s">
        <v>9776</v>
      </c>
      <c r="P2035" t="s">
        <v>485</v>
      </c>
      <c r="Q2035" t="s">
        <v>8794</v>
      </c>
      <c r="R2035" t="s">
        <v>8795</v>
      </c>
      <c r="S2035" t="s">
        <v>8794</v>
      </c>
      <c r="T2035" t="s">
        <v>8795</v>
      </c>
    </row>
    <row r="2036" spans="1:20">
      <c r="A2036" s="241">
        <v>44001</v>
      </c>
      <c r="B2036" t="s">
        <v>9777</v>
      </c>
      <c r="C2036" t="s">
        <v>5481</v>
      </c>
      <c r="D2036" t="s">
        <v>510</v>
      </c>
      <c r="E2036" t="s">
        <v>2535</v>
      </c>
      <c r="F2036" t="s">
        <v>952</v>
      </c>
      <c r="G2036" t="s">
        <v>910</v>
      </c>
      <c r="H2036" t="s">
        <v>706</v>
      </c>
      <c r="I2036" t="s">
        <v>416</v>
      </c>
      <c r="J2036" t="s">
        <v>954</v>
      </c>
      <c r="K2036" t="s">
        <v>7035</v>
      </c>
      <c r="L2036">
        <v>0.86</v>
      </c>
      <c r="M2036" t="s">
        <v>9778</v>
      </c>
      <c r="N2036" t="s">
        <v>9779</v>
      </c>
      <c r="O2036" t="s">
        <v>9780</v>
      </c>
      <c r="P2036" t="s">
        <v>485</v>
      </c>
      <c r="Q2036" t="s">
        <v>8794</v>
      </c>
      <c r="R2036" t="s">
        <v>8795</v>
      </c>
      <c r="S2036" t="s">
        <v>8794</v>
      </c>
      <c r="T2036" t="s">
        <v>8795</v>
      </c>
    </row>
    <row r="2037" spans="1:20">
      <c r="A2037" s="241">
        <v>44001</v>
      </c>
      <c r="B2037" t="s">
        <v>9781</v>
      </c>
      <c r="C2037" t="s">
        <v>1986</v>
      </c>
      <c r="D2037" t="s">
        <v>475</v>
      </c>
      <c r="E2037" t="s">
        <v>2549</v>
      </c>
      <c r="F2037" t="s">
        <v>1619</v>
      </c>
      <c r="G2037" t="s">
        <v>1297</v>
      </c>
      <c r="H2037" t="s">
        <v>926</v>
      </c>
      <c r="I2037" t="s">
        <v>1158</v>
      </c>
      <c r="J2037" t="s">
        <v>447</v>
      </c>
      <c r="K2037" t="s">
        <v>7065</v>
      </c>
      <c r="L2037">
        <v>0.86</v>
      </c>
      <c r="M2037" t="s">
        <v>9782</v>
      </c>
      <c r="N2037" t="s">
        <v>9783</v>
      </c>
      <c r="O2037" t="s">
        <v>9784</v>
      </c>
      <c r="P2037" t="s">
        <v>485</v>
      </c>
      <c r="Q2037" t="s">
        <v>8794</v>
      </c>
      <c r="R2037" t="s">
        <v>8795</v>
      </c>
      <c r="S2037" t="s">
        <v>8794</v>
      </c>
      <c r="T2037" t="s">
        <v>8795</v>
      </c>
    </row>
    <row r="2038" spans="1:20">
      <c r="A2038" s="241">
        <v>44001</v>
      </c>
      <c r="B2038" t="s">
        <v>9785</v>
      </c>
      <c r="C2038" t="s">
        <v>1986</v>
      </c>
      <c r="D2038" t="s">
        <v>423</v>
      </c>
      <c r="E2038" t="s">
        <v>402</v>
      </c>
      <c r="F2038" t="s">
        <v>1945</v>
      </c>
      <c r="G2038" t="s">
        <v>434</v>
      </c>
      <c r="H2038" t="s">
        <v>333</v>
      </c>
      <c r="I2038" t="s">
        <v>1631</v>
      </c>
      <c r="J2038" t="s">
        <v>6929</v>
      </c>
      <c r="K2038" t="s">
        <v>7065</v>
      </c>
      <c r="L2038">
        <v>0.86</v>
      </c>
      <c r="M2038" t="s">
        <v>9786</v>
      </c>
      <c r="N2038" t="s">
        <v>9787</v>
      </c>
      <c r="O2038" t="s">
        <v>9788</v>
      </c>
      <c r="P2038" t="s">
        <v>485</v>
      </c>
      <c r="Q2038" t="s">
        <v>8794</v>
      </c>
      <c r="R2038" t="s">
        <v>8795</v>
      </c>
      <c r="S2038" t="s">
        <v>8794</v>
      </c>
      <c r="T2038" t="s">
        <v>8795</v>
      </c>
    </row>
    <row r="2039" spans="1:20">
      <c r="A2039" s="241">
        <v>44001</v>
      </c>
      <c r="B2039" t="s">
        <v>9789</v>
      </c>
      <c r="C2039" t="s">
        <v>273</v>
      </c>
      <c r="D2039" t="s">
        <v>1877</v>
      </c>
      <c r="E2039" t="s">
        <v>424</v>
      </c>
      <c r="F2039" t="s">
        <v>945</v>
      </c>
      <c r="G2039" t="s">
        <v>938</v>
      </c>
      <c r="H2039" t="s">
        <v>1493</v>
      </c>
      <c r="I2039" t="s">
        <v>947</v>
      </c>
      <c r="J2039" t="s">
        <v>7242</v>
      </c>
      <c r="K2039" t="s">
        <v>7035</v>
      </c>
      <c r="L2039">
        <v>0.86</v>
      </c>
      <c r="M2039" t="s">
        <v>9790</v>
      </c>
      <c r="N2039" t="s">
        <v>9791</v>
      </c>
      <c r="O2039" t="s">
        <v>9792</v>
      </c>
      <c r="P2039" t="s">
        <v>485</v>
      </c>
      <c r="Q2039" t="s">
        <v>8794</v>
      </c>
      <c r="R2039" t="s">
        <v>8795</v>
      </c>
      <c r="S2039" t="s">
        <v>8794</v>
      </c>
      <c r="T2039" t="s">
        <v>8795</v>
      </c>
    </row>
    <row r="2040" spans="1:20">
      <c r="A2040" s="241">
        <v>44001</v>
      </c>
      <c r="B2040" t="s">
        <v>9793</v>
      </c>
      <c r="C2040" t="s">
        <v>223</v>
      </c>
      <c r="D2040" t="s">
        <v>510</v>
      </c>
      <c r="E2040" t="s">
        <v>2478</v>
      </c>
      <c r="F2040" t="s">
        <v>3408</v>
      </c>
      <c r="G2040" t="s">
        <v>953</v>
      </c>
      <c r="H2040" t="s">
        <v>323</v>
      </c>
      <c r="I2040" t="s">
        <v>3807</v>
      </c>
      <c r="J2040" t="s">
        <v>6923</v>
      </c>
      <c r="K2040" t="s">
        <v>6924</v>
      </c>
      <c r="L2040">
        <v>0.86</v>
      </c>
      <c r="M2040" t="s">
        <v>9794</v>
      </c>
      <c r="N2040" t="s">
        <v>9795</v>
      </c>
      <c r="O2040" t="s">
        <v>9796</v>
      </c>
      <c r="P2040" t="s">
        <v>485</v>
      </c>
      <c r="Q2040" t="s">
        <v>8794</v>
      </c>
      <c r="R2040" t="s">
        <v>8795</v>
      </c>
      <c r="S2040" t="s">
        <v>8794</v>
      </c>
      <c r="T2040" t="s">
        <v>8795</v>
      </c>
    </row>
    <row r="2041" spans="1:20">
      <c r="A2041" s="241">
        <v>44001</v>
      </c>
      <c r="B2041" t="s">
        <v>9797</v>
      </c>
      <c r="C2041" t="s">
        <v>9111</v>
      </c>
      <c r="D2041" t="s">
        <v>463</v>
      </c>
      <c r="E2041" t="s">
        <v>1377</v>
      </c>
      <c r="F2041" t="s">
        <v>9628</v>
      </c>
      <c r="G2041" t="s">
        <v>3119</v>
      </c>
      <c r="H2041" t="s">
        <v>1368</v>
      </c>
      <c r="I2041" t="s">
        <v>2629</v>
      </c>
      <c r="J2041" t="s">
        <v>4613</v>
      </c>
      <c r="K2041" t="s">
        <v>2242</v>
      </c>
      <c r="L2041">
        <v>0.89</v>
      </c>
      <c r="M2041" t="s">
        <v>9798</v>
      </c>
      <c r="N2041" t="s">
        <v>9799</v>
      </c>
      <c r="O2041" t="s">
        <v>9800</v>
      </c>
      <c r="P2041" t="s">
        <v>485</v>
      </c>
      <c r="Q2041" t="s">
        <v>8794</v>
      </c>
      <c r="R2041" t="s">
        <v>8795</v>
      </c>
      <c r="S2041" t="s">
        <v>8794</v>
      </c>
      <c r="T2041" t="s">
        <v>8795</v>
      </c>
    </row>
    <row r="2042" spans="1:20">
      <c r="A2042" s="241">
        <v>44001</v>
      </c>
      <c r="B2042" t="s">
        <v>9801</v>
      </c>
      <c r="C2042" t="s">
        <v>969</v>
      </c>
      <c r="D2042" t="s">
        <v>969</v>
      </c>
      <c r="E2042" t="s">
        <v>1665</v>
      </c>
      <c r="F2042" t="s">
        <v>1187</v>
      </c>
      <c r="G2042" t="s">
        <v>1359</v>
      </c>
      <c r="H2042" t="s">
        <v>2441</v>
      </c>
      <c r="I2042" t="s">
        <v>6829</v>
      </c>
      <c r="J2042" t="s">
        <v>9802</v>
      </c>
      <c r="K2042" t="s">
        <v>1190</v>
      </c>
      <c r="L2042">
        <v>0.89</v>
      </c>
      <c r="M2042" t="s">
        <v>9803</v>
      </c>
      <c r="N2042" t="s">
        <v>9804</v>
      </c>
      <c r="O2042" t="s">
        <v>9805</v>
      </c>
      <c r="P2042" t="s">
        <v>485</v>
      </c>
      <c r="Q2042" t="s">
        <v>8794</v>
      </c>
      <c r="R2042" t="s">
        <v>8795</v>
      </c>
      <c r="S2042" t="s">
        <v>8794</v>
      </c>
      <c r="T2042" t="s">
        <v>8795</v>
      </c>
    </row>
    <row r="2043" spans="1:20">
      <c r="A2043" s="241">
        <v>44001</v>
      </c>
      <c r="B2043" t="s">
        <v>9806</v>
      </c>
      <c r="C2043" t="s">
        <v>6942</v>
      </c>
      <c r="D2043" t="s">
        <v>6984</v>
      </c>
      <c r="E2043" t="s">
        <v>3831</v>
      </c>
      <c r="F2043" t="s">
        <v>1655</v>
      </c>
      <c r="G2043" t="s">
        <v>6708</v>
      </c>
      <c r="H2043" t="s">
        <v>6332</v>
      </c>
      <c r="I2043" t="s">
        <v>2646</v>
      </c>
      <c r="J2043" t="s">
        <v>9807</v>
      </c>
      <c r="K2043" t="s">
        <v>985</v>
      </c>
      <c r="L2043">
        <v>0.89</v>
      </c>
      <c r="M2043" t="s">
        <v>9808</v>
      </c>
      <c r="N2043" t="s">
        <v>9809</v>
      </c>
      <c r="O2043" t="s">
        <v>9810</v>
      </c>
      <c r="P2043" t="s">
        <v>485</v>
      </c>
      <c r="Q2043" t="s">
        <v>8794</v>
      </c>
      <c r="R2043" t="s">
        <v>8795</v>
      </c>
      <c r="S2043" t="s">
        <v>8794</v>
      </c>
      <c r="T2043" t="s">
        <v>8795</v>
      </c>
    </row>
    <row r="2044" spans="1:20">
      <c r="A2044" s="241">
        <v>44001</v>
      </c>
      <c r="B2044" t="s">
        <v>9811</v>
      </c>
      <c r="C2044" t="s">
        <v>6985</v>
      </c>
      <c r="D2044" t="s">
        <v>6984</v>
      </c>
      <c r="E2044" t="s">
        <v>1666</v>
      </c>
      <c r="F2044" t="s">
        <v>3681</v>
      </c>
      <c r="G2044" t="s">
        <v>7564</v>
      </c>
      <c r="H2044" t="s">
        <v>4626</v>
      </c>
      <c r="I2044" t="s">
        <v>769</v>
      </c>
      <c r="J2044" t="s">
        <v>6823</v>
      </c>
      <c r="K2044" t="s">
        <v>985</v>
      </c>
      <c r="L2044">
        <v>0.89</v>
      </c>
      <c r="M2044" t="s">
        <v>9812</v>
      </c>
      <c r="N2044" t="s">
        <v>9813</v>
      </c>
      <c r="O2044" t="s">
        <v>9814</v>
      </c>
      <c r="P2044" t="s">
        <v>485</v>
      </c>
      <c r="Q2044" t="s">
        <v>8794</v>
      </c>
      <c r="R2044" t="s">
        <v>8795</v>
      </c>
      <c r="S2044" t="s">
        <v>8794</v>
      </c>
      <c r="T2044" t="s">
        <v>8795</v>
      </c>
    </row>
    <row r="2045" spans="1:20">
      <c r="A2045" s="241">
        <v>44001</v>
      </c>
      <c r="B2045" t="s">
        <v>9815</v>
      </c>
      <c r="C2045" t="s">
        <v>1986</v>
      </c>
      <c r="D2045" t="s">
        <v>3679</v>
      </c>
      <c r="E2045" t="s">
        <v>1079</v>
      </c>
      <c r="F2045" t="s">
        <v>1716</v>
      </c>
      <c r="G2045" t="s">
        <v>7577</v>
      </c>
      <c r="H2045" t="s">
        <v>2654</v>
      </c>
      <c r="I2045" t="s">
        <v>1680</v>
      </c>
      <c r="J2045" t="s">
        <v>1216</v>
      </c>
      <c r="K2045" t="s">
        <v>231</v>
      </c>
      <c r="L2045">
        <v>0.87</v>
      </c>
      <c r="M2045" t="s">
        <v>9816</v>
      </c>
      <c r="N2045" t="s">
        <v>9817</v>
      </c>
      <c r="O2045" t="s">
        <v>9818</v>
      </c>
      <c r="P2045" t="s">
        <v>485</v>
      </c>
      <c r="Q2045" t="s">
        <v>8794</v>
      </c>
      <c r="R2045" t="s">
        <v>8795</v>
      </c>
      <c r="S2045" t="s">
        <v>8794</v>
      </c>
      <c r="T2045" t="s">
        <v>8795</v>
      </c>
    </row>
    <row r="2046" spans="1:20">
      <c r="A2046" s="241">
        <v>44001</v>
      </c>
      <c r="B2046" t="s">
        <v>9819</v>
      </c>
      <c r="C2046" t="s">
        <v>488</v>
      </c>
      <c r="D2046" t="s">
        <v>5481</v>
      </c>
      <c r="E2046" t="s">
        <v>1139</v>
      </c>
      <c r="F2046" t="s">
        <v>1397</v>
      </c>
      <c r="G2046" t="s">
        <v>511</v>
      </c>
      <c r="H2046" t="s">
        <v>2456</v>
      </c>
      <c r="I2046" t="s">
        <v>1010</v>
      </c>
      <c r="J2046" t="s">
        <v>2681</v>
      </c>
      <c r="K2046" t="s">
        <v>299</v>
      </c>
      <c r="L2046">
        <v>0.87</v>
      </c>
      <c r="M2046" t="s">
        <v>9820</v>
      </c>
      <c r="N2046" t="s">
        <v>9821</v>
      </c>
      <c r="O2046" t="s">
        <v>9822</v>
      </c>
      <c r="P2046" t="s">
        <v>485</v>
      </c>
      <c r="Q2046" t="s">
        <v>8794</v>
      </c>
      <c r="R2046" t="s">
        <v>8795</v>
      </c>
      <c r="S2046" t="s">
        <v>8794</v>
      </c>
      <c r="T2046" t="s">
        <v>8795</v>
      </c>
    </row>
    <row r="2047" spans="1:20">
      <c r="A2047" s="241">
        <v>44001</v>
      </c>
      <c r="B2047" t="s">
        <v>9823</v>
      </c>
      <c r="C2047" t="s">
        <v>475</v>
      </c>
      <c r="D2047" t="s">
        <v>5481</v>
      </c>
      <c r="E2047" t="s">
        <v>679</v>
      </c>
      <c r="F2047" t="s">
        <v>3554</v>
      </c>
      <c r="G2047" t="s">
        <v>6720</v>
      </c>
      <c r="H2047" t="s">
        <v>778</v>
      </c>
      <c r="I2047" t="s">
        <v>2029</v>
      </c>
      <c r="J2047" t="s">
        <v>2681</v>
      </c>
      <c r="K2047" t="s">
        <v>244</v>
      </c>
      <c r="L2047">
        <v>0.87</v>
      </c>
      <c r="M2047" t="s">
        <v>9824</v>
      </c>
      <c r="N2047" t="s">
        <v>9825</v>
      </c>
      <c r="O2047" t="s">
        <v>9826</v>
      </c>
      <c r="P2047" t="s">
        <v>485</v>
      </c>
      <c r="Q2047" t="s">
        <v>8794</v>
      </c>
      <c r="R2047" t="s">
        <v>8795</v>
      </c>
      <c r="S2047" t="s">
        <v>8794</v>
      </c>
      <c r="T2047" t="s">
        <v>8795</v>
      </c>
    </row>
    <row r="2048" spans="1:20">
      <c r="A2048" s="241">
        <v>44001</v>
      </c>
      <c r="B2048" t="s">
        <v>9827</v>
      </c>
      <c r="C2048" t="s">
        <v>475</v>
      </c>
      <c r="D2048" t="s">
        <v>488</v>
      </c>
      <c r="E2048" t="s">
        <v>392</v>
      </c>
      <c r="F2048" t="s">
        <v>2010</v>
      </c>
      <c r="G2048" t="s">
        <v>2463</v>
      </c>
      <c r="H2048" t="s">
        <v>3999</v>
      </c>
      <c r="I2048" t="s">
        <v>1226</v>
      </c>
      <c r="J2048" t="s">
        <v>533</v>
      </c>
      <c r="K2048" t="s">
        <v>571</v>
      </c>
      <c r="L2048">
        <v>0.87</v>
      </c>
      <c r="M2048" t="s">
        <v>9828</v>
      </c>
      <c r="N2048" t="s">
        <v>9829</v>
      </c>
      <c r="O2048" t="s">
        <v>9830</v>
      </c>
      <c r="P2048" t="s">
        <v>485</v>
      </c>
      <c r="Q2048" t="s">
        <v>8794</v>
      </c>
      <c r="R2048" t="s">
        <v>8795</v>
      </c>
      <c r="S2048" t="s">
        <v>8794</v>
      </c>
      <c r="T2048" t="s">
        <v>8795</v>
      </c>
    </row>
    <row r="2049" spans="1:20">
      <c r="A2049" s="241">
        <v>44001</v>
      </c>
      <c r="B2049" t="s">
        <v>9831</v>
      </c>
      <c r="C2049" t="s">
        <v>1377</v>
      </c>
      <c r="D2049" t="s">
        <v>223</v>
      </c>
      <c r="E2049" t="s">
        <v>2535</v>
      </c>
      <c r="F2049" t="s">
        <v>862</v>
      </c>
      <c r="G2049" t="s">
        <v>2463</v>
      </c>
      <c r="H2049" t="s">
        <v>787</v>
      </c>
      <c r="I2049" t="s">
        <v>542</v>
      </c>
      <c r="J2049" t="s">
        <v>1428</v>
      </c>
      <c r="K2049" t="s">
        <v>571</v>
      </c>
      <c r="L2049">
        <v>0.87</v>
      </c>
      <c r="M2049" t="s">
        <v>9832</v>
      </c>
      <c r="N2049" t="s">
        <v>9833</v>
      </c>
      <c r="O2049" t="s">
        <v>9834</v>
      </c>
      <c r="P2049" t="s">
        <v>485</v>
      </c>
      <c r="Q2049" t="s">
        <v>8794</v>
      </c>
      <c r="R2049" t="s">
        <v>8795</v>
      </c>
      <c r="S2049" t="s">
        <v>8794</v>
      </c>
      <c r="T2049" t="s">
        <v>8795</v>
      </c>
    </row>
    <row r="2050" spans="1:20">
      <c r="A2050" s="241">
        <v>44001</v>
      </c>
      <c r="B2050" t="s">
        <v>9835</v>
      </c>
      <c r="C2050" t="s">
        <v>1196</v>
      </c>
      <c r="D2050" t="s">
        <v>236</v>
      </c>
      <c r="E2050" t="s">
        <v>1139</v>
      </c>
      <c r="F2050" t="s">
        <v>1231</v>
      </c>
      <c r="G2050" t="s">
        <v>1715</v>
      </c>
      <c r="H2050" t="s">
        <v>1018</v>
      </c>
      <c r="I2050" t="s">
        <v>532</v>
      </c>
      <c r="J2050" t="s">
        <v>543</v>
      </c>
      <c r="K2050" t="s">
        <v>579</v>
      </c>
      <c r="L2050">
        <v>0.87</v>
      </c>
      <c r="M2050" t="s">
        <v>9836</v>
      </c>
      <c r="N2050" t="s">
        <v>9837</v>
      </c>
      <c r="O2050" t="s">
        <v>9838</v>
      </c>
      <c r="P2050" t="s">
        <v>485</v>
      </c>
      <c r="Q2050" t="s">
        <v>8794</v>
      </c>
      <c r="R2050" t="s">
        <v>8795</v>
      </c>
      <c r="S2050" t="s">
        <v>8794</v>
      </c>
      <c r="T2050" t="s">
        <v>8795</v>
      </c>
    </row>
    <row r="2051" spans="1:20">
      <c r="A2051" s="241">
        <v>44001</v>
      </c>
      <c r="B2051" t="s">
        <v>9839</v>
      </c>
      <c r="C2051" t="s">
        <v>1877</v>
      </c>
      <c r="D2051" t="s">
        <v>273</v>
      </c>
      <c r="E2051" t="s">
        <v>392</v>
      </c>
      <c r="F2051" t="s">
        <v>862</v>
      </c>
      <c r="G2051" t="s">
        <v>792</v>
      </c>
      <c r="H2051" t="s">
        <v>1709</v>
      </c>
      <c r="I2051" t="s">
        <v>1421</v>
      </c>
      <c r="J2051" t="s">
        <v>817</v>
      </c>
      <c r="K2051" t="s">
        <v>299</v>
      </c>
      <c r="L2051">
        <v>0.87</v>
      </c>
      <c r="M2051" t="s">
        <v>9840</v>
      </c>
      <c r="N2051" t="s">
        <v>9841</v>
      </c>
      <c r="O2051" t="s">
        <v>9842</v>
      </c>
      <c r="P2051" t="s">
        <v>485</v>
      </c>
      <c r="Q2051" t="s">
        <v>8794</v>
      </c>
      <c r="R2051" t="s">
        <v>8795</v>
      </c>
      <c r="S2051" t="s">
        <v>8794</v>
      </c>
      <c r="T2051" t="s">
        <v>8795</v>
      </c>
    </row>
    <row r="2052" spans="1:20">
      <c r="A2052" s="241">
        <v>44001</v>
      </c>
      <c r="B2052" t="s">
        <v>9843</v>
      </c>
      <c r="C2052" t="s">
        <v>475</v>
      </c>
      <c r="D2052" t="s">
        <v>273</v>
      </c>
      <c r="E2052" t="s">
        <v>208</v>
      </c>
      <c r="F2052" t="s">
        <v>335</v>
      </c>
      <c r="G2052" t="s">
        <v>2043</v>
      </c>
      <c r="H2052" t="s">
        <v>211</v>
      </c>
      <c r="I2052" t="s">
        <v>1031</v>
      </c>
      <c r="J2052" t="s">
        <v>1039</v>
      </c>
      <c r="K2052" t="s">
        <v>579</v>
      </c>
      <c r="L2052">
        <v>0.87</v>
      </c>
      <c r="M2052" t="s">
        <v>9844</v>
      </c>
      <c r="N2052" t="s">
        <v>9845</v>
      </c>
      <c r="O2052" t="s">
        <v>9846</v>
      </c>
      <c r="P2052" t="s">
        <v>485</v>
      </c>
      <c r="Q2052" t="s">
        <v>8794</v>
      </c>
      <c r="R2052" t="s">
        <v>8795</v>
      </c>
      <c r="S2052" t="s">
        <v>8794</v>
      </c>
      <c r="T2052" t="s">
        <v>8795</v>
      </c>
    </row>
    <row r="2053" spans="1:20">
      <c r="A2053" s="241">
        <v>44001</v>
      </c>
      <c r="B2053" t="s">
        <v>9847</v>
      </c>
      <c r="C2053" t="s">
        <v>262</v>
      </c>
      <c r="D2053" t="s">
        <v>475</v>
      </c>
      <c r="E2053" t="s">
        <v>1139</v>
      </c>
      <c r="F2053" t="s">
        <v>1255</v>
      </c>
      <c r="G2053" t="s">
        <v>1725</v>
      </c>
      <c r="H2053" t="s">
        <v>1213</v>
      </c>
      <c r="I2053" t="s">
        <v>1747</v>
      </c>
      <c r="J2053" t="s">
        <v>1245</v>
      </c>
      <c r="K2053" t="s">
        <v>280</v>
      </c>
      <c r="L2053">
        <v>0.87</v>
      </c>
      <c r="M2053" t="s">
        <v>9848</v>
      </c>
      <c r="N2053" t="s">
        <v>9849</v>
      </c>
      <c r="O2053" t="s">
        <v>9850</v>
      </c>
      <c r="P2053" t="s">
        <v>485</v>
      </c>
      <c r="Q2053" t="s">
        <v>8794</v>
      </c>
      <c r="R2053" t="s">
        <v>8795</v>
      </c>
      <c r="S2053" t="s">
        <v>8794</v>
      </c>
      <c r="T2053" t="s">
        <v>8795</v>
      </c>
    </row>
    <row r="2054" spans="1:20">
      <c r="A2054" s="241">
        <v>44001</v>
      </c>
      <c r="B2054" t="s">
        <v>9851</v>
      </c>
      <c r="C2054" t="s">
        <v>1196</v>
      </c>
      <c r="D2054" t="s">
        <v>1877</v>
      </c>
      <c r="E2054" t="s">
        <v>402</v>
      </c>
      <c r="F2054" t="s">
        <v>608</v>
      </c>
      <c r="G2054" t="s">
        <v>804</v>
      </c>
      <c r="H2054" t="s">
        <v>549</v>
      </c>
      <c r="I2054" t="s">
        <v>816</v>
      </c>
      <c r="J2054" t="s">
        <v>561</v>
      </c>
      <c r="K2054" t="s">
        <v>579</v>
      </c>
      <c r="L2054">
        <v>0.87</v>
      </c>
      <c r="M2054" t="s">
        <v>9852</v>
      </c>
      <c r="N2054" t="s">
        <v>9853</v>
      </c>
      <c r="O2054" t="s">
        <v>9854</v>
      </c>
      <c r="P2054" t="s">
        <v>485</v>
      </c>
      <c r="Q2054" t="s">
        <v>8794</v>
      </c>
      <c r="R2054" t="s">
        <v>8795</v>
      </c>
      <c r="S2054" t="s">
        <v>8794</v>
      </c>
      <c r="T2054" t="s">
        <v>8795</v>
      </c>
    </row>
    <row r="2055" spans="1:20">
      <c r="A2055" s="241">
        <v>44001</v>
      </c>
      <c r="B2055" t="s">
        <v>9855</v>
      </c>
      <c r="C2055" t="s">
        <v>475</v>
      </c>
      <c r="D2055" t="s">
        <v>273</v>
      </c>
      <c r="E2055" t="s">
        <v>2535</v>
      </c>
      <c r="F2055" t="s">
        <v>1262</v>
      </c>
      <c r="G2055" t="s">
        <v>2314</v>
      </c>
      <c r="H2055" t="s">
        <v>1038</v>
      </c>
      <c r="I2055" t="s">
        <v>824</v>
      </c>
      <c r="J2055" t="s">
        <v>255</v>
      </c>
      <c r="K2055" t="s">
        <v>280</v>
      </c>
      <c r="L2055">
        <v>0.87</v>
      </c>
      <c r="M2055" t="s">
        <v>9856</v>
      </c>
      <c r="N2055" t="s">
        <v>9857</v>
      </c>
      <c r="O2055" t="s">
        <v>9858</v>
      </c>
      <c r="P2055" t="s">
        <v>485</v>
      </c>
      <c r="Q2055" t="s">
        <v>8794</v>
      </c>
      <c r="R2055" t="s">
        <v>8795</v>
      </c>
      <c r="S2055" t="s">
        <v>8794</v>
      </c>
      <c r="T2055" t="s">
        <v>8795</v>
      </c>
    </row>
    <row r="2056" spans="1:20">
      <c r="A2056" s="241">
        <v>44001</v>
      </c>
      <c r="B2056" t="s">
        <v>9859</v>
      </c>
      <c r="C2056" t="s">
        <v>1877</v>
      </c>
      <c r="D2056" t="s">
        <v>236</v>
      </c>
      <c r="E2056" t="s">
        <v>1079</v>
      </c>
      <c r="F2056" t="s">
        <v>566</v>
      </c>
      <c r="G2056" t="s">
        <v>1442</v>
      </c>
      <c r="H2056" t="s">
        <v>776</v>
      </c>
      <c r="I2056" t="s">
        <v>254</v>
      </c>
      <c r="J2056" t="s">
        <v>2330</v>
      </c>
      <c r="K2056" t="s">
        <v>280</v>
      </c>
      <c r="L2056">
        <v>0.87</v>
      </c>
      <c r="M2056" t="s">
        <v>9860</v>
      </c>
      <c r="N2056" t="s">
        <v>9861</v>
      </c>
      <c r="O2056" t="s">
        <v>9862</v>
      </c>
      <c r="P2056" t="s">
        <v>485</v>
      </c>
      <c r="Q2056" t="s">
        <v>8794</v>
      </c>
      <c r="R2056" t="s">
        <v>8795</v>
      </c>
      <c r="S2056" t="s">
        <v>8794</v>
      </c>
      <c r="T2056" t="s">
        <v>8795</v>
      </c>
    </row>
    <row r="2057" spans="1:20">
      <c r="A2057" s="241">
        <v>44001</v>
      </c>
      <c r="B2057" t="s">
        <v>9863</v>
      </c>
      <c r="C2057" t="s">
        <v>273</v>
      </c>
      <c r="D2057" t="s">
        <v>1877</v>
      </c>
      <c r="E2057" t="s">
        <v>1139</v>
      </c>
      <c r="F2057" t="s">
        <v>1262</v>
      </c>
      <c r="G2057" t="s">
        <v>804</v>
      </c>
      <c r="H2057" t="s">
        <v>1051</v>
      </c>
      <c r="I2057" t="s">
        <v>569</v>
      </c>
      <c r="J2057" t="s">
        <v>578</v>
      </c>
      <c r="K2057" t="s">
        <v>280</v>
      </c>
      <c r="L2057">
        <v>0.87</v>
      </c>
      <c r="M2057" t="s">
        <v>9864</v>
      </c>
      <c r="N2057" t="s">
        <v>9865</v>
      </c>
      <c r="O2057" t="s">
        <v>9866</v>
      </c>
      <c r="P2057" t="s">
        <v>485</v>
      </c>
      <c r="Q2057" t="s">
        <v>8794</v>
      </c>
      <c r="R2057" t="s">
        <v>8795</v>
      </c>
      <c r="S2057" t="s">
        <v>8794</v>
      </c>
      <c r="T2057" t="s">
        <v>8795</v>
      </c>
    </row>
    <row r="2058" spans="1:20">
      <c r="A2058" s="241">
        <v>44001</v>
      </c>
      <c r="B2058" t="s">
        <v>9867</v>
      </c>
      <c r="C2058" t="s">
        <v>262</v>
      </c>
      <c r="D2058" t="s">
        <v>223</v>
      </c>
      <c r="E2058" t="s">
        <v>2549</v>
      </c>
      <c r="F2058" t="s">
        <v>598</v>
      </c>
      <c r="G2058" t="s">
        <v>1740</v>
      </c>
      <c r="H2058" t="s">
        <v>253</v>
      </c>
      <c r="I2058" t="s">
        <v>1776</v>
      </c>
      <c r="J2058" t="s">
        <v>279</v>
      </c>
      <c r="K2058" t="s">
        <v>338</v>
      </c>
      <c r="L2058">
        <v>0.86</v>
      </c>
      <c r="M2058" t="s">
        <v>9868</v>
      </c>
      <c r="N2058" t="s">
        <v>9869</v>
      </c>
      <c r="O2058" t="s">
        <v>9870</v>
      </c>
      <c r="P2058" t="s">
        <v>485</v>
      </c>
      <c r="Q2058" t="s">
        <v>8794</v>
      </c>
      <c r="R2058" t="s">
        <v>8795</v>
      </c>
      <c r="S2058" t="s">
        <v>8794</v>
      </c>
      <c r="T2058" t="s">
        <v>8795</v>
      </c>
    </row>
    <row r="2059" spans="1:20">
      <c r="A2059" s="241">
        <v>44001</v>
      </c>
      <c r="B2059" t="s">
        <v>9871</v>
      </c>
      <c r="C2059" t="s">
        <v>488</v>
      </c>
      <c r="D2059" t="s">
        <v>423</v>
      </c>
      <c r="E2059" t="s">
        <v>2535</v>
      </c>
      <c r="F2059" t="s">
        <v>263</v>
      </c>
      <c r="G2059" t="s">
        <v>227</v>
      </c>
      <c r="H2059" t="s">
        <v>228</v>
      </c>
      <c r="I2059" t="s">
        <v>577</v>
      </c>
      <c r="J2059" t="s">
        <v>267</v>
      </c>
      <c r="K2059" t="s">
        <v>338</v>
      </c>
      <c r="L2059">
        <v>0.86</v>
      </c>
      <c r="M2059" t="s">
        <v>9872</v>
      </c>
      <c r="N2059" t="s">
        <v>9873</v>
      </c>
      <c r="O2059" t="s">
        <v>9874</v>
      </c>
      <c r="P2059" t="s">
        <v>485</v>
      </c>
      <c r="Q2059" t="s">
        <v>8794</v>
      </c>
      <c r="R2059" t="s">
        <v>8795</v>
      </c>
      <c r="S2059" t="s">
        <v>8794</v>
      </c>
      <c r="T2059" t="s">
        <v>8795</v>
      </c>
    </row>
    <row r="2060" spans="1:20">
      <c r="A2060" s="241">
        <v>44001</v>
      </c>
      <c r="B2060" t="s">
        <v>9875</v>
      </c>
      <c r="C2060" t="s">
        <v>475</v>
      </c>
      <c r="D2060" t="s">
        <v>224</v>
      </c>
      <c r="E2060" t="s">
        <v>2478</v>
      </c>
      <c r="F2060" t="s">
        <v>590</v>
      </c>
      <c r="G2060" t="s">
        <v>227</v>
      </c>
      <c r="H2060" t="s">
        <v>1704</v>
      </c>
      <c r="I2060" t="s">
        <v>838</v>
      </c>
      <c r="J2060" t="s">
        <v>1070</v>
      </c>
      <c r="K2060" t="s">
        <v>280</v>
      </c>
      <c r="L2060">
        <v>0.86</v>
      </c>
      <c r="M2060" t="s">
        <v>9876</v>
      </c>
      <c r="N2060" t="s">
        <v>9877</v>
      </c>
      <c r="O2060" t="s">
        <v>9878</v>
      </c>
      <c r="P2060" t="s">
        <v>485</v>
      </c>
      <c r="Q2060" t="s">
        <v>8794</v>
      </c>
      <c r="R2060" t="s">
        <v>8795</v>
      </c>
      <c r="S2060" t="s">
        <v>8794</v>
      </c>
      <c r="T2060" t="s">
        <v>8795</v>
      </c>
    </row>
    <row r="2061" spans="1:20">
      <c r="A2061" s="241">
        <v>44001</v>
      </c>
      <c r="B2061" t="s">
        <v>9879</v>
      </c>
      <c r="C2061" t="s">
        <v>236</v>
      </c>
      <c r="D2061" t="s">
        <v>510</v>
      </c>
      <c r="E2061" t="s">
        <v>679</v>
      </c>
      <c r="F2061" t="s">
        <v>682</v>
      </c>
      <c r="G2061" t="s">
        <v>1442</v>
      </c>
      <c r="H2061" t="s">
        <v>1388</v>
      </c>
      <c r="I2061" t="s">
        <v>1468</v>
      </c>
      <c r="J2061" t="s">
        <v>298</v>
      </c>
      <c r="K2061" t="s">
        <v>327</v>
      </c>
      <c r="L2061">
        <v>0.86</v>
      </c>
      <c r="M2061" t="s">
        <v>9880</v>
      </c>
      <c r="N2061" t="s">
        <v>9881</v>
      </c>
      <c r="O2061" t="s">
        <v>9882</v>
      </c>
      <c r="P2061" t="s">
        <v>485</v>
      </c>
      <c r="Q2061" t="s">
        <v>8794</v>
      </c>
      <c r="R2061" t="s">
        <v>8795</v>
      </c>
      <c r="S2061" t="s">
        <v>8794</v>
      </c>
      <c r="T2061" t="s">
        <v>8795</v>
      </c>
    </row>
    <row r="2062" spans="1:20">
      <c r="A2062" s="241">
        <v>44001</v>
      </c>
      <c r="B2062" t="s">
        <v>9883</v>
      </c>
      <c r="C2062" t="s">
        <v>236</v>
      </c>
      <c r="D2062" t="s">
        <v>223</v>
      </c>
      <c r="E2062" t="s">
        <v>671</v>
      </c>
      <c r="F2062" t="s">
        <v>395</v>
      </c>
      <c r="G2062" t="s">
        <v>227</v>
      </c>
      <c r="H2062" t="s">
        <v>1453</v>
      </c>
      <c r="I2062" t="s">
        <v>288</v>
      </c>
      <c r="J2062" t="s">
        <v>857</v>
      </c>
      <c r="K2062" t="s">
        <v>327</v>
      </c>
      <c r="L2062">
        <v>0.86</v>
      </c>
      <c r="M2062" t="s">
        <v>9884</v>
      </c>
      <c r="N2062" t="s">
        <v>9885</v>
      </c>
      <c r="O2062" t="s">
        <v>9886</v>
      </c>
      <c r="P2062" t="s">
        <v>485</v>
      </c>
      <c r="Q2062" t="s">
        <v>8794</v>
      </c>
      <c r="R2062" t="s">
        <v>8795</v>
      </c>
      <c r="S2062" t="s">
        <v>8794</v>
      </c>
      <c r="T2062" t="s">
        <v>8795</v>
      </c>
    </row>
    <row r="2063" spans="1:20">
      <c r="A2063" s="241">
        <v>44001</v>
      </c>
      <c r="B2063" t="s">
        <v>9887</v>
      </c>
      <c r="C2063" t="s">
        <v>223</v>
      </c>
      <c r="D2063" t="s">
        <v>262</v>
      </c>
      <c r="E2063" t="s">
        <v>1139</v>
      </c>
      <c r="F2063" t="s">
        <v>626</v>
      </c>
      <c r="G2063" t="s">
        <v>830</v>
      </c>
      <c r="H2063" t="s">
        <v>1704</v>
      </c>
      <c r="I2063" t="s">
        <v>1264</v>
      </c>
      <c r="J2063" t="s">
        <v>298</v>
      </c>
      <c r="K2063" t="s">
        <v>666</v>
      </c>
      <c r="L2063">
        <v>0.86</v>
      </c>
      <c r="M2063" t="s">
        <v>9888</v>
      </c>
      <c r="N2063" t="s">
        <v>9889</v>
      </c>
      <c r="O2063" t="s">
        <v>9890</v>
      </c>
      <c r="P2063" t="s">
        <v>485</v>
      </c>
      <c r="Q2063" t="s">
        <v>8794</v>
      </c>
      <c r="R2063" t="s">
        <v>8795</v>
      </c>
      <c r="S2063" t="s">
        <v>8794</v>
      </c>
      <c r="T2063" t="s">
        <v>8795</v>
      </c>
    </row>
    <row r="2064" spans="1:20">
      <c r="A2064" s="241">
        <v>44001</v>
      </c>
      <c r="B2064" t="s">
        <v>9891</v>
      </c>
      <c r="C2064" t="s">
        <v>1196</v>
      </c>
      <c r="D2064" t="s">
        <v>223</v>
      </c>
      <c r="E2064" t="s">
        <v>1079</v>
      </c>
      <c r="F2064" t="s">
        <v>1291</v>
      </c>
      <c r="G2064" t="s">
        <v>227</v>
      </c>
      <c r="H2064" t="s">
        <v>539</v>
      </c>
      <c r="I2064" t="s">
        <v>297</v>
      </c>
      <c r="J2064" t="s">
        <v>1484</v>
      </c>
      <c r="K2064" t="s">
        <v>359</v>
      </c>
      <c r="L2064">
        <v>0.87</v>
      </c>
      <c r="M2064" t="s">
        <v>9892</v>
      </c>
      <c r="N2064" t="s">
        <v>9893</v>
      </c>
      <c r="O2064" t="s">
        <v>9894</v>
      </c>
      <c r="P2064" t="s">
        <v>485</v>
      </c>
      <c r="Q2064" t="s">
        <v>8794</v>
      </c>
      <c r="R2064" t="s">
        <v>8795</v>
      </c>
      <c r="S2064" t="s">
        <v>8794</v>
      </c>
      <c r="T2064" t="s">
        <v>8795</v>
      </c>
    </row>
    <row r="2065" spans="1:20">
      <c r="A2065" s="241">
        <v>44001</v>
      </c>
      <c r="B2065" t="s">
        <v>9895</v>
      </c>
      <c r="C2065" t="s">
        <v>3679</v>
      </c>
      <c r="D2065" t="s">
        <v>236</v>
      </c>
      <c r="E2065" t="s">
        <v>1139</v>
      </c>
      <c r="F2065" t="s">
        <v>1511</v>
      </c>
      <c r="G2065" t="s">
        <v>567</v>
      </c>
      <c r="H2065" t="s">
        <v>2324</v>
      </c>
      <c r="I2065" t="s">
        <v>297</v>
      </c>
      <c r="J2065" t="s">
        <v>1812</v>
      </c>
      <c r="K2065" t="s">
        <v>666</v>
      </c>
      <c r="L2065">
        <v>0.86</v>
      </c>
      <c r="M2065" t="s">
        <v>9896</v>
      </c>
      <c r="N2065" t="s">
        <v>9897</v>
      </c>
      <c r="O2065" t="s">
        <v>9898</v>
      </c>
      <c r="P2065" t="s">
        <v>485</v>
      </c>
      <c r="Q2065" t="s">
        <v>8794</v>
      </c>
      <c r="R2065" t="s">
        <v>8795</v>
      </c>
      <c r="S2065" t="s">
        <v>8794</v>
      </c>
      <c r="T2065" t="s">
        <v>8795</v>
      </c>
    </row>
    <row r="2066" spans="1:20">
      <c r="A2066" s="241">
        <v>44001</v>
      </c>
      <c r="B2066" t="s">
        <v>9899</v>
      </c>
      <c r="C2066" t="s">
        <v>5481</v>
      </c>
      <c r="D2066" t="s">
        <v>3136</v>
      </c>
      <c r="E2066" t="s">
        <v>2535</v>
      </c>
      <c r="F2066" t="s">
        <v>647</v>
      </c>
      <c r="G2066" t="s">
        <v>1447</v>
      </c>
      <c r="H2066" t="s">
        <v>3554</v>
      </c>
      <c r="I2066" t="s">
        <v>1811</v>
      </c>
      <c r="J2066" t="s">
        <v>1827</v>
      </c>
      <c r="K2066" t="s">
        <v>369</v>
      </c>
      <c r="L2066">
        <v>0.86</v>
      </c>
      <c r="M2066" t="s">
        <v>9900</v>
      </c>
      <c r="N2066" t="s">
        <v>9901</v>
      </c>
      <c r="O2066" t="s">
        <v>9902</v>
      </c>
      <c r="P2066" t="s">
        <v>485</v>
      </c>
      <c r="Q2066" t="s">
        <v>8794</v>
      </c>
      <c r="R2066" t="s">
        <v>8795</v>
      </c>
      <c r="S2066" t="s">
        <v>8794</v>
      </c>
      <c r="T2066" t="s">
        <v>8795</v>
      </c>
    </row>
    <row r="2067" spans="1:20">
      <c r="A2067" s="241">
        <v>44001</v>
      </c>
      <c r="B2067" t="s">
        <v>9903</v>
      </c>
      <c r="C2067" t="s">
        <v>5481</v>
      </c>
      <c r="D2067" t="s">
        <v>1986</v>
      </c>
      <c r="E2067" t="s">
        <v>631</v>
      </c>
      <c r="F2067" t="s">
        <v>1591</v>
      </c>
      <c r="G2067" t="s">
        <v>1081</v>
      </c>
      <c r="H2067" t="s">
        <v>539</v>
      </c>
      <c r="I2067" t="s">
        <v>1842</v>
      </c>
      <c r="J2067" t="s">
        <v>326</v>
      </c>
      <c r="K2067" t="s">
        <v>359</v>
      </c>
      <c r="L2067">
        <v>0.86</v>
      </c>
      <c r="M2067" t="s">
        <v>9904</v>
      </c>
      <c r="N2067" t="s">
        <v>9905</v>
      </c>
      <c r="O2067" t="s">
        <v>9906</v>
      </c>
      <c r="P2067" t="s">
        <v>485</v>
      </c>
      <c r="Q2067" t="s">
        <v>8794</v>
      </c>
      <c r="R2067" t="s">
        <v>8795</v>
      </c>
      <c r="S2067" t="s">
        <v>8794</v>
      </c>
      <c r="T2067" t="s">
        <v>8795</v>
      </c>
    </row>
    <row r="2068" spans="1:20">
      <c r="A2068" s="241">
        <v>44001</v>
      </c>
      <c r="B2068" t="s">
        <v>9907</v>
      </c>
      <c r="C2068" t="s">
        <v>488</v>
      </c>
      <c r="D2068" t="s">
        <v>5481</v>
      </c>
      <c r="E2068" t="s">
        <v>631</v>
      </c>
      <c r="F2068" t="s">
        <v>426</v>
      </c>
      <c r="G2068" t="s">
        <v>1068</v>
      </c>
      <c r="H2068" t="s">
        <v>307</v>
      </c>
      <c r="I2068" t="s">
        <v>317</v>
      </c>
      <c r="J2068" t="s">
        <v>634</v>
      </c>
      <c r="K2068" t="s">
        <v>369</v>
      </c>
      <c r="L2068">
        <v>0.86</v>
      </c>
      <c r="M2068" t="s">
        <v>9908</v>
      </c>
      <c r="N2068" t="s">
        <v>9909</v>
      </c>
      <c r="O2068" t="s">
        <v>9910</v>
      </c>
      <c r="P2068" t="s">
        <v>485</v>
      </c>
      <c r="Q2068" t="s">
        <v>8794</v>
      </c>
      <c r="R2068" t="s">
        <v>8795</v>
      </c>
      <c r="S2068" t="s">
        <v>8794</v>
      </c>
      <c r="T2068" t="s">
        <v>8795</v>
      </c>
    </row>
    <row r="2069" spans="1:20">
      <c r="A2069" s="241">
        <v>44001</v>
      </c>
      <c r="B2069" t="s">
        <v>9911</v>
      </c>
      <c r="C2069" t="s">
        <v>1196</v>
      </c>
      <c r="D2069" t="s">
        <v>1986</v>
      </c>
      <c r="E2069" t="s">
        <v>1139</v>
      </c>
      <c r="F2069" t="s">
        <v>647</v>
      </c>
      <c r="G2069" t="s">
        <v>2343</v>
      </c>
      <c r="H2069" t="s">
        <v>1478</v>
      </c>
      <c r="I2069" t="s">
        <v>1842</v>
      </c>
      <c r="J2069" t="s">
        <v>640</v>
      </c>
      <c r="K2069" t="s">
        <v>700</v>
      </c>
      <c r="L2069">
        <v>0.86</v>
      </c>
      <c r="M2069" t="s">
        <v>9912</v>
      </c>
      <c r="N2069" t="s">
        <v>9913</v>
      </c>
      <c r="O2069" t="s">
        <v>9914</v>
      </c>
      <c r="P2069" t="s">
        <v>485</v>
      </c>
      <c r="Q2069" t="s">
        <v>8794</v>
      </c>
      <c r="R2069" t="s">
        <v>8795</v>
      </c>
      <c r="S2069" t="s">
        <v>8794</v>
      </c>
      <c r="T2069" t="s">
        <v>8795</v>
      </c>
    </row>
    <row r="2070" spans="1:20">
      <c r="A2070" s="241">
        <v>44001</v>
      </c>
      <c r="B2070" t="s">
        <v>9915</v>
      </c>
      <c r="C2070" t="s">
        <v>236</v>
      </c>
      <c r="D2070" t="s">
        <v>475</v>
      </c>
      <c r="E2070" t="s">
        <v>631</v>
      </c>
      <c r="F2070" t="s">
        <v>323</v>
      </c>
      <c r="G2070" t="s">
        <v>2142</v>
      </c>
      <c r="H2070" t="s">
        <v>2927</v>
      </c>
      <c r="I2070" t="s">
        <v>1842</v>
      </c>
      <c r="J2070" t="s">
        <v>326</v>
      </c>
      <c r="K2070" t="s">
        <v>359</v>
      </c>
      <c r="L2070">
        <v>0.86</v>
      </c>
      <c r="M2070" t="s">
        <v>9916</v>
      </c>
      <c r="N2070" t="s">
        <v>9917</v>
      </c>
      <c r="O2070" t="s">
        <v>9918</v>
      </c>
      <c r="P2070" t="s">
        <v>485</v>
      </c>
      <c r="Q2070" t="s">
        <v>8794</v>
      </c>
      <c r="R2070" t="s">
        <v>8795</v>
      </c>
      <c r="S2070" t="s">
        <v>8794</v>
      </c>
      <c r="T2070" t="s">
        <v>8795</v>
      </c>
    </row>
    <row r="2071" spans="1:20">
      <c r="A2071" s="241">
        <v>44001</v>
      </c>
      <c r="B2071" t="s">
        <v>9919</v>
      </c>
      <c r="C2071" t="s">
        <v>206</v>
      </c>
      <c r="D2071" t="s">
        <v>5481</v>
      </c>
      <c r="E2071" t="s">
        <v>1079</v>
      </c>
      <c r="F2071" t="s">
        <v>323</v>
      </c>
      <c r="G2071" t="s">
        <v>345</v>
      </c>
      <c r="H2071" t="s">
        <v>1255</v>
      </c>
      <c r="I2071" t="s">
        <v>1097</v>
      </c>
      <c r="J2071" t="s">
        <v>358</v>
      </c>
      <c r="K2071" t="s">
        <v>448</v>
      </c>
      <c r="L2071">
        <v>0.87</v>
      </c>
      <c r="M2071" t="s">
        <v>9920</v>
      </c>
      <c r="N2071" t="s">
        <v>9921</v>
      </c>
      <c r="O2071" t="s">
        <v>9922</v>
      </c>
      <c r="P2071" t="s">
        <v>485</v>
      </c>
      <c r="Q2071" t="s">
        <v>8794</v>
      </c>
      <c r="R2071" t="s">
        <v>8795</v>
      </c>
      <c r="S2071" t="s">
        <v>8794</v>
      </c>
      <c r="T2071" t="s">
        <v>8795</v>
      </c>
    </row>
    <row r="2072" spans="1:20">
      <c r="A2072" s="241">
        <v>44001</v>
      </c>
      <c r="B2072" t="s">
        <v>9923</v>
      </c>
      <c r="C2072" t="s">
        <v>488</v>
      </c>
      <c r="D2072" t="s">
        <v>273</v>
      </c>
      <c r="E2072" t="s">
        <v>1139</v>
      </c>
      <c r="F2072" t="s">
        <v>333</v>
      </c>
      <c r="G2072" t="s">
        <v>1462</v>
      </c>
      <c r="H2072" t="s">
        <v>239</v>
      </c>
      <c r="I2072" t="s">
        <v>336</v>
      </c>
      <c r="J2072" t="s">
        <v>650</v>
      </c>
      <c r="K2072" t="s">
        <v>369</v>
      </c>
      <c r="L2072">
        <v>0.86</v>
      </c>
      <c r="M2072" t="s">
        <v>9924</v>
      </c>
      <c r="N2072" t="s">
        <v>9925</v>
      </c>
      <c r="O2072" t="s">
        <v>9926</v>
      </c>
      <c r="P2072" t="s">
        <v>485</v>
      </c>
      <c r="Q2072" t="s">
        <v>8794</v>
      </c>
      <c r="R2072" t="s">
        <v>8795</v>
      </c>
      <c r="S2072" t="s">
        <v>8794</v>
      </c>
      <c r="T2072" t="s">
        <v>8795</v>
      </c>
    </row>
    <row r="2073" spans="1:20">
      <c r="A2073" s="241">
        <v>44001</v>
      </c>
      <c r="B2073" t="s">
        <v>9927</v>
      </c>
      <c r="C2073" t="s">
        <v>5481</v>
      </c>
      <c r="D2073" t="s">
        <v>475</v>
      </c>
      <c r="E2073" t="s">
        <v>1139</v>
      </c>
      <c r="F2073" t="s">
        <v>374</v>
      </c>
      <c r="G2073" t="s">
        <v>1477</v>
      </c>
      <c r="H2073" t="s">
        <v>316</v>
      </c>
      <c r="I2073" t="s">
        <v>1518</v>
      </c>
      <c r="J2073" t="s">
        <v>1116</v>
      </c>
      <c r="K2073" t="s">
        <v>408</v>
      </c>
      <c r="L2073">
        <v>0.86</v>
      </c>
      <c r="M2073" t="s">
        <v>9928</v>
      </c>
      <c r="N2073" t="s">
        <v>9929</v>
      </c>
      <c r="O2073" t="s">
        <v>9930</v>
      </c>
      <c r="P2073" t="s">
        <v>485</v>
      </c>
      <c r="Q2073" t="s">
        <v>8794</v>
      </c>
      <c r="R2073" t="s">
        <v>8795</v>
      </c>
      <c r="S2073" t="s">
        <v>8794</v>
      </c>
      <c r="T2073" t="s">
        <v>8795</v>
      </c>
    </row>
    <row r="2074" spans="1:20">
      <c r="A2074" s="241">
        <v>44001</v>
      </c>
      <c r="B2074" t="s">
        <v>9931</v>
      </c>
      <c r="C2074" t="s">
        <v>488</v>
      </c>
      <c r="D2074" t="s">
        <v>423</v>
      </c>
      <c r="E2074" t="s">
        <v>671</v>
      </c>
      <c r="F2074" t="s">
        <v>662</v>
      </c>
      <c r="G2074" t="s">
        <v>1292</v>
      </c>
      <c r="H2074" t="s">
        <v>881</v>
      </c>
      <c r="I2074" t="s">
        <v>656</v>
      </c>
      <c r="J2074" t="s">
        <v>368</v>
      </c>
      <c r="K2074" t="s">
        <v>418</v>
      </c>
      <c r="L2074">
        <v>0.86</v>
      </c>
      <c r="M2074" t="s">
        <v>9932</v>
      </c>
      <c r="N2074" t="s">
        <v>9933</v>
      </c>
      <c r="O2074" t="s">
        <v>9934</v>
      </c>
      <c r="P2074" t="s">
        <v>485</v>
      </c>
      <c r="Q2074" t="s">
        <v>8794</v>
      </c>
      <c r="R2074" t="s">
        <v>8795</v>
      </c>
      <c r="S2074" t="s">
        <v>8794</v>
      </c>
      <c r="T2074" t="s">
        <v>8795</v>
      </c>
    </row>
    <row r="2075" spans="1:20">
      <c r="A2075" s="241">
        <v>44001</v>
      </c>
      <c r="B2075" t="s">
        <v>9935</v>
      </c>
      <c r="C2075" t="s">
        <v>236</v>
      </c>
      <c r="D2075" t="s">
        <v>1877</v>
      </c>
      <c r="E2075" t="s">
        <v>671</v>
      </c>
      <c r="F2075" t="s">
        <v>887</v>
      </c>
      <c r="G2075" t="s">
        <v>2764</v>
      </c>
      <c r="H2075" t="s">
        <v>239</v>
      </c>
      <c r="I2075" t="s">
        <v>1523</v>
      </c>
      <c r="J2075" t="s">
        <v>368</v>
      </c>
      <c r="K2075" t="s">
        <v>428</v>
      </c>
      <c r="L2075">
        <v>0.86</v>
      </c>
      <c r="M2075" t="s">
        <v>9936</v>
      </c>
      <c r="N2075" t="s">
        <v>9937</v>
      </c>
      <c r="O2075" t="s">
        <v>9938</v>
      </c>
      <c r="P2075" t="s">
        <v>485</v>
      </c>
      <c r="Q2075" t="s">
        <v>8794</v>
      </c>
      <c r="R2075" t="s">
        <v>8795</v>
      </c>
      <c r="S2075" t="s">
        <v>8794</v>
      </c>
      <c r="T2075" t="s">
        <v>8795</v>
      </c>
    </row>
    <row r="2076" spans="1:20">
      <c r="A2076" s="241">
        <v>44001</v>
      </c>
      <c r="B2076" t="s">
        <v>9939</v>
      </c>
      <c r="C2076" t="s">
        <v>1196</v>
      </c>
      <c r="D2076" t="s">
        <v>223</v>
      </c>
      <c r="E2076" t="s">
        <v>631</v>
      </c>
      <c r="F2076" t="s">
        <v>2206</v>
      </c>
      <c r="G2076" t="s">
        <v>355</v>
      </c>
      <c r="H2076" t="s">
        <v>1262</v>
      </c>
      <c r="I2076" t="s">
        <v>674</v>
      </c>
      <c r="J2076" t="s">
        <v>1569</v>
      </c>
      <c r="K2076" t="s">
        <v>722</v>
      </c>
      <c r="L2076">
        <v>0.86</v>
      </c>
      <c r="M2076" t="s">
        <v>9940</v>
      </c>
      <c r="N2076" t="s">
        <v>9941</v>
      </c>
      <c r="O2076" t="s">
        <v>9942</v>
      </c>
      <c r="P2076" t="s">
        <v>485</v>
      </c>
      <c r="Q2076" t="s">
        <v>8794</v>
      </c>
      <c r="R2076" t="s">
        <v>8795</v>
      </c>
      <c r="S2076" t="s">
        <v>8794</v>
      </c>
      <c r="T2076" t="s">
        <v>8795</v>
      </c>
    </row>
    <row r="2077" spans="1:20">
      <c r="A2077" s="241">
        <v>44001</v>
      </c>
      <c r="B2077" t="s">
        <v>9943</v>
      </c>
      <c r="C2077" t="s">
        <v>1196</v>
      </c>
      <c r="D2077" t="s">
        <v>475</v>
      </c>
      <c r="E2077" t="s">
        <v>2535</v>
      </c>
      <c r="F2077" t="s">
        <v>2574</v>
      </c>
      <c r="G2077" t="s">
        <v>1110</v>
      </c>
      <c r="H2077" t="s">
        <v>855</v>
      </c>
      <c r="I2077" t="s">
        <v>683</v>
      </c>
      <c r="J2077" t="s">
        <v>1141</v>
      </c>
      <c r="K2077" t="s">
        <v>7035</v>
      </c>
      <c r="L2077">
        <v>0.86</v>
      </c>
      <c r="M2077" t="s">
        <v>9944</v>
      </c>
      <c r="N2077" t="s">
        <v>9945</v>
      </c>
      <c r="O2077" t="s">
        <v>9946</v>
      </c>
      <c r="P2077" t="s">
        <v>485</v>
      </c>
      <c r="Q2077" t="s">
        <v>8794</v>
      </c>
      <c r="R2077" t="s">
        <v>8795</v>
      </c>
      <c r="S2077" t="s">
        <v>8794</v>
      </c>
      <c r="T2077" t="s">
        <v>8795</v>
      </c>
    </row>
    <row r="2078" spans="1:20">
      <c r="A2078" s="241">
        <v>44001</v>
      </c>
      <c r="B2078" t="s">
        <v>9947</v>
      </c>
      <c r="C2078" t="s">
        <v>488</v>
      </c>
      <c r="D2078" t="s">
        <v>236</v>
      </c>
      <c r="E2078" t="s">
        <v>2549</v>
      </c>
      <c r="F2078" t="s">
        <v>904</v>
      </c>
      <c r="G2078" t="s">
        <v>1104</v>
      </c>
      <c r="H2078" t="s">
        <v>395</v>
      </c>
      <c r="I2078" t="s">
        <v>911</v>
      </c>
      <c r="J2078" t="s">
        <v>1141</v>
      </c>
      <c r="K2078" t="s">
        <v>457</v>
      </c>
      <c r="L2078">
        <v>0.86</v>
      </c>
      <c r="M2078" t="s">
        <v>9948</v>
      </c>
      <c r="N2078" t="s">
        <v>9949</v>
      </c>
      <c r="O2078" t="s">
        <v>9950</v>
      </c>
      <c r="P2078" t="s">
        <v>485</v>
      </c>
      <c r="Q2078" t="s">
        <v>8794</v>
      </c>
      <c r="R2078" t="s">
        <v>8795</v>
      </c>
      <c r="S2078" t="s">
        <v>8794</v>
      </c>
      <c r="T2078" t="s">
        <v>8795</v>
      </c>
    </row>
    <row r="2079" spans="1:20">
      <c r="A2079" s="241">
        <v>44001</v>
      </c>
      <c r="B2079" t="s">
        <v>9951</v>
      </c>
      <c r="C2079" t="s">
        <v>1666</v>
      </c>
      <c r="D2079" t="s">
        <v>5481</v>
      </c>
      <c r="E2079" t="s">
        <v>1139</v>
      </c>
      <c r="F2079" t="s">
        <v>1584</v>
      </c>
      <c r="G2079" t="s">
        <v>1590</v>
      </c>
      <c r="H2079" t="s">
        <v>1080</v>
      </c>
      <c r="I2079" t="s">
        <v>1140</v>
      </c>
      <c r="J2079" t="s">
        <v>940</v>
      </c>
      <c r="K2079" t="s">
        <v>6924</v>
      </c>
      <c r="L2079">
        <v>0.86</v>
      </c>
      <c r="M2079" t="s">
        <v>9952</v>
      </c>
      <c r="N2079" t="s">
        <v>9953</v>
      </c>
      <c r="O2079" t="s">
        <v>9954</v>
      </c>
      <c r="P2079" t="s">
        <v>485</v>
      </c>
      <c r="Q2079" t="s">
        <v>8794</v>
      </c>
      <c r="R2079" t="s">
        <v>8795</v>
      </c>
      <c r="S2079" t="s">
        <v>8794</v>
      </c>
      <c r="T2079" t="s">
        <v>8795</v>
      </c>
    </row>
    <row r="2080" spans="1:20">
      <c r="A2080" s="241">
        <v>44001</v>
      </c>
      <c r="B2080" t="s">
        <v>9955</v>
      </c>
      <c r="C2080" t="s">
        <v>1377</v>
      </c>
      <c r="D2080" t="s">
        <v>475</v>
      </c>
      <c r="E2080" t="s">
        <v>712</v>
      </c>
      <c r="F2080" t="s">
        <v>1338</v>
      </c>
      <c r="G2080" t="s">
        <v>1585</v>
      </c>
      <c r="H2080" t="s">
        <v>855</v>
      </c>
      <c r="I2080" t="s">
        <v>436</v>
      </c>
      <c r="J2080" t="s">
        <v>730</v>
      </c>
      <c r="K2080" t="s">
        <v>7065</v>
      </c>
      <c r="L2080">
        <v>0.86</v>
      </c>
      <c r="M2080" t="s">
        <v>9956</v>
      </c>
      <c r="N2080" t="s">
        <v>9957</v>
      </c>
      <c r="O2080" t="s">
        <v>9958</v>
      </c>
      <c r="P2080" t="s">
        <v>485</v>
      </c>
      <c r="Q2080" t="s">
        <v>8794</v>
      </c>
      <c r="R2080" t="s">
        <v>8795</v>
      </c>
      <c r="S2080" t="s">
        <v>8794</v>
      </c>
      <c r="T2080" t="s">
        <v>8795</v>
      </c>
    </row>
    <row r="2081" spans="1:20">
      <c r="A2081" s="241">
        <v>44001</v>
      </c>
      <c r="B2081" t="s">
        <v>9959</v>
      </c>
      <c r="C2081" t="s">
        <v>1196</v>
      </c>
      <c r="D2081" t="s">
        <v>1986</v>
      </c>
      <c r="E2081" t="s">
        <v>2478</v>
      </c>
      <c r="F2081" t="s">
        <v>1945</v>
      </c>
      <c r="G2081" t="s">
        <v>705</v>
      </c>
      <c r="H2081" t="s">
        <v>1591</v>
      </c>
      <c r="I2081" t="s">
        <v>446</v>
      </c>
      <c r="J2081" t="s">
        <v>456</v>
      </c>
      <c r="K2081" t="s">
        <v>6924</v>
      </c>
      <c r="L2081">
        <v>0.86</v>
      </c>
      <c r="M2081" t="s">
        <v>9960</v>
      </c>
      <c r="N2081" t="s">
        <v>9961</v>
      </c>
      <c r="O2081" t="s">
        <v>9962</v>
      </c>
      <c r="P2081" t="s">
        <v>485</v>
      </c>
      <c r="Q2081" t="s">
        <v>8794</v>
      </c>
      <c r="R2081" t="s">
        <v>8795</v>
      </c>
      <c r="S2081" t="s">
        <v>8794</v>
      </c>
      <c r="T2081" t="s">
        <v>8795</v>
      </c>
    </row>
    <row r="2082" spans="1:20">
      <c r="A2082" s="241">
        <v>44001</v>
      </c>
      <c r="B2082" t="s">
        <v>9963</v>
      </c>
      <c r="C2082" t="s">
        <v>488</v>
      </c>
      <c r="D2082" t="s">
        <v>1877</v>
      </c>
      <c r="E2082" t="s">
        <v>343</v>
      </c>
      <c r="F2082" t="s">
        <v>3408</v>
      </c>
      <c r="G2082" t="s">
        <v>705</v>
      </c>
      <c r="H2082" t="s">
        <v>445</v>
      </c>
      <c r="I2082" t="s">
        <v>947</v>
      </c>
      <c r="J2082" t="s">
        <v>7098</v>
      </c>
      <c r="K2082" t="s">
        <v>6986</v>
      </c>
      <c r="L2082">
        <v>0.86</v>
      </c>
      <c r="M2082" t="s">
        <v>9964</v>
      </c>
      <c r="N2082" t="s">
        <v>9965</v>
      </c>
      <c r="O2082" t="s">
        <v>9966</v>
      </c>
      <c r="P2082" t="s">
        <v>485</v>
      </c>
      <c r="Q2082" t="s">
        <v>8794</v>
      </c>
      <c r="R2082" t="s">
        <v>8795</v>
      </c>
      <c r="S2082" t="s">
        <v>8794</v>
      </c>
      <c r="T2082" t="s">
        <v>8795</v>
      </c>
    </row>
    <row r="2083" spans="1:20">
      <c r="A2083" s="241">
        <v>44001</v>
      </c>
      <c r="B2083" t="s">
        <v>9967</v>
      </c>
      <c r="C2083" t="s">
        <v>1986</v>
      </c>
      <c r="D2083" t="s">
        <v>475</v>
      </c>
      <c r="E2083" t="s">
        <v>443</v>
      </c>
      <c r="F2083" t="s">
        <v>3438</v>
      </c>
      <c r="G2083" t="s">
        <v>931</v>
      </c>
      <c r="H2083" t="s">
        <v>323</v>
      </c>
      <c r="I2083" t="s">
        <v>7813</v>
      </c>
      <c r="J2083" t="s">
        <v>7253</v>
      </c>
      <c r="K2083" t="s">
        <v>7083</v>
      </c>
      <c r="L2083">
        <v>0.86</v>
      </c>
      <c r="M2083" t="s">
        <v>9968</v>
      </c>
      <c r="N2083" t="s">
        <v>9969</v>
      </c>
      <c r="O2083" t="s">
        <v>9970</v>
      </c>
      <c r="P2083" t="s">
        <v>485</v>
      </c>
      <c r="Q2083" t="s">
        <v>8794</v>
      </c>
      <c r="R2083" t="s">
        <v>8795</v>
      </c>
      <c r="S2083" t="s">
        <v>8794</v>
      </c>
      <c r="T2083" t="s">
        <v>8795</v>
      </c>
    </row>
    <row r="2084" spans="1:20">
      <c r="A2084" s="241">
        <v>44001</v>
      </c>
      <c r="B2084" t="s">
        <v>9971</v>
      </c>
      <c r="C2084" t="s">
        <v>6941</v>
      </c>
      <c r="D2084" t="s">
        <v>6934</v>
      </c>
      <c r="E2084" t="s">
        <v>2810</v>
      </c>
      <c r="F2084" t="s">
        <v>9972</v>
      </c>
      <c r="G2084" t="s">
        <v>4368</v>
      </c>
      <c r="H2084" t="s">
        <v>1969</v>
      </c>
      <c r="I2084" t="s">
        <v>2814</v>
      </c>
      <c r="J2084" t="s">
        <v>9973</v>
      </c>
      <c r="K2084" t="s">
        <v>3965</v>
      </c>
      <c r="L2084">
        <v>0.89</v>
      </c>
      <c r="M2084" t="s">
        <v>9974</v>
      </c>
      <c r="N2084" t="s">
        <v>9975</v>
      </c>
      <c r="O2084" t="s">
        <v>9976</v>
      </c>
      <c r="P2084" t="s">
        <v>485</v>
      </c>
      <c r="Q2084" t="s">
        <v>8794</v>
      </c>
      <c r="R2084" t="s">
        <v>8795</v>
      </c>
      <c r="S2084" t="s">
        <v>8794</v>
      </c>
      <c r="T2084" t="s">
        <v>8795</v>
      </c>
    </row>
    <row r="2085" spans="1:20">
      <c r="A2085" s="241">
        <v>44001</v>
      </c>
      <c r="B2085" t="s">
        <v>9977</v>
      </c>
      <c r="C2085" t="s">
        <v>7826</v>
      </c>
      <c r="D2085" t="s">
        <v>6941</v>
      </c>
      <c r="E2085" t="s">
        <v>3831</v>
      </c>
      <c r="F2085" t="s">
        <v>1378</v>
      </c>
      <c r="G2085" t="s">
        <v>990</v>
      </c>
      <c r="H2085" t="s">
        <v>491</v>
      </c>
      <c r="I2085" t="s">
        <v>2442</v>
      </c>
      <c r="J2085" t="s">
        <v>3130</v>
      </c>
      <c r="K2085" t="s">
        <v>3972</v>
      </c>
      <c r="L2085">
        <v>0.89</v>
      </c>
      <c r="M2085" t="s">
        <v>9978</v>
      </c>
      <c r="N2085" t="s">
        <v>9979</v>
      </c>
      <c r="O2085" t="s">
        <v>9980</v>
      </c>
      <c r="P2085" t="s">
        <v>485</v>
      </c>
      <c r="Q2085" t="s">
        <v>8794</v>
      </c>
      <c r="R2085" t="s">
        <v>8795</v>
      </c>
      <c r="S2085" t="s">
        <v>8794</v>
      </c>
      <c r="T2085" t="s">
        <v>8795</v>
      </c>
    </row>
    <row r="2086" spans="1:20">
      <c r="A2086" s="241">
        <v>44001</v>
      </c>
      <c r="B2086" t="s">
        <v>9981</v>
      </c>
      <c r="C2086" t="s">
        <v>9111</v>
      </c>
      <c r="D2086" t="s">
        <v>6912</v>
      </c>
      <c r="E2086" t="s">
        <v>2644</v>
      </c>
      <c r="F2086" t="s">
        <v>1655</v>
      </c>
      <c r="G2086" t="s">
        <v>7564</v>
      </c>
      <c r="H2086" t="s">
        <v>7126</v>
      </c>
      <c r="I2086" t="s">
        <v>5482</v>
      </c>
      <c r="J2086" t="s">
        <v>493</v>
      </c>
      <c r="K2086" t="s">
        <v>2443</v>
      </c>
      <c r="L2086">
        <v>0.89</v>
      </c>
      <c r="M2086" t="s">
        <v>9982</v>
      </c>
      <c r="N2086" t="s">
        <v>9983</v>
      </c>
      <c r="O2086" t="s">
        <v>9984</v>
      </c>
      <c r="P2086" t="s">
        <v>485</v>
      </c>
      <c r="Q2086" t="s">
        <v>8794</v>
      </c>
      <c r="R2086" t="s">
        <v>8795</v>
      </c>
      <c r="S2086" t="s">
        <v>8794</v>
      </c>
      <c r="T2086" t="s">
        <v>8795</v>
      </c>
    </row>
    <row r="2087" spans="1:20">
      <c r="A2087" s="241">
        <v>44001</v>
      </c>
      <c r="B2087" t="s">
        <v>9985</v>
      </c>
      <c r="C2087" t="s">
        <v>1367</v>
      </c>
      <c r="D2087" t="s">
        <v>1877</v>
      </c>
      <c r="E2087" t="s">
        <v>671</v>
      </c>
      <c r="F2087" t="s">
        <v>241</v>
      </c>
      <c r="G2087" t="s">
        <v>9986</v>
      </c>
      <c r="H2087" t="s">
        <v>9987</v>
      </c>
      <c r="I2087" t="s">
        <v>9988</v>
      </c>
      <c r="J2087" t="s">
        <v>1392</v>
      </c>
      <c r="K2087" t="s">
        <v>244</v>
      </c>
      <c r="L2087">
        <v>0.87</v>
      </c>
      <c r="M2087" t="s">
        <v>9989</v>
      </c>
      <c r="N2087" t="s">
        <v>9990</v>
      </c>
      <c r="O2087" t="s">
        <v>9991</v>
      </c>
      <c r="P2087" t="s">
        <v>485</v>
      </c>
      <c r="Q2087" t="s">
        <v>8794</v>
      </c>
      <c r="R2087" t="s">
        <v>8795</v>
      </c>
      <c r="S2087" t="s">
        <v>8794</v>
      </c>
      <c r="T2087" t="s">
        <v>8795</v>
      </c>
    </row>
    <row r="2088" spans="1:20">
      <c r="A2088" s="241">
        <v>44001</v>
      </c>
      <c r="B2088" t="s">
        <v>9992</v>
      </c>
      <c r="C2088" t="s">
        <v>273</v>
      </c>
      <c r="D2088" t="s">
        <v>1986</v>
      </c>
      <c r="E2088" t="s">
        <v>294</v>
      </c>
      <c r="F2088" t="s">
        <v>539</v>
      </c>
      <c r="G2088" t="s">
        <v>2004</v>
      </c>
      <c r="H2088" t="s">
        <v>4642</v>
      </c>
      <c r="I2088" t="s">
        <v>1010</v>
      </c>
      <c r="J2088" t="s">
        <v>2681</v>
      </c>
      <c r="K2088" t="s">
        <v>579</v>
      </c>
      <c r="L2088">
        <v>0.87</v>
      </c>
      <c r="M2088" t="s">
        <v>9993</v>
      </c>
      <c r="N2088" t="s">
        <v>9994</v>
      </c>
      <c r="O2088" t="s">
        <v>9995</v>
      </c>
      <c r="P2088" t="s">
        <v>485</v>
      </c>
      <c r="Q2088" t="s">
        <v>8794</v>
      </c>
      <c r="R2088" t="s">
        <v>8795</v>
      </c>
      <c r="S2088" t="s">
        <v>8794</v>
      </c>
      <c r="T2088" t="s">
        <v>8795</v>
      </c>
    </row>
    <row r="2089" spans="1:20">
      <c r="A2089" s="241">
        <v>44001</v>
      </c>
      <c r="B2089" t="s">
        <v>9996</v>
      </c>
      <c r="C2089" t="s">
        <v>2810</v>
      </c>
      <c r="D2089" t="s">
        <v>1877</v>
      </c>
      <c r="E2089" t="s">
        <v>679</v>
      </c>
      <c r="F2089" t="s">
        <v>226</v>
      </c>
      <c r="G2089" t="s">
        <v>2463</v>
      </c>
      <c r="H2089" t="s">
        <v>2456</v>
      </c>
      <c r="I2089" t="s">
        <v>793</v>
      </c>
      <c r="J2089" t="s">
        <v>551</v>
      </c>
      <c r="K2089" t="s">
        <v>338</v>
      </c>
      <c r="L2089">
        <v>0.87</v>
      </c>
      <c r="M2089" t="s">
        <v>9997</v>
      </c>
      <c r="N2089" t="s">
        <v>9998</v>
      </c>
      <c r="O2089" t="s">
        <v>9999</v>
      </c>
      <c r="P2089" t="s">
        <v>485</v>
      </c>
      <c r="Q2089" t="s">
        <v>8794</v>
      </c>
      <c r="R2089" t="s">
        <v>8795</v>
      </c>
      <c r="S2089" t="s">
        <v>8794</v>
      </c>
      <c r="T2089" t="s">
        <v>8795</v>
      </c>
    </row>
    <row r="2090" spans="1:20">
      <c r="A2090" s="241">
        <v>44001</v>
      </c>
      <c r="B2090" t="s">
        <v>10000</v>
      </c>
      <c r="C2090" t="s">
        <v>1176</v>
      </c>
      <c r="D2090" t="s">
        <v>236</v>
      </c>
      <c r="E2090" t="s">
        <v>631</v>
      </c>
      <c r="F2090" t="s">
        <v>822</v>
      </c>
      <c r="G2090" t="s">
        <v>1715</v>
      </c>
      <c r="H2090" t="s">
        <v>1018</v>
      </c>
      <c r="I2090" t="s">
        <v>1421</v>
      </c>
      <c r="J2090" t="s">
        <v>817</v>
      </c>
      <c r="K2090" t="s">
        <v>299</v>
      </c>
      <c r="L2090">
        <v>0.87</v>
      </c>
      <c r="M2090" t="s">
        <v>10001</v>
      </c>
      <c r="N2090" t="s">
        <v>10002</v>
      </c>
      <c r="O2090" t="s">
        <v>10003</v>
      </c>
      <c r="P2090" t="s">
        <v>485</v>
      </c>
      <c r="Q2090" t="s">
        <v>8794</v>
      </c>
      <c r="R2090" t="s">
        <v>8795</v>
      </c>
      <c r="S2090" t="s">
        <v>8794</v>
      </c>
      <c r="T2090" t="s">
        <v>8795</v>
      </c>
    </row>
    <row r="2091" spans="1:20">
      <c r="A2091" s="241">
        <v>44001</v>
      </c>
      <c r="B2091" t="s">
        <v>10004</v>
      </c>
      <c r="C2091" t="s">
        <v>1196</v>
      </c>
      <c r="D2091" t="s">
        <v>1877</v>
      </c>
      <c r="E2091" t="s">
        <v>614</v>
      </c>
      <c r="F2091" t="s">
        <v>239</v>
      </c>
      <c r="G2091" t="s">
        <v>520</v>
      </c>
      <c r="H2091" t="s">
        <v>521</v>
      </c>
      <c r="I2091" t="s">
        <v>212</v>
      </c>
      <c r="J2091" t="s">
        <v>1039</v>
      </c>
      <c r="K2091" t="s">
        <v>299</v>
      </c>
      <c r="L2091">
        <v>0.87</v>
      </c>
      <c r="M2091" t="s">
        <v>10005</v>
      </c>
      <c r="N2091" t="s">
        <v>10006</v>
      </c>
      <c r="O2091" t="s">
        <v>10007</v>
      </c>
      <c r="P2091" t="s">
        <v>485</v>
      </c>
      <c r="Q2091" t="s">
        <v>8794</v>
      </c>
      <c r="R2091" t="s">
        <v>8795</v>
      </c>
      <c r="S2091" t="s">
        <v>8794</v>
      </c>
      <c r="T2091" t="s">
        <v>8795</v>
      </c>
    </row>
    <row r="2092" spans="1:20">
      <c r="A2092" s="241">
        <v>44001</v>
      </c>
      <c r="B2092" t="s">
        <v>10008</v>
      </c>
      <c r="C2092" t="s">
        <v>1367</v>
      </c>
      <c r="D2092" t="s">
        <v>5481</v>
      </c>
      <c r="E2092" t="s">
        <v>392</v>
      </c>
      <c r="F2092" t="s">
        <v>813</v>
      </c>
      <c r="G2092" t="s">
        <v>1411</v>
      </c>
      <c r="H2092" t="s">
        <v>1726</v>
      </c>
      <c r="I2092" t="s">
        <v>560</v>
      </c>
      <c r="J2092" t="s">
        <v>1770</v>
      </c>
      <c r="K2092" t="s">
        <v>327</v>
      </c>
      <c r="L2092">
        <v>0.87</v>
      </c>
      <c r="M2092" t="s">
        <v>10009</v>
      </c>
      <c r="N2092" t="s">
        <v>10010</v>
      </c>
      <c r="O2092" t="s">
        <v>10011</v>
      </c>
      <c r="P2092" t="s">
        <v>485</v>
      </c>
      <c r="Q2092" t="s">
        <v>8794</v>
      </c>
      <c r="R2092" t="s">
        <v>8795</v>
      </c>
      <c r="S2092" t="s">
        <v>8794</v>
      </c>
      <c r="T2092" t="s">
        <v>8795</v>
      </c>
    </row>
    <row r="2093" spans="1:20">
      <c r="A2093" s="241">
        <v>44001</v>
      </c>
      <c r="B2093" t="s">
        <v>10012</v>
      </c>
      <c r="C2093" t="s">
        <v>5481</v>
      </c>
      <c r="D2093" t="s">
        <v>273</v>
      </c>
      <c r="E2093" t="s">
        <v>2478</v>
      </c>
      <c r="F2093" t="s">
        <v>356</v>
      </c>
      <c r="G2093" t="s">
        <v>798</v>
      </c>
      <c r="H2093" t="s">
        <v>1677</v>
      </c>
      <c r="I2093" t="s">
        <v>2329</v>
      </c>
      <c r="J2093" t="s">
        <v>267</v>
      </c>
      <c r="K2093" t="s">
        <v>651</v>
      </c>
      <c r="L2093">
        <v>0.87</v>
      </c>
      <c r="M2093" t="s">
        <v>10013</v>
      </c>
      <c r="N2093" t="s">
        <v>10014</v>
      </c>
      <c r="O2093" t="s">
        <v>10015</v>
      </c>
      <c r="P2093" t="s">
        <v>485</v>
      </c>
      <c r="Q2093" t="s">
        <v>8794</v>
      </c>
      <c r="R2093" t="s">
        <v>8795</v>
      </c>
      <c r="S2093" t="s">
        <v>8794</v>
      </c>
      <c r="T2093" t="s">
        <v>8795</v>
      </c>
    </row>
    <row r="2094" spans="1:20">
      <c r="A2094" s="241">
        <v>44001</v>
      </c>
      <c r="B2094" t="s">
        <v>10016</v>
      </c>
      <c r="C2094" t="s">
        <v>2626</v>
      </c>
      <c r="D2094" t="s">
        <v>423</v>
      </c>
      <c r="E2094" t="s">
        <v>614</v>
      </c>
      <c r="F2094" t="s">
        <v>275</v>
      </c>
      <c r="G2094" t="s">
        <v>210</v>
      </c>
      <c r="H2094" t="s">
        <v>2324</v>
      </c>
      <c r="I2094" t="s">
        <v>266</v>
      </c>
      <c r="J2094" t="s">
        <v>279</v>
      </c>
      <c r="K2094" t="s">
        <v>327</v>
      </c>
      <c r="L2094">
        <v>0.87</v>
      </c>
      <c r="M2094" t="s">
        <v>10017</v>
      </c>
      <c r="N2094" t="s">
        <v>10018</v>
      </c>
      <c r="O2094" t="s">
        <v>10019</v>
      </c>
      <c r="P2094" t="s">
        <v>485</v>
      </c>
      <c r="Q2094" t="s">
        <v>8794</v>
      </c>
      <c r="R2094" t="s">
        <v>8795</v>
      </c>
      <c r="S2094" t="s">
        <v>8794</v>
      </c>
      <c r="T2094" t="s">
        <v>8795</v>
      </c>
    </row>
    <row r="2095" spans="1:20">
      <c r="A2095" s="241">
        <v>44001</v>
      </c>
      <c r="B2095" t="s">
        <v>10020</v>
      </c>
      <c r="C2095" t="s">
        <v>294</v>
      </c>
      <c r="D2095" t="s">
        <v>392</v>
      </c>
      <c r="E2095" t="s">
        <v>225</v>
      </c>
      <c r="F2095" t="s">
        <v>590</v>
      </c>
      <c r="G2095" t="s">
        <v>2343</v>
      </c>
      <c r="H2095" t="s">
        <v>1057</v>
      </c>
      <c r="I2095" t="s">
        <v>1062</v>
      </c>
      <c r="J2095" t="s">
        <v>267</v>
      </c>
      <c r="K2095" t="s">
        <v>1032</v>
      </c>
      <c r="L2095">
        <v>0.86</v>
      </c>
      <c r="M2095" t="s">
        <v>10021</v>
      </c>
      <c r="N2095" t="s">
        <v>10022</v>
      </c>
      <c r="O2095" t="s">
        <v>10023</v>
      </c>
      <c r="P2095" t="s">
        <v>485</v>
      </c>
      <c r="Q2095" t="s">
        <v>8794</v>
      </c>
      <c r="R2095" t="s">
        <v>8795</v>
      </c>
      <c r="S2095" t="s">
        <v>8794</v>
      </c>
      <c r="T2095" t="s">
        <v>8795</v>
      </c>
    </row>
    <row r="2096" spans="1:20">
      <c r="A2096" s="241">
        <v>44001</v>
      </c>
      <c r="B2096" t="s">
        <v>10024</v>
      </c>
      <c r="C2096" t="s">
        <v>261</v>
      </c>
      <c r="D2096" t="s">
        <v>207</v>
      </c>
      <c r="E2096" t="s">
        <v>680</v>
      </c>
      <c r="F2096" t="s">
        <v>706</v>
      </c>
      <c r="G2096" t="s">
        <v>296</v>
      </c>
      <c r="H2096" t="s">
        <v>529</v>
      </c>
      <c r="I2096" t="s">
        <v>308</v>
      </c>
      <c r="J2096" t="s">
        <v>298</v>
      </c>
      <c r="K2096" t="s">
        <v>231</v>
      </c>
      <c r="L2096">
        <v>0.86</v>
      </c>
      <c r="M2096" t="s">
        <v>10025</v>
      </c>
      <c r="N2096" t="s">
        <v>10026</v>
      </c>
      <c r="O2096" t="s">
        <v>10027</v>
      </c>
      <c r="P2096" t="s">
        <v>485</v>
      </c>
      <c r="Q2096" t="s">
        <v>8794</v>
      </c>
      <c r="R2096" t="s">
        <v>8795</v>
      </c>
      <c r="S2096" t="s">
        <v>8794</v>
      </c>
      <c r="T2096" t="s">
        <v>8795</v>
      </c>
    </row>
    <row r="2097" spans="1:20">
      <c r="A2097" s="241">
        <v>44001</v>
      </c>
      <c r="B2097" t="s">
        <v>10028</v>
      </c>
      <c r="C2097" t="s">
        <v>645</v>
      </c>
      <c r="D2097" t="s">
        <v>2478</v>
      </c>
      <c r="E2097" t="s">
        <v>812</v>
      </c>
      <c r="F2097" t="s">
        <v>1109</v>
      </c>
      <c r="G2097" t="s">
        <v>1081</v>
      </c>
      <c r="H2097" t="s">
        <v>876</v>
      </c>
      <c r="I2097" t="s">
        <v>317</v>
      </c>
      <c r="J2097" t="s">
        <v>870</v>
      </c>
      <c r="K2097" t="s">
        <v>299</v>
      </c>
      <c r="L2097">
        <v>0.86</v>
      </c>
      <c r="M2097" t="s">
        <v>10029</v>
      </c>
      <c r="N2097" t="s">
        <v>10030</v>
      </c>
      <c r="O2097" t="s">
        <v>10031</v>
      </c>
      <c r="P2097" t="s">
        <v>485</v>
      </c>
      <c r="Q2097" t="s">
        <v>8794</v>
      </c>
      <c r="R2097" t="s">
        <v>8795</v>
      </c>
      <c r="S2097" t="s">
        <v>8794</v>
      </c>
      <c r="T2097" t="s">
        <v>8795</v>
      </c>
    </row>
    <row r="2098" spans="1:20">
      <c r="A2098" s="241">
        <v>44001</v>
      </c>
      <c r="B2098" t="s">
        <v>10032</v>
      </c>
      <c r="C2098" t="s">
        <v>510</v>
      </c>
      <c r="D2098" t="s">
        <v>671</v>
      </c>
      <c r="E2098" t="s">
        <v>680</v>
      </c>
      <c r="F2098" t="s">
        <v>1620</v>
      </c>
      <c r="G2098" t="s">
        <v>296</v>
      </c>
      <c r="H2098" t="s">
        <v>618</v>
      </c>
      <c r="I2098" t="s">
        <v>619</v>
      </c>
      <c r="J2098" t="s">
        <v>1484</v>
      </c>
      <c r="K2098" t="s">
        <v>299</v>
      </c>
      <c r="L2098">
        <v>0.86</v>
      </c>
      <c r="M2098" t="s">
        <v>10033</v>
      </c>
      <c r="N2098" t="s">
        <v>10034</v>
      </c>
      <c r="O2098" t="s">
        <v>10035</v>
      </c>
      <c r="P2098" t="s">
        <v>485</v>
      </c>
      <c r="Q2098" t="s">
        <v>8794</v>
      </c>
      <c r="R2098" t="s">
        <v>8795</v>
      </c>
      <c r="S2098" t="s">
        <v>8794</v>
      </c>
      <c r="T2098" t="s">
        <v>8795</v>
      </c>
    </row>
    <row r="2099" spans="1:20">
      <c r="A2099" s="241">
        <v>44001</v>
      </c>
      <c r="B2099" t="s">
        <v>10036</v>
      </c>
      <c r="C2099" t="s">
        <v>615</v>
      </c>
      <c r="D2099" t="s">
        <v>645</v>
      </c>
      <c r="E2099" t="s">
        <v>696</v>
      </c>
      <c r="F2099" t="s">
        <v>445</v>
      </c>
      <c r="G2099" t="s">
        <v>2142</v>
      </c>
      <c r="H2099" t="s">
        <v>2074</v>
      </c>
      <c r="I2099" t="s">
        <v>619</v>
      </c>
      <c r="J2099" t="s">
        <v>318</v>
      </c>
      <c r="K2099" t="s">
        <v>651</v>
      </c>
      <c r="L2099">
        <v>0.86</v>
      </c>
      <c r="M2099" t="s">
        <v>10037</v>
      </c>
      <c r="N2099" t="s">
        <v>10038</v>
      </c>
      <c r="O2099" t="s">
        <v>10039</v>
      </c>
      <c r="P2099" t="s">
        <v>485</v>
      </c>
      <c r="Q2099" t="s">
        <v>8794</v>
      </c>
      <c r="R2099" t="s">
        <v>8795</v>
      </c>
      <c r="S2099" t="s">
        <v>8794</v>
      </c>
      <c r="T2099" t="s">
        <v>8795</v>
      </c>
    </row>
    <row r="2100" spans="1:20">
      <c r="A2100" s="241">
        <v>44001</v>
      </c>
      <c r="B2100" t="s">
        <v>10040</v>
      </c>
      <c r="C2100" t="s">
        <v>671</v>
      </c>
      <c r="D2100" t="s">
        <v>2478</v>
      </c>
      <c r="E2100" t="s">
        <v>680</v>
      </c>
      <c r="F2100" t="s">
        <v>713</v>
      </c>
      <c r="G2100" t="s">
        <v>1832</v>
      </c>
      <c r="H2100" t="s">
        <v>881</v>
      </c>
      <c r="I2100" t="s">
        <v>1501</v>
      </c>
      <c r="J2100" t="s">
        <v>1092</v>
      </c>
      <c r="K2100" t="s">
        <v>299</v>
      </c>
      <c r="L2100">
        <v>0.86</v>
      </c>
      <c r="M2100" t="s">
        <v>10041</v>
      </c>
      <c r="N2100" t="s">
        <v>10042</v>
      </c>
      <c r="O2100" t="s">
        <v>10043</v>
      </c>
      <c r="P2100" t="s">
        <v>485</v>
      </c>
      <c r="Q2100" t="s">
        <v>8794</v>
      </c>
      <c r="R2100" t="s">
        <v>8795</v>
      </c>
      <c r="S2100" t="s">
        <v>8794</v>
      </c>
      <c r="T2100" t="s">
        <v>8795</v>
      </c>
    </row>
    <row r="2101" spans="1:20">
      <c r="A2101" s="241">
        <v>44001</v>
      </c>
      <c r="B2101" t="s">
        <v>10044</v>
      </c>
      <c r="C2101" t="s">
        <v>615</v>
      </c>
      <c r="D2101" t="s">
        <v>392</v>
      </c>
      <c r="E2101" t="s">
        <v>2544</v>
      </c>
      <c r="F2101" t="s">
        <v>662</v>
      </c>
      <c r="G2101" t="s">
        <v>617</v>
      </c>
      <c r="H2101" t="s">
        <v>356</v>
      </c>
      <c r="I2101" t="s">
        <v>357</v>
      </c>
      <c r="J2101" t="s">
        <v>348</v>
      </c>
      <c r="K2101" t="s">
        <v>299</v>
      </c>
      <c r="L2101">
        <v>0.86</v>
      </c>
      <c r="M2101" t="s">
        <v>10045</v>
      </c>
      <c r="N2101" t="s">
        <v>10046</v>
      </c>
      <c r="O2101" t="s">
        <v>10047</v>
      </c>
      <c r="P2101" t="s">
        <v>485</v>
      </c>
      <c r="Q2101" t="s">
        <v>8794</v>
      </c>
      <c r="R2101" t="s">
        <v>8795</v>
      </c>
      <c r="S2101" t="s">
        <v>8794</v>
      </c>
      <c r="T2101" t="s">
        <v>8795</v>
      </c>
    </row>
    <row r="2102" spans="1:20">
      <c r="A2102" s="241">
        <v>44001</v>
      </c>
      <c r="B2102" t="s">
        <v>10048</v>
      </c>
      <c r="C2102" t="s">
        <v>671</v>
      </c>
      <c r="D2102" t="s">
        <v>712</v>
      </c>
      <c r="E2102" t="s">
        <v>606</v>
      </c>
      <c r="F2102" t="s">
        <v>1127</v>
      </c>
      <c r="G2102" t="s">
        <v>1292</v>
      </c>
      <c r="H2102" t="s">
        <v>263</v>
      </c>
      <c r="I2102" t="s">
        <v>357</v>
      </c>
      <c r="J2102" t="s">
        <v>348</v>
      </c>
      <c r="K2102" t="s">
        <v>256</v>
      </c>
      <c r="L2102">
        <v>0.86</v>
      </c>
      <c r="M2102" t="s">
        <v>10049</v>
      </c>
      <c r="N2102" t="s">
        <v>10050</v>
      </c>
      <c r="O2102" t="s">
        <v>10051</v>
      </c>
      <c r="P2102" t="s">
        <v>485</v>
      </c>
      <c r="Q2102" t="s">
        <v>8794</v>
      </c>
      <c r="R2102" t="s">
        <v>8795</v>
      </c>
      <c r="S2102" t="s">
        <v>8794</v>
      </c>
      <c r="T2102" t="s">
        <v>8795</v>
      </c>
    </row>
    <row r="2103" spans="1:20">
      <c r="A2103" s="241">
        <v>44001</v>
      </c>
      <c r="B2103" t="s">
        <v>10052</v>
      </c>
      <c r="C2103" t="s">
        <v>614</v>
      </c>
      <c r="D2103" t="s">
        <v>2549</v>
      </c>
      <c r="E2103" t="s">
        <v>606</v>
      </c>
      <c r="F2103" t="s">
        <v>393</v>
      </c>
      <c r="G2103" t="s">
        <v>2177</v>
      </c>
      <c r="H2103" t="s">
        <v>285</v>
      </c>
      <c r="I2103" t="s">
        <v>1547</v>
      </c>
      <c r="J2103" t="s">
        <v>899</v>
      </c>
      <c r="K2103" t="s">
        <v>256</v>
      </c>
      <c r="L2103">
        <v>0.86</v>
      </c>
      <c r="M2103" t="s">
        <v>10053</v>
      </c>
      <c r="N2103" t="s">
        <v>10054</v>
      </c>
      <c r="O2103" t="s">
        <v>10055</v>
      </c>
      <c r="P2103" t="s">
        <v>485</v>
      </c>
      <c r="Q2103" t="s">
        <v>8794</v>
      </c>
      <c r="R2103" t="s">
        <v>8795</v>
      </c>
      <c r="S2103" t="s">
        <v>8794</v>
      </c>
      <c r="T2103" t="s">
        <v>8795</v>
      </c>
    </row>
    <row r="2104" spans="1:20">
      <c r="A2104" s="241">
        <v>44001</v>
      </c>
      <c r="B2104" t="s">
        <v>10056</v>
      </c>
      <c r="C2104" t="s">
        <v>2535</v>
      </c>
      <c r="D2104" t="s">
        <v>392</v>
      </c>
      <c r="E2104" t="s">
        <v>597</v>
      </c>
      <c r="F2104" t="s">
        <v>1604</v>
      </c>
      <c r="G2104" t="s">
        <v>375</v>
      </c>
      <c r="H2104" t="s">
        <v>626</v>
      </c>
      <c r="I2104" t="s">
        <v>386</v>
      </c>
      <c r="J2104" t="s">
        <v>377</v>
      </c>
      <c r="K2104" t="s">
        <v>280</v>
      </c>
      <c r="L2104">
        <v>0.86</v>
      </c>
      <c r="M2104" t="s">
        <v>10057</v>
      </c>
      <c r="N2104" t="s">
        <v>10058</v>
      </c>
      <c r="O2104" t="s">
        <v>10059</v>
      </c>
      <c r="P2104" t="s">
        <v>485</v>
      </c>
      <c r="Q2104" t="s">
        <v>8794</v>
      </c>
      <c r="R2104" t="s">
        <v>8795</v>
      </c>
      <c r="S2104" t="s">
        <v>8794</v>
      </c>
      <c r="T2104" t="s">
        <v>8795</v>
      </c>
    </row>
    <row r="2105" spans="1:20">
      <c r="A2105" s="241">
        <v>44001</v>
      </c>
      <c r="B2105" t="s">
        <v>10060</v>
      </c>
      <c r="C2105" t="s">
        <v>671</v>
      </c>
      <c r="D2105" t="s">
        <v>2549</v>
      </c>
      <c r="E2105" t="s">
        <v>1314</v>
      </c>
      <c r="F2105" t="s">
        <v>924</v>
      </c>
      <c r="G2105" t="s">
        <v>1122</v>
      </c>
      <c r="H2105" t="s">
        <v>855</v>
      </c>
      <c r="I2105" t="s">
        <v>1563</v>
      </c>
      <c r="J2105" t="s">
        <v>1128</v>
      </c>
      <c r="K2105" t="s">
        <v>280</v>
      </c>
      <c r="L2105">
        <v>0.86</v>
      </c>
      <c r="M2105" t="s">
        <v>10061</v>
      </c>
      <c r="N2105" t="s">
        <v>10062</v>
      </c>
      <c r="O2105" t="s">
        <v>10063</v>
      </c>
      <c r="P2105" t="s">
        <v>485</v>
      </c>
      <c r="Q2105" t="s">
        <v>8794</v>
      </c>
      <c r="R2105" t="s">
        <v>8795</v>
      </c>
      <c r="S2105" t="s">
        <v>8794</v>
      </c>
      <c r="T2105" t="s">
        <v>8795</v>
      </c>
    </row>
    <row r="2106" spans="1:20">
      <c r="A2106" s="241">
        <v>44001</v>
      </c>
      <c r="B2106" t="s">
        <v>10064</v>
      </c>
      <c r="C2106" t="s">
        <v>392</v>
      </c>
      <c r="D2106" t="s">
        <v>392</v>
      </c>
      <c r="E2106" t="s">
        <v>646</v>
      </c>
      <c r="F2106" t="s">
        <v>444</v>
      </c>
      <c r="G2106" t="s">
        <v>918</v>
      </c>
      <c r="H2106" t="s">
        <v>1291</v>
      </c>
      <c r="I2106" t="s">
        <v>911</v>
      </c>
      <c r="J2106" t="s">
        <v>1569</v>
      </c>
      <c r="K2106" t="s">
        <v>666</v>
      </c>
      <c r="L2106">
        <v>0.86</v>
      </c>
      <c r="M2106" t="s">
        <v>10065</v>
      </c>
      <c r="N2106" t="s">
        <v>10066</v>
      </c>
      <c r="O2106" t="s">
        <v>10067</v>
      </c>
      <c r="P2106" t="s">
        <v>485</v>
      </c>
      <c r="Q2106" t="s">
        <v>8794</v>
      </c>
      <c r="R2106" t="s">
        <v>8795</v>
      </c>
      <c r="S2106" t="s">
        <v>8794</v>
      </c>
      <c r="T2106" t="s">
        <v>8795</v>
      </c>
    </row>
    <row r="2107" spans="1:20">
      <c r="A2107" s="241">
        <v>44001</v>
      </c>
      <c r="B2107" t="s">
        <v>10068</v>
      </c>
      <c r="C2107" t="s">
        <v>671</v>
      </c>
      <c r="D2107" t="s">
        <v>392</v>
      </c>
      <c r="E2107" t="s">
        <v>2544</v>
      </c>
      <c r="F2107" t="s">
        <v>952</v>
      </c>
      <c r="G2107" t="s">
        <v>1133</v>
      </c>
      <c r="H2107" t="s">
        <v>405</v>
      </c>
      <c r="I2107" t="s">
        <v>698</v>
      </c>
      <c r="J2107" t="s">
        <v>397</v>
      </c>
      <c r="K2107" t="s">
        <v>651</v>
      </c>
      <c r="L2107">
        <v>0.86</v>
      </c>
      <c r="M2107" t="s">
        <v>10069</v>
      </c>
      <c r="N2107" t="s">
        <v>10070</v>
      </c>
      <c r="O2107" t="s">
        <v>10071</v>
      </c>
      <c r="P2107" t="s">
        <v>485</v>
      </c>
      <c r="Q2107" t="s">
        <v>8794</v>
      </c>
      <c r="R2107" t="s">
        <v>8795</v>
      </c>
      <c r="S2107" t="s">
        <v>8794</v>
      </c>
      <c r="T2107" t="s">
        <v>8795</v>
      </c>
    </row>
    <row r="2108" spans="1:20">
      <c r="A2108" s="241">
        <v>44001</v>
      </c>
      <c r="B2108" t="s">
        <v>10072</v>
      </c>
      <c r="C2108" t="s">
        <v>1139</v>
      </c>
      <c r="D2108" t="s">
        <v>1079</v>
      </c>
      <c r="E2108" t="s">
        <v>238</v>
      </c>
      <c r="F2108" t="s">
        <v>1945</v>
      </c>
      <c r="G2108" t="s">
        <v>910</v>
      </c>
      <c r="H2108" t="s">
        <v>1493</v>
      </c>
      <c r="I2108" t="s">
        <v>1923</v>
      </c>
      <c r="J2108" t="s">
        <v>707</v>
      </c>
      <c r="K2108" t="s">
        <v>666</v>
      </c>
      <c r="L2108">
        <v>0.86</v>
      </c>
      <c r="M2108" t="s">
        <v>10073</v>
      </c>
      <c r="N2108" t="s">
        <v>10074</v>
      </c>
      <c r="O2108" t="s">
        <v>10075</v>
      </c>
      <c r="P2108" t="s">
        <v>485</v>
      </c>
      <c r="Q2108" t="s">
        <v>8794</v>
      </c>
      <c r="R2108" t="s">
        <v>8795</v>
      </c>
      <c r="S2108" t="s">
        <v>8794</v>
      </c>
      <c r="T2108" t="s">
        <v>8795</v>
      </c>
    </row>
    <row r="2109" spans="1:20">
      <c r="A2109" s="241">
        <v>44001</v>
      </c>
      <c r="B2109" t="s">
        <v>10076</v>
      </c>
      <c r="C2109" t="s">
        <v>261</v>
      </c>
      <c r="D2109" t="s">
        <v>645</v>
      </c>
      <c r="E2109" t="s">
        <v>1049</v>
      </c>
      <c r="F2109" t="s">
        <v>1156</v>
      </c>
      <c r="G2109" t="s">
        <v>1936</v>
      </c>
      <c r="H2109" t="s">
        <v>1493</v>
      </c>
      <c r="I2109" t="s">
        <v>427</v>
      </c>
      <c r="J2109" t="s">
        <v>1304</v>
      </c>
      <c r="K2109" t="s">
        <v>700</v>
      </c>
      <c r="L2109">
        <v>0.86</v>
      </c>
      <c r="M2109" t="s">
        <v>10077</v>
      </c>
      <c r="N2109" t="s">
        <v>10078</v>
      </c>
      <c r="O2109" t="s">
        <v>10079</v>
      </c>
      <c r="P2109" t="s">
        <v>485</v>
      </c>
      <c r="Q2109" t="s">
        <v>8794</v>
      </c>
      <c r="R2109" t="s">
        <v>8795</v>
      </c>
      <c r="S2109" t="s">
        <v>8794</v>
      </c>
      <c r="T2109" t="s">
        <v>8795</v>
      </c>
    </row>
    <row r="2110" spans="1:20">
      <c r="A2110" s="241">
        <v>44001</v>
      </c>
      <c r="B2110" t="s">
        <v>10080</v>
      </c>
      <c r="C2110" t="s">
        <v>615</v>
      </c>
      <c r="D2110" t="s">
        <v>392</v>
      </c>
      <c r="E2110" t="s">
        <v>1314</v>
      </c>
      <c r="F2110" t="s">
        <v>3489</v>
      </c>
      <c r="G2110" t="s">
        <v>931</v>
      </c>
      <c r="H2110" t="s">
        <v>897</v>
      </c>
      <c r="I2110" t="s">
        <v>1631</v>
      </c>
      <c r="J2110" t="s">
        <v>730</v>
      </c>
      <c r="K2110" t="s">
        <v>700</v>
      </c>
      <c r="L2110">
        <v>0.86</v>
      </c>
      <c r="M2110" t="s">
        <v>10081</v>
      </c>
      <c r="N2110" t="s">
        <v>10082</v>
      </c>
      <c r="O2110" t="s">
        <v>10083</v>
      </c>
      <c r="P2110" t="s">
        <v>485</v>
      </c>
      <c r="Q2110" t="s">
        <v>8794</v>
      </c>
      <c r="R2110" t="s">
        <v>8795</v>
      </c>
      <c r="S2110" t="s">
        <v>8794</v>
      </c>
      <c r="T2110" t="s">
        <v>8795</v>
      </c>
    </row>
    <row r="2111" spans="1:20">
      <c r="A2111" s="241">
        <v>44001</v>
      </c>
      <c r="B2111" t="s">
        <v>10084</v>
      </c>
      <c r="C2111" t="s">
        <v>712</v>
      </c>
      <c r="D2111" t="s">
        <v>392</v>
      </c>
      <c r="E2111" t="s">
        <v>2584</v>
      </c>
      <c r="F2111" t="s">
        <v>3495</v>
      </c>
      <c r="G2111" t="s">
        <v>434</v>
      </c>
      <c r="H2111" t="s">
        <v>383</v>
      </c>
      <c r="I2111" t="s">
        <v>455</v>
      </c>
      <c r="J2111" t="s">
        <v>447</v>
      </c>
      <c r="K2111" t="s">
        <v>359</v>
      </c>
      <c r="L2111">
        <v>0.86</v>
      </c>
      <c r="M2111" t="s">
        <v>10085</v>
      </c>
      <c r="N2111" t="s">
        <v>10086</v>
      </c>
      <c r="O2111" t="s">
        <v>10087</v>
      </c>
      <c r="P2111" t="s">
        <v>485</v>
      </c>
      <c r="Q2111" t="s">
        <v>8794</v>
      </c>
      <c r="R2111" t="s">
        <v>8795</v>
      </c>
      <c r="S2111" t="s">
        <v>8794</v>
      </c>
      <c r="T2111" t="s">
        <v>8795</v>
      </c>
    </row>
    <row r="2112" spans="1:20">
      <c r="A2112" s="241">
        <v>44001</v>
      </c>
      <c r="B2112" t="s">
        <v>10088</v>
      </c>
      <c r="C2112" t="s">
        <v>1348</v>
      </c>
      <c r="D2112" t="s">
        <v>2636</v>
      </c>
      <c r="E2112" t="s">
        <v>625</v>
      </c>
      <c r="F2112" t="s">
        <v>10089</v>
      </c>
      <c r="G2112" t="s">
        <v>10090</v>
      </c>
      <c r="H2112" t="s">
        <v>476</v>
      </c>
      <c r="I2112" t="s">
        <v>740</v>
      </c>
      <c r="J2112" t="s">
        <v>741</v>
      </c>
      <c r="K2112" t="s">
        <v>6443</v>
      </c>
      <c r="L2112">
        <v>0.89</v>
      </c>
      <c r="M2112" t="s">
        <v>10091</v>
      </c>
      <c r="N2112" t="s">
        <v>10092</v>
      </c>
      <c r="O2112" t="s">
        <v>10093</v>
      </c>
      <c r="P2112" t="s">
        <v>485</v>
      </c>
      <c r="Q2112" t="s">
        <v>8794</v>
      </c>
      <c r="R2112" t="s">
        <v>8795</v>
      </c>
      <c r="S2112" t="s">
        <v>8794</v>
      </c>
      <c r="T2112" t="s">
        <v>8795</v>
      </c>
    </row>
    <row r="2113" spans="1:20">
      <c r="A2113" s="241">
        <v>44001</v>
      </c>
      <c r="B2113" t="s">
        <v>10094</v>
      </c>
      <c r="C2113" t="s">
        <v>499</v>
      </c>
      <c r="D2113" t="s">
        <v>2626</v>
      </c>
      <c r="E2113" t="s">
        <v>423</v>
      </c>
      <c r="F2113" t="s">
        <v>1179</v>
      </c>
      <c r="G2113" t="s">
        <v>3689</v>
      </c>
      <c r="H2113" t="s">
        <v>1969</v>
      </c>
      <c r="I2113" t="s">
        <v>4902</v>
      </c>
      <c r="J2113" t="s">
        <v>9106</v>
      </c>
      <c r="K2113" t="s">
        <v>5273</v>
      </c>
      <c r="L2113">
        <v>0.89</v>
      </c>
      <c r="M2113" t="s">
        <v>10095</v>
      </c>
      <c r="N2113" t="s">
        <v>10096</v>
      </c>
      <c r="O2113" t="s">
        <v>10097</v>
      </c>
      <c r="P2113" t="s">
        <v>485</v>
      </c>
      <c r="Q2113" t="s">
        <v>8794</v>
      </c>
      <c r="R2113" t="s">
        <v>8795</v>
      </c>
      <c r="S2113" t="s">
        <v>8794</v>
      </c>
      <c r="T2113" t="s">
        <v>8795</v>
      </c>
    </row>
    <row r="2114" spans="1:20">
      <c r="A2114" s="241">
        <v>44001</v>
      </c>
      <c r="B2114" t="s">
        <v>10098</v>
      </c>
      <c r="C2114" t="s">
        <v>1348</v>
      </c>
      <c r="D2114" t="s">
        <v>2626</v>
      </c>
      <c r="E2114" t="s">
        <v>223</v>
      </c>
      <c r="F2114" t="s">
        <v>4363</v>
      </c>
      <c r="G2114" t="s">
        <v>3977</v>
      </c>
      <c r="H2114" t="s">
        <v>2822</v>
      </c>
      <c r="I2114" t="s">
        <v>2442</v>
      </c>
      <c r="J2114" t="s">
        <v>1988</v>
      </c>
      <c r="K2114" t="s">
        <v>2443</v>
      </c>
      <c r="L2114">
        <v>0.89</v>
      </c>
      <c r="M2114" t="s">
        <v>10099</v>
      </c>
      <c r="N2114" t="s">
        <v>10100</v>
      </c>
      <c r="O2114" t="s">
        <v>10101</v>
      </c>
      <c r="P2114" t="s">
        <v>485</v>
      </c>
      <c r="Q2114" t="s">
        <v>8794</v>
      </c>
      <c r="R2114" t="s">
        <v>8795</v>
      </c>
      <c r="S2114" t="s">
        <v>8794</v>
      </c>
      <c r="T2114" t="s">
        <v>8795</v>
      </c>
    </row>
    <row r="2115" spans="1:20">
      <c r="A2115" s="241">
        <v>44001</v>
      </c>
      <c r="B2115" t="s">
        <v>10102</v>
      </c>
      <c r="C2115" t="s">
        <v>2636</v>
      </c>
      <c r="D2115" t="s">
        <v>206</v>
      </c>
      <c r="E2115" t="s">
        <v>1139</v>
      </c>
      <c r="F2115" t="s">
        <v>980</v>
      </c>
      <c r="G2115" t="s">
        <v>6218</v>
      </c>
      <c r="H2115" t="s">
        <v>10103</v>
      </c>
      <c r="I2115" t="s">
        <v>10104</v>
      </c>
      <c r="J2115" t="s">
        <v>10105</v>
      </c>
      <c r="K2115" t="s">
        <v>10106</v>
      </c>
      <c r="L2115">
        <v>0.88</v>
      </c>
      <c r="M2115" t="s">
        <v>10107</v>
      </c>
      <c r="N2115" t="s">
        <v>10108</v>
      </c>
      <c r="O2115" t="s">
        <v>10109</v>
      </c>
      <c r="P2115" t="s">
        <v>485</v>
      </c>
      <c r="Q2115" t="s">
        <v>8794</v>
      </c>
      <c r="R2115" t="s">
        <v>8795</v>
      </c>
      <c r="S2115" t="s">
        <v>8794</v>
      </c>
      <c r="T2115" t="s">
        <v>8795</v>
      </c>
    </row>
    <row r="2116" spans="1:20">
      <c r="A2116" s="241">
        <v>44001</v>
      </c>
      <c r="B2116" t="s">
        <v>10110</v>
      </c>
      <c r="C2116" t="s">
        <v>645</v>
      </c>
      <c r="D2116" t="s">
        <v>671</v>
      </c>
      <c r="E2116" t="s">
        <v>646</v>
      </c>
      <c r="F2116" t="s">
        <v>1704</v>
      </c>
      <c r="G2116" t="s">
        <v>9986</v>
      </c>
      <c r="H2116" t="s">
        <v>6714</v>
      </c>
      <c r="I2116" t="s">
        <v>2457</v>
      </c>
      <c r="J2116" t="s">
        <v>1002</v>
      </c>
      <c r="K2116" t="s">
        <v>781</v>
      </c>
      <c r="L2116">
        <v>0.87</v>
      </c>
      <c r="M2116" t="s">
        <v>10111</v>
      </c>
      <c r="N2116" t="s">
        <v>10112</v>
      </c>
      <c r="O2116" t="s">
        <v>10113</v>
      </c>
      <c r="P2116" t="s">
        <v>485</v>
      </c>
      <c r="Q2116" t="s">
        <v>8794</v>
      </c>
      <c r="R2116" t="s">
        <v>8795</v>
      </c>
      <c r="S2116" t="s">
        <v>8794</v>
      </c>
      <c r="T2116" t="s">
        <v>8795</v>
      </c>
    </row>
    <row r="2117" spans="1:20">
      <c r="A2117" s="241">
        <v>44001</v>
      </c>
      <c r="B2117" t="s">
        <v>10114</v>
      </c>
      <c r="C2117" t="s">
        <v>631</v>
      </c>
      <c r="D2117" t="s">
        <v>645</v>
      </c>
      <c r="E2117" t="s">
        <v>1102</v>
      </c>
      <c r="F2117" t="s">
        <v>539</v>
      </c>
      <c r="G2117" t="s">
        <v>2043</v>
      </c>
      <c r="H2117" t="s">
        <v>1225</v>
      </c>
      <c r="I2117" t="s">
        <v>2029</v>
      </c>
      <c r="J2117" t="s">
        <v>1011</v>
      </c>
      <c r="K2117" t="s">
        <v>1399</v>
      </c>
      <c r="L2117">
        <v>0.86</v>
      </c>
      <c r="M2117" t="s">
        <v>10115</v>
      </c>
      <c r="N2117" t="s">
        <v>10116</v>
      </c>
      <c r="O2117" t="s">
        <v>10117</v>
      </c>
      <c r="P2117" t="s">
        <v>485</v>
      </c>
      <c r="Q2117" t="s">
        <v>8794</v>
      </c>
      <c r="R2117" t="s">
        <v>8795</v>
      </c>
      <c r="S2117" t="s">
        <v>8794</v>
      </c>
      <c r="T2117" t="s">
        <v>8795</v>
      </c>
    </row>
    <row r="2118" spans="1:20">
      <c r="A2118" s="241">
        <v>44001</v>
      </c>
      <c r="B2118" t="s">
        <v>10118</v>
      </c>
      <c r="C2118" t="s">
        <v>631</v>
      </c>
      <c r="D2118" t="s">
        <v>679</v>
      </c>
      <c r="E2118" t="s">
        <v>1049</v>
      </c>
      <c r="F2118" t="s">
        <v>1255</v>
      </c>
      <c r="G2118" t="s">
        <v>1025</v>
      </c>
      <c r="H2118" t="s">
        <v>815</v>
      </c>
      <c r="I2118" t="s">
        <v>1727</v>
      </c>
      <c r="J2118" t="s">
        <v>533</v>
      </c>
      <c r="K2118" t="s">
        <v>1234</v>
      </c>
      <c r="L2118">
        <v>0.86</v>
      </c>
      <c r="M2118" t="s">
        <v>10119</v>
      </c>
      <c r="N2118" t="s">
        <v>10120</v>
      </c>
      <c r="O2118" t="s">
        <v>10121</v>
      </c>
      <c r="P2118" t="s">
        <v>485</v>
      </c>
      <c r="Q2118" t="s">
        <v>8794</v>
      </c>
      <c r="R2118" t="s">
        <v>8795</v>
      </c>
      <c r="S2118" t="s">
        <v>8794</v>
      </c>
      <c r="T2118" t="s">
        <v>8795</v>
      </c>
    </row>
    <row r="2119" spans="1:20">
      <c r="A2119" s="241">
        <v>44001</v>
      </c>
      <c r="B2119" t="s">
        <v>10122</v>
      </c>
      <c r="C2119" t="s">
        <v>615</v>
      </c>
      <c r="D2119" t="s">
        <v>2549</v>
      </c>
      <c r="E2119" t="s">
        <v>646</v>
      </c>
      <c r="F2119" t="s">
        <v>239</v>
      </c>
      <c r="G2119" t="s">
        <v>548</v>
      </c>
      <c r="H2119" t="s">
        <v>1038</v>
      </c>
      <c r="I2119" t="s">
        <v>1421</v>
      </c>
      <c r="J2119" t="s">
        <v>1428</v>
      </c>
      <c r="K2119" t="s">
        <v>1234</v>
      </c>
      <c r="L2119">
        <v>0.86</v>
      </c>
      <c r="M2119" t="s">
        <v>10123</v>
      </c>
      <c r="N2119" t="s">
        <v>10124</v>
      </c>
      <c r="O2119" t="s">
        <v>10125</v>
      </c>
      <c r="P2119" t="s">
        <v>485</v>
      </c>
      <c r="Q2119" t="s">
        <v>8794</v>
      </c>
      <c r="R2119" t="s">
        <v>8795</v>
      </c>
      <c r="S2119" t="s">
        <v>8794</v>
      </c>
      <c r="T2119" t="s">
        <v>8795</v>
      </c>
    </row>
    <row r="2120" spans="1:20">
      <c r="A2120" s="241">
        <v>44001</v>
      </c>
      <c r="B2120" t="s">
        <v>10126</v>
      </c>
      <c r="C2120" t="s">
        <v>645</v>
      </c>
      <c r="D2120" t="s">
        <v>382</v>
      </c>
      <c r="E2120" t="s">
        <v>606</v>
      </c>
      <c r="F2120" t="s">
        <v>275</v>
      </c>
      <c r="G2120" t="s">
        <v>1745</v>
      </c>
      <c r="H2120" t="s">
        <v>2910</v>
      </c>
      <c r="I2120" t="s">
        <v>242</v>
      </c>
      <c r="J2120" t="s">
        <v>1039</v>
      </c>
      <c r="K2120" t="s">
        <v>1234</v>
      </c>
      <c r="L2120">
        <v>0.86</v>
      </c>
      <c r="M2120" t="s">
        <v>10127</v>
      </c>
      <c r="N2120" t="s">
        <v>10128</v>
      </c>
      <c r="O2120" t="s">
        <v>10129</v>
      </c>
      <c r="P2120" t="s">
        <v>485</v>
      </c>
      <c r="Q2120" t="s">
        <v>8794</v>
      </c>
      <c r="R2120" t="s">
        <v>8795</v>
      </c>
      <c r="S2120" t="s">
        <v>8794</v>
      </c>
      <c r="T2120" t="s">
        <v>8795</v>
      </c>
    </row>
    <row r="2121" spans="1:20">
      <c r="A2121" s="241">
        <v>44001</v>
      </c>
      <c r="B2121" t="s">
        <v>10130</v>
      </c>
      <c r="C2121" t="s">
        <v>614</v>
      </c>
      <c r="D2121" t="s">
        <v>443</v>
      </c>
      <c r="E2121" t="s">
        <v>646</v>
      </c>
      <c r="F2121" t="s">
        <v>1056</v>
      </c>
      <c r="G2121" t="s">
        <v>1239</v>
      </c>
      <c r="H2121" t="s">
        <v>1388</v>
      </c>
      <c r="I2121" t="s">
        <v>1250</v>
      </c>
      <c r="J2121" t="s">
        <v>561</v>
      </c>
      <c r="K2121" t="s">
        <v>524</v>
      </c>
      <c r="L2121">
        <v>0.86</v>
      </c>
      <c r="M2121" t="s">
        <v>10131</v>
      </c>
      <c r="N2121" t="s">
        <v>10132</v>
      </c>
      <c r="O2121" t="s">
        <v>10133</v>
      </c>
      <c r="P2121" t="s">
        <v>485</v>
      </c>
      <c r="Q2121" t="s">
        <v>8794</v>
      </c>
      <c r="R2121" t="s">
        <v>8795</v>
      </c>
      <c r="S2121" t="s">
        <v>8794</v>
      </c>
      <c r="T2121" t="s">
        <v>8795</v>
      </c>
    </row>
    <row r="2122" spans="1:20">
      <c r="A2122" s="241">
        <v>44001</v>
      </c>
      <c r="B2122" t="s">
        <v>10134</v>
      </c>
      <c r="C2122" t="s">
        <v>392</v>
      </c>
      <c r="D2122" t="s">
        <v>392</v>
      </c>
      <c r="E2122" t="s">
        <v>680</v>
      </c>
      <c r="F2122" t="s">
        <v>1769</v>
      </c>
      <c r="G2122" t="s">
        <v>804</v>
      </c>
      <c r="H2122" t="s">
        <v>2910</v>
      </c>
      <c r="I2122" t="s">
        <v>229</v>
      </c>
      <c r="J2122" t="s">
        <v>1245</v>
      </c>
      <c r="K2122" t="s">
        <v>515</v>
      </c>
      <c r="L2122">
        <v>0.86</v>
      </c>
      <c r="M2122" t="s">
        <v>10135</v>
      </c>
      <c r="N2122" t="s">
        <v>10136</v>
      </c>
      <c r="O2122" t="s">
        <v>10137</v>
      </c>
      <c r="P2122" t="s">
        <v>485</v>
      </c>
      <c r="Q2122" t="s">
        <v>8794</v>
      </c>
      <c r="R2122" t="s">
        <v>8795</v>
      </c>
      <c r="S2122" t="s">
        <v>8794</v>
      </c>
      <c r="T2122" t="s">
        <v>8795</v>
      </c>
    </row>
    <row r="2123" spans="1:20">
      <c r="A2123" s="241">
        <v>44001</v>
      </c>
      <c r="B2123" t="s">
        <v>10138</v>
      </c>
      <c r="C2123" t="s">
        <v>625</v>
      </c>
      <c r="D2123" t="s">
        <v>1139</v>
      </c>
      <c r="E2123" t="s">
        <v>2544</v>
      </c>
      <c r="F2123" t="s">
        <v>616</v>
      </c>
      <c r="G2123" t="s">
        <v>1044</v>
      </c>
      <c r="H2123" t="s">
        <v>253</v>
      </c>
      <c r="I2123" t="s">
        <v>254</v>
      </c>
      <c r="J2123" t="s">
        <v>230</v>
      </c>
      <c r="K2123" t="s">
        <v>515</v>
      </c>
      <c r="L2123">
        <v>0.86</v>
      </c>
      <c r="M2123" t="s">
        <v>10139</v>
      </c>
      <c r="N2123" t="s">
        <v>10140</v>
      </c>
      <c r="O2123" t="s">
        <v>10141</v>
      </c>
      <c r="P2123" t="s">
        <v>485</v>
      </c>
      <c r="Q2123" t="s">
        <v>8794</v>
      </c>
      <c r="R2123" t="s">
        <v>8795</v>
      </c>
      <c r="S2123" t="s">
        <v>8794</v>
      </c>
      <c r="T2123" t="s">
        <v>8795</v>
      </c>
    </row>
    <row r="2124" spans="1:20">
      <c r="A2124" s="241">
        <v>44001</v>
      </c>
      <c r="B2124" t="s">
        <v>10142</v>
      </c>
      <c r="C2124" t="s">
        <v>712</v>
      </c>
      <c r="D2124" t="s">
        <v>2478</v>
      </c>
      <c r="E2124" t="s">
        <v>1049</v>
      </c>
      <c r="F2124" t="s">
        <v>295</v>
      </c>
      <c r="G2124" t="s">
        <v>1775</v>
      </c>
      <c r="H2124" t="s">
        <v>307</v>
      </c>
      <c r="I2124" t="s">
        <v>1264</v>
      </c>
      <c r="J2124" t="s">
        <v>1063</v>
      </c>
      <c r="K2124" t="s">
        <v>214</v>
      </c>
      <c r="L2124">
        <v>0.86</v>
      </c>
      <c r="M2124" t="s">
        <v>10143</v>
      </c>
      <c r="N2124" t="s">
        <v>10144</v>
      </c>
      <c r="O2124" t="s">
        <v>10145</v>
      </c>
      <c r="P2124" t="s">
        <v>485</v>
      </c>
      <c r="Q2124" t="s">
        <v>8794</v>
      </c>
      <c r="R2124" t="s">
        <v>8795</v>
      </c>
      <c r="S2124" t="s">
        <v>8794</v>
      </c>
      <c r="T2124" t="s">
        <v>8795</v>
      </c>
    </row>
    <row r="2125" spans="1:20">
      <c r="A2125" s="241">
        <v>44001</v>
      </c>
      <c r="B2125" t="s">
        <v>10146</v>
      </c>
      <c r="C2125" t="s">
        <v>274</v>
      </c>
      <c r="D2125" t="s">
        <v>631</v>
      </c>
      <c r="E2125" t="s">
        <v>2893</v>
      </c>
      <c r="F2125" t="s">
        <v>1511</v>
      </c>
      <c r="G2125" t="s">
        <v>264</v>
      </c>
      <c r="H2125" t="s">
        <v>600</v>
      </c>
      <c r="I2125" t="s">
        <v>849</v>
      </c>
      <c r="J2125" t="s">
        <v>289</v>
      </c>
      <c r="K2125" t="s">
        <v>214</v>
      </c>
      <c r="L2125">
        <v>0.86</v>
      </c>
      <c r="M2125" t="s">
        <v>10147</v>
      </c>
      <c r="N2125" t="s">
        <v>10148</v>
      </c>
      <c r="O2125" t="s">
        <v>10149</v>
      </c>
      <c r="P2125" t="s">
        <v>485</v>
      </c>
      <c r="Q2125" t="s">
        <v>8794</v>
      </c>
      <c r="R2125" t="s">
        <v>8795</v>
      </c>
      <c r="S2125" t="s">
        <v>8794</v>
      </c>
      <c r="T2125" t="s">
        <v>8795</v>
      </c>
    </row>
    <row r="2126" spans="1:20">
      <c r="A2126" s="241">
        <v>44001</v>
      </c>
      <c r="B2126" t="s">
        <v>10150</v>
      </c>
      <c r="C2126" t="s">
        <v>671</v>
      </c>
      <c r="D2126" t="s">
        <v>2478</v>
      </c>
      <c r="E2126" t="s">
        <v>606</v>
      </c>
      <c r="F2126" t="s">
        <v>1493</v>
      </c>
      <c r="G2126" t="s">
        <v>1269</v>
      </c>
      <c r="H2126" t="s">
        <v>1818</v>
      </c>
      <c r="I2126" t="s">
        <v>1082</v>
      </c>
      <c r="J2126" t="s">
        <v>309</v>
      </c>
      <c r="K2126" t="s">
        <v>579</v>
      </c>
      <c r="L2126">
        <v>0.86</v>
      </c>
      <c r="M2126" t="s">
        <v>10151</v>
      </c>
      <c r="N2126" t="s">
        <v>10152</v>
      </c>
      <c r="O2126" t="s">
        <v>10153</v>
      </c>
      <c r="P2126" t="s">
        <v>485</v>
      </c>
      <c r="Q2126" t="s">
        <v>8794</v>
      </c>
      <c r="R2126" t="s">
        <v>8795</v>
      </c>
      <c r="S2126" t="s">
        <v>8794</v>
      </c>
      <c r="T2126" t="s">
        <v>8795</v>
      </c>
    </row>
    <row r="2127" spans="1:20">
      <c r="A2127" s="241">
        <v>44001</v>
      </c>
      <c r="B2127" t="s">
        <v>10154</v>
      </c>
      <c r="C2127" t="s">
        <v>625</v>
      </c>
      <c r="D2127" t="s">
        <v>1139</v>
      </c>
      <c r="E2127" t="s">
        <v>2544</v>
      </c>
      <c r="F2127" t="s">
        <v>1103</v>
      </c>
      <c r="G2127" t="s">
        <v>830</v>
      </c>
      <c r="H2127" t="s">
        <v>600</v>
      </c>
      <c r="I2127" t="s">
        <v>308</v>
      </c>
      <c r="J2127" t="s">
        <v>298</v>
      </c>
      <c r="K2127" t="s">
        <v>571</v>
      </c>
      <c r="L2127">
        <v>0.86</v>
      </c>
      <c r="M2127" t="s">
        <v>10155</v>
      </c>
      <c r="N2127" t="s">
        <v>10156</v>
      </c>
      <c r="O2127" t="s">
        <v>10157</v>
      </c>
      <c r="P2127" t="s">
        <v>485</v>
      </c>
      <c r="Q2127" t="s">
        <v>8794</v>
      </c>
      <c r="R2127" t="s">
        <v>8795</v>
      </c>
      <c r="S2127" t="s">
        <v>8794</v>
      </c>
      <c r="T2127" t="s">
        <v>8795</v>
      </c>
    </row>
    <row r="2128" spans="1:20">
      <c r="A2128" s="241">
        <v>44001</v>
      </c>
      <c r="B2128" t="s">
        <v>10158</v>
      </c>
      <c r="C2128" t="s">
        <v>671</v>
      </c>
      <c r="D2128" t="s">
        <v>392</v>
      </c>
      <c r="E2128" t="s">
        <v>1121</v>
      </c>
      <c r="F2128" t="s">
        <v>647</v>
      </c>
      <c r="G2128" t="s">
        <v>843</v>
      </c>
      <c r="H2128" t="s">
        <v>1756</v>
      </c>
      <c r="I2128" t="s">
        <v>1842</v>
      </c>
      <c r="J2128" t="s">
        <v>1092</v>
      </c>
      <c r="K2128" t="s">
        <v>579</v>
      </c>
      <c r="L2128">
        <v>0.86</v>
      </c>
      <c r="M2128" t="s">
        <v>10159</v>
      </c>
      <c r="N2128" t="s">
        <v>10160</v>
      </c>
      <c r="O2128" t="s">
        <v>10161</v>
      </c>
      <c r="P2128" t="s">
        <v>485</v>
      </c>
      <c r="Q2128" t="s">
        <v>8794</v>
      </c>
      <c r="R2128" t="s">
        <v>8795</v>
      </c>
      <c r="S2128" t="s">
        <v>8794</v>
      </c>
      <c r="T2128" t="s">
        <v>8795</v>
      </c>
    </row>
    <row r="2129" spans="1:20">
      <c r="A2129" s="241">
        <v>44001</v>
      </c>
      <c r="B2129" t="s">
        <v>10162</v>
      </c>
      <c r="C2129" t="s">
        <v>679</v>
      </c>
      <c r="D2129" t="s">
        <v>1139</v>
      </c>
      <c r="E2129" t="s">
        <v>680</v>
      </c>
      <c r="F2129" t="s">
        <v>454</v>
      </c>
      <c r="G2129" t="s">
        <v>591</v>
      </c>
      <c r="H2129" t="s">
        <v>1050</v>
      </c>
      <c r="I2129" t="s">
        <v>1842</v>
      </c>
      <c r="J2129" t="s">
        <v>634</v>
      </c>
      <c r="K2129" t="s">
        <v>338</v>
      </c>
      <c r="L2129">
        <v>0.86</v>
      </c>
      <c r="M2129" t="s">
        <v>10163</v>
      </c>
      <c r="N2129" t="s">
        <v>10164</v>
      </c>
      <c r="O2129" t="s">
        <v>10165</v>
      </c>
      <c r="P2129" t="s">
        <v>485</v>
      </c>
      <c r="Q2129" t="s">
        <v>8794</v>
      </c>
      <c r="R2129" t="s">
        <v>8795</v>
      </c>
      <c r="S2129" t="s">
        <v>8794</v>
      </c>
      <c r="T2129" t="s">
        <v>8795</v>
      </c>
    </row>
    <row r="2130" spans="1:20">
      <c r="A2130" s="241">
        <v>44001</v>
      </c>
      <c r="B2130" t="s">
        <v>10166</v>
      </c>
      <c r="C2130" t="s">
        <v>625</v>
      </c>
      <c r="D2130" t="s">
        <v>2535</v>
      </c>
      <c r="E2130" t="s">
        <v>1049</v>
      </c>
      <c r="F2130" t="s">
        <v>1536</v>
      </c>
      <c r="G2130" t="s">
        <v>875</v>
      </c>
      <c r="H2130" t="s">
        <v>366</v>
      </c>
      <c r="I2130" t="s">
        <v>1518</v>
      </c>
      <c r="J2130" t="s">
        <v>337</v>
      </c>
      <c r="K2130" t="s">
        <v>299</v>
      </c>
      <c r="L2130">
        <v>0.86</v>
      </c>
      <c r="M2130" t="s">
        <v>10167</v>
      </c>
      <c r="N2130" t="s">
        <v>10168</v>
      </c>
      <c r="O2130" t="s">
        <v>10169</v>
      </c>
      <c r="P2130" t="s">
        <v>485</v>
      </c>
      <c r="Q2130" t="s">
        <v>8794</v>
      </c>
      <c r="R2130" t="s">
        <v>8795</v>
      </c>
      <c r="S2130" t="s">
        <v>8794</v>
      </c>
      <c r="T2130" t="s">
        <v>8795</v>
      </c>
    </row>
    <row r="2131" spans="1:20">
      <c r="A2131" s="241">
        <v>44001</v>
      </c>
      <c r="B2131" t="s">
        <v>10170</v>
      </c>
      <c r="C2131" t="s">
        <v>631</v>
      </c>
      <c r="D2131" t="s">
        <v>392</v>
      </c>
      <c r="E2131" t="s">
        <v>1102</v>
      </c>
      <c r="F2131" t="s">
        <v>393</v>
      </c>
      <c r="G2131" t="s">
        <v>2160</v>
      </c>
      <c r="H2131" t="s">
        <v>598</v>
      </c>
      <c r="I2131" t="s">
        <v>1523</v>
      </c>
      <c r="J2131" t="s">
        <v>1868</v>
      </c>
      <c r="K2131" t="s">
        <v>268</v>
      </c>
      <c r="L2131">
        <v>0.86</v>
      </c>
      <c r="M2131" t="s">
        <v>10171</v>
      </c>
      <c r="N2131" t="s">
        <v>10172</v>
      </c>
      <c r="O2131" t="s">
        <v>10173</v>
      </c>
      <c r="P2131" t="s">
        <v>485</v>
      </c>
      <c r="Q2131" t="s">
        <v>8794</v>
      </c>
      <c r="R2131" t="s">
        <v>8795</v>
      </c>
      <c r="S2131" t="s">
        <v>8794</v>
      </c>
      <c r="T2131" t="s">
        <v>8795</v>
      </c>
    </row>
    <row r="2132" spans="1:20">
      <c r="A2132" s="241">
        <v>44001</v>
      </c>
      <c r="B2132" t="s">
        <v>10174</v>
      </c>
      <c r="C2132" t="s">
        <v>645</v>
      </c>
      <c r="D2132" t="s">
        <v>671</v>
      </c>
      <c r="E2132" t="s">
        <v>1102</v>
      </c>
      <c r="F2132" t="s">
        <v>1536</v>
      </c>
      <c r="G2132" t="s">
        <v>1110</v>
      </c>
      <c r="H2132" t="s">
        <v>1262</v>
      </c>
      <c r="I2132" t="s">
        <v>888</v>
      </c>
      <c r="J2132" t="s">
        <v>2372</v>
      </c>
      <c r="K2132" t="s">
        <v>256</v>
      </c>
      <c r="L2132">
        <v>0.86</v>
      </c>
      <c r="M2132" t="s">
        <v>10175</v>
      </c>
      <c r="N2132" t="s">
        <v>10176</v>
      </c>
      <c r="O2132" t="s">
        <v>10177</v>
      </c>
      <c r="P2132" t="s">
        <v>485</v>
      </c>
      <c r="Q2132" t="s">
        <v>8794</v>
      </c>
      <c r="R2132" t="s">
        <v>8795</v>
      </c>
      <c r="S2132" t="s">
        <v>8794</v>
      </c>
      <c r="T2132" t="s">
        <v>8795</v>
      </c>
    </row>
    <row r="2133" spans="1:20">
      <c r="A2133" s="241">
        <v>44001</v>
      </c>
      <c r="B2133" t="s">
        <v>10178</v>
      </c>
      <c r="C2133" t="s">
        <v>645</v>
      </c>
      <c r="D2133" t="s">
        <v>392</v>
      </c>
      <c r="E2133" t="s">
        <v>646</v>
      </c>
      <c r="F2133" t="s">
        <v>1315</v>
      </c>
      <c r="G2133" t="s">
        <v>1110</v>
      </c>
      <c r="H2133" t="s">
        <v>616</v>
      </c>
      <c r="I2133" t="s">
        <v>664</v>
      </c>
      <c r="J2133" t="s">
        <v>1116</v>
      </c>
      <c r="K2133" t="s">
        <v>256</v>
      </c>
      <c r="L2133">
        <v>0.86</v>
      </c>
      <c r="M2133" t="s">
        <v>10179</v>
      </c>
      <c r="N2133" t="s">
        <v>10180</v>
      </c>
      <c r="O2133" t="s">
        <v>10181</v>
      </c>
      <c r="P2133" t="s">
        <v>485</v>
      </c>
      <c r="Q2133" t="s">
        <v>8794</v>
      </c>
      <c r="R2133" t="s">
        <v>8795</v>
      </c>
      <c r="S2133" t="s">
        <v>8794</v>
      </c>
      <c r="T2133" t="s">
        <v>8795</v>
      </c>
    </row>
    <row r="2134" spans="1:20">
      <c r="A2134" s="241">
        <v>44001</v>
      </c>
      <c r="B2134" t="s">
        <v>10182</v>
      </c>
      <c r="C2134" t="s">
        <v>671</v>
      </c>
      <c r="D2134" t="s">
        <v>645</v>
      </c>
      <c r="E2134" t="s">
        <v>2544</v>
      </c>
      <c r="F2134" t="s">
        <v>689</v>
      </c>
      <c r="G2134" t="s">
        <v>663</v>
      </c>
      <c r="H2134" t="s">
        <v>626</v>
      </c>
      <c r="I2134" t="s">
        <v>386</v>
      </c>
      <c r="J2134" t="s">
        <v>377</v>
      </c>
      <c r="K2134" t="s">
        <v>338</v>
      </c>
      <c r="L2134">
        <v>0.86</v>
      </c>
      <c r="M2134" t="s">
        <v>10183</v>
      </c>
      <c r="N2134" t="s">
        <v>10184</v>
      </c>
      <c r="O2134" t="s">
        <v>10185</v>
      </c>
      <c r="P2134" t="s">
        <v>485</v>
      </c>
      <c r="Q2134" t="s">
        <v>8794</v>
      </c>
      <c r="R2134" t="s">
        <v>8795</v>
      </c>
      <c r="S2134" t="s">
        <v>8794</v>
      </c>
      <c r="T2134" t="s">
        <v>8795</v>
      </c>
    </row>
    <row r="2135" spans="1:20">
      <c r="A2135" s="241">
        <v>44001</v>
      </c>
      <c r="B2135" t="s">
        <v>10186</v>
      </c>
      <c r="C2135" t="s">
        <v>679</v>
      </c>
      <c r="D2135" t="s">
        <v>392</v>
      </c>
      <c r="E2135" t="s">
        <v>646</v>
      </c>
      <c r="F2135" t="s">
        <v>689</v>
      </c>
      <c r="G2135" t="s">
        <v>673</v>
      </c>
      <c r="H2135" t="s">
        <v>305</v>
      </c>
      <c r="I2135" t="s">
        <v>1134</v>
      </c>
      <c r="J2135" t="s">
        <v>387</v>
      </c>
      <c r="K2135" t="s">
        <v>280</v>
      </c>
      <c r="L2135">
        <v>0.86</v>
      </c>
      <c r="M2135" t="s">
        <v>10187</v>
      </c>
      <c r="N2135" t="s">
        <v>10188</v>
      </c>
      <c r="O2135" t="s">
        <v>10189</v>
      </c>
      <c r="P2135" t="s">
        <v>485</v>
      </c>
      <c r="Q2135" t="s">
        <v>8794</v>
      </c>
      <c r="R2135" t="s">
        <v>8795</v>
      </c>
      <c r="S2135" t="s">
        <v>8794</v>
      </c>
      <c r="T2135" t="s">
        <v>8795</v>
      </c>
    </row>
    <row r="2136" spans="1:20">
      <c r="A2136" s="241">
        <v>44001</v>
      </c>
      <c r="B2136" t="s">
        <v>10190</v>
      </c>
      <c r="C2136" t="s">
        <v>625</v>
      </c>
      <c r="D2136" t="s">
        <v>2478</v>
      </c>
      <c r="E2136" t="s">
        <v>2731</v>
      </c>
      <c r="F2136" t="s">
        <v>952</v>
      </c>
      <c r="G2136" t="s">
        <v>918</v>
      </c>
      <c r="H2136" t="s">
        <v>305</v>
      </c>
      <c r="I2136" t="s">
        <v>690</v>
      </c>
      <c r="J2136" t="s">
        <v>912</v>
      </c>
      <c r="K2136" t="s">
        <v>651</v>
      </c>
      <c r="L2136">
        <v>0.86</v>
      </c>
      <c r="M2136" t="s">
        <v>10191</v>
      </c>
      <c r="N2136" t="s">
        <v>10192</v>
      </c>
      <c r="O2136" t="s">
        <v>10193</v>
      </c>
      <c r="P2136" t="s">
        <v>485</v>
      </c>
      <c r="Q2136" t="s">
        <v>8794</v>
      </c>
      <c r="R2136" t="s">
        <v>8795</v>
      </c>
      <c r="S2136" t="s">
        <v>8794</v>
      </c>
      <c r="T2136" t="s">
        <v>8795</v>
      </c>
    </row>
    <row r="2137" spans="1:20">
      <c r="A2137" s="241">
        <v>44001</v>
      </c>
      <c r="B2137" t="s">
        <v>10194</v>
      </c>
      <c r="C2137" t="s">
        <v>625</v>
      </c>
      <c r="D2137" t="s">
        <v>1079</v>
      </c>
      <c r="E2137" t="s">
        <v>1314</v>
      </c>
      <c r="F2137" t="s">
        <v>433</v>
      </c>
      <c r="G2137" t="s">
        <v>918</v>
      </c>
      <c r="H2137" t="s">
        <v>435</v>
      </c>
      <c r="I2137" t="s">
        <v>690</v>
      </c>
      <c r="J2137" t="s">
        <v>691</v>
      </c>
      <c r="K2137" t="s">
        <v>349</v>
      </c>
      <c r="L2137">
        <v>0.86</v>
      </c>
      <c r="M2137" t="s">
        <v>10195</v>
      </c>
      <c r="N2137" t="s">
        <v>10196</v>
      </c>
      <c r="O2137" t="s">
        <v>10197</v>
      </c>
      <c r="P2137" t="s">
        <v>485</v>
      </c>
      <c r="Q2137" t="s">
        <v>8794</v>
      </c>
      <c r="R2137" t="s">
        <v>8795</v>
      </c>
      <c r="S2137" t="s">
        <v>8794</v>
      </c>
      <c r="T2137" t="s">
        <v>8795</v>
      </c>
    </row>
    <row r="2138" spans="1:20">
      <c r="A2138" s="241">
        <v>44001</v>
      </c>
      <c r="B2138" t="s">
        <v>10198</v>
      </c>
      <c r="C2138" t="s">
        <v>625</v>
      </c>
      <c r="D2138" t="s">
        <v>1079</v>
      </c>
      <c r="E2138" t="s">
        <v>2544</v>
      </c>
      <c r="F2138" t="s">
        <v>1945</v>
      </c>
      <c r="G2138" t="s">
        <v>1133</v>
      </c>
      <c r="H2138" t="s">
        <v>1109</v>
      </c>
      <c r="I2138" t="s">
        <v>932</v>
      </c>
      <c r="J2138" t="s">
        <v>919</v>
      </c>
      <c r="K2138" t="s">
        <v>666</v>
      </c>
      <c r="L2138">
        <v>0.86</v>
      </c>
      <c r="M2138" t="s">
        <v>10199</v>
      </c>
      <c r="N2138" t="s">
        <v>10200</v>
      </c>
      <c r="O2138" t="s">
        <v>10201</v>
      </c>
      <c r="P2138" t="s">
        <v>485</v>
      </c>
      <c r="Q2138" t="s">
        <v>8794</v>
      </c>
      <c r="R2138" t="s">
        <v>8795</v>
      </c>
      <c r="S2138" t="s">
        <v>8794</v>
      </c>
      <c r="T2138" t="s">
        <v>8795</v>
      </c>
    </row>
    <row r="2139" spans="1:20">
      <c r="A2139" s="241">
        <v>44001</v>
      </c>
      <c r="B2139" t="s">
        <v>10202</v>
      </c>
      <c r="C2139" t="s">
        <v>645</v>
      </c>
      <c r="D2139" t="s">
        <v>1079</v>
      </c>
      <c r="E2139" t="s">
        <v>1102</v>
      </c>
      <c r="F2139" t="s">
        <v>1156</v>
      </c>
      <c r="G2139" t="s">
        <v>1297</v>
      </c>
      <c r="H2139" t="s">
        <v>713</v>
      </c>
      <c r="I2139" t="s">
        <v>932</v>
      </c>
      <c r="J2139" t="s">
        <v>707</v>
      </c>
      <c r="K2139" t="s">
        <v>359</v>
      </c>
      <c r="L2139">
        <v>0.86</v>
      </c>
      <c r="M2139" t="s">
        <v>10203</v>
      </c>
      <c r="N2139" t="s">
        <v>10204</v>
      </c>
      <c r="O2139" t="s">
        <v>10205</v>
      </c>
      <c r="P2139" t="s">
        <v>485</v>
      </c>
      <c r="Q2139" t="s">
        <v>8794</v>
      </c>
      <c r="R2139" t="s">
        <v>8795</v>
      </c>
      <c r="S2139" t="s">
        <v>8794</v>
      </c>
      <c r="T2139" t="s">
        <v>8795</v>
      </c>
    </row>
    <row r="2140" spans="1:20">
      <c r="A2140" s="241">
        <v>44001</v>
      </c>
      <c r="B2140" t="s">
        <v>10206</v>
      </c>
      <c r="C2140" t="s">
        <v>2478</v>
      </c>
      <c r="D2140" t="s">
        <v>1139</v>
      </c>
      <c r="E2140" t="s">
        <v>606</v>
      </c>
      <c r="F2140" t="s">
        <v>3077</v>
      </c>
      <c r="G2140" t="s">
        <v>425</v>
      </c>
      <c r="H2140" t="s">
        <v>647</v>
      </c>
      <c r="I2140" t="s">
        <v>1165</v>
      </c>
      <c r="J2140" t="s">
        <v>940</v>
      </c>
      <c r="K2140" t="s">
        <v>666</v>
      </c>
      <c r="L2140">
        <v>0.86</v>
      </c>
      <c r="M2140" t="s">
        <v>10207</v>
      </c>
      <c r="N2140" t="s">
        <v>10208</v>
      </c>
      <c r="O2140" t="s">
        <v>10209</v>
      </c>
      <c r="P2140" t="s">
        <v>485</v>
      </c>
      <c r="Q2140" t="s">
        <v>8794</v>
      </c>
      <c r="R2140" t="s">
        <v>8795</v>
      </c>
      <c r="S2140" t="s">
        <v>8794</v>
      </c>
      <c r="T2140" t="s">
        <v>8795</v>
      </c>
    </row>
    <row r="2141" spans="1:20">
      <c r="A2141" s="241">
        <v>44001</v>
      </c>
      <c r="B2141" t="s">
        <v>10210</v>
      </c>
      <c r="C2141" t="s">
        <v>2478</v>
      </c>
      <c r="D2141" t="s">
        <v>2535</v>
      </c>
      <c r="E2141" t="s">
        <v>1121</v>
      </c>
      <c r="F2141" t="s">
        <v>10211</v>
      </c>
      <c r="G2141" t="s">
        <v>1170</v>
      </c>
      <c r="H2141" t="s">
        <v>2410</v>
      </c>
      <c r="I2141" t="s">
        <v>7813</v>
      </c>
      <c r="J2141" t="s">
        <v>1171</v>
      </c>
      <c r="K2141" t="s">
        <v>359</v>
      </c>
      <c r="L2141">
        <v>0.86</v>
      </c>
      <c r="M2141" t="s">
        <v>10212</v>
      </c>
      <c r="N2141" t="s">
        <v>10213</v>
      </c>
      <c r="O2141" t="s">
        <v>10214</v>
      </c>
      <c r="P2141" t="s">
        <v>485</v>
      </c>
      <c r="Q2141" t="s">
        <v>8794</v>
      </c>
      <c r="R2141" t="s">
        <v>8795</v>
      </c>
      <c r="S2141" t="s">
        <v>8794</v>
      </c>
      <c r="T2141" t="s">
        <v>8795</v>
      </c>
    </row>
    <row r="2142" spans="1:20">
      <c r="A2142" s="241">
        <v>44001</v>
      </c>
      <c r="B2142" t="s">
        <v>10215</v>
      </c>
      <c r="C2142" t="s">
        <v>712</v>
      </c>
      <c r="D2142" t="s">
        <v>2549</v>
      </c>
      <c r="E2142" t="s">
        <v>2893</v>
      </c>
      <c r="F2142" t="s">
        <v>3077</v>
      </c>
      <c r="G2142" t="s">
        <v>953</v>
      </c>
      <c r="H2142" t="s">
        <v>374</v>
      </c>
      <c r="I2142" t="s">
        <v>1631</v>
      </c>
      <c r="J2142" t="s">
        <v>730</v>
      </c>
      <c r="K2142" t="s">
        <v>359</v>
      </c>
      <c r="L2142">
        <v>0.86</v>
      </c>
      <c r="M2142" t="s">
        <v>10216</v>
      </c>
      <c r="N2142" t="s">
        <v>10217</v>
      </c>
      <c r="O2142" t="s">
        <v>10218</v>
      </c>
      <c r="P2142" t="s">
        <v>485</v>
      </c>
      <c r="Q2142" t="s">
        <v>8794</v>
      </c>
      <c r="R2142" t="s">
        <v>8795</v>
      </c>
      <c r="S2142" t="s">
        <v>8794</v>
      </c>
      <c r="T2142" t="s">
        <v>8795</v>
      </c>
    </row>
    <row r="2143" spans="1:20">
      <c r="A2143" s="241">
        <v>44001</v>
      </c>
      <c r="B2143" t="s">
        <v>10219</v>
      </c>
      <c r="C2143" t="s">
        <v>1367</v>
      </c>
      <c r="D2143" t="s">
        <v>3831</v>
      </c>
      <c r="E2143" t="s">
        <v>207</v>
      </c>
      <c r="F2143" t="s">
        <v>5081</v>
      </c>
      <c r="G2143" t="s">
        <v>3119</v>
      </c>
      <c r="H2143" t="s">
        <v>1655</v>
      </c>
      <c r="I2143" t="s">
        <v>750</v>
      </c>
      <c r="J2143" t="s">
        <v>9973</v>
      </c>
      <c r="K2143" t="s">
        <v>975</v>
      </c>
      <c r="L2143">
        <v>0.89</v>
      </c>
      <c r="M2143" t="s">
        <v>10220</v>
      </c>
      <c r="N2143" t="s">
        <v>10221</v>
      </c>
      <c r="O2143" t="s">
        <v>10222</v>
      </c>
      <c r="P2143" t="s">
        <v>485</v>
      </c>
      <c r="Q2143" t="s">
        <v>8794</v>
      </c>
      <c r="R2143" t="s">
        <v>8795</v>
      </c>
      <c r="S2143" t="s">
        <v>8794</v>
      </c>
      <c r="T2143" t="s">
        <v>8795</v>
      </c>
    </row>
    <row r="2144" spans="1:20">
      <c r="A2144" s="241">
        <v>44001</v>
      </c>
      <c r="B2144" t="s">
        <v>10223</v>
      </c>
      <c r="C2144" t="s">
        <v>1357</v>
      </c>
      <c r="D2144" t="s">
        <v>2626</v>
      </c>
      <c r="E2144" t="s">
        <v>261</v>
      </c>
      <c r="F2144" t="s">
        <v>3688</v>
      </c>
      <c r="G2144" t="s">
        <v>1197</v>
      </c>
      <c r="H2144" t="s">
        <v>1207</v>
      </c>
      <c r="I2144" t="s">
        <v>1979</v>
      </c>
      <c r="J2144" t="s">
        <v>6703</v>
      </c>
      <c r="K2144" t="s">
        <v>2259</v>
      </c>
      <c r="L2144">
        <v>0.89</v>
      </c>
      <c r="M2144" t="s">
        <v>10224</v>
      </c>
      <c r="N2144" t="s">
        <v>10225</v>
      </c>
      <c r="O2144" t="s">
        <v>10226</v>
      </c>
      <c r="P2144" t="s">
        <v>485</v>
      </c>
      <c r="Q2144" t="s">
        <v>8794</v>
      </c>
      <c r="R2144" t="s">
        <v>8795</v>
      </c>
      <c r="S2144" t="s">
        <v>8794</v>
      </c>
      <c r="T2144" t="s">
        <v>8795</v>
      </c>
    </row>
    <row r="2145" spans="1:20">
      <c r="A2145" s="241">
        <v>44001</v>
      </c>
      <c r="B2145" t="s">
        <v>10227</v>
      </c>
      <c r="C2145" t="s">
        <v>2644</v>
      </c>
      <c r="D2145" t="s">
        <v>747</v>
      </c>
      <c r="E2145" t="s">
        <v>614</v>
      </c>
      <c r="F2145" t="s">
        <v>6104</v>
      </c>
      <c r="G2145" t="s">
        <v>767</v>
      </c>
      <c r="H2145" t="s">
        <v>1369</v>
      </c>
      <c r="I2145" t="s">
        <v>1370</v>
      </c>
      <c r="J2145" t="s">
        <v>7970</v>
      </c>
      <c r="K2145" t="s">
        <v>994</v>
      </c>
      <c r="L2145">
        <v>0.89</v>
      </c>
      <c r="M2145" t="s">
        <v>10228</v>
      </c>
      <c r="N2145" t="s">
        <v>10229</v>
      </c>
      <c r="O2145" t="s">
        <v>10230</v>
      </c>
      <c r="P2145" t="s">
        <v>485</v>
      </c>
      <c r="Q2145" t="s">
        <v>8794</v>
      </c>
      <c r="R2145" t="s">
        <v>8795</v>
      </c>
      <c r="S2145" t="s">
        <v>8794</v>
      </c>
      <c r="T2145" t="s">
        <v>8795</v>
      </c>
    </row>
    <row r="2146" spans="1:20">
      <c r="A2146" s="241">
        <v>44001</v>
      </c>
      <c r="B2146" t="s">
        <v>10231</v>
      </c>
      <c r="C2146" t="s">
        <v>1079</v>
      </c>
      <c r="D2146" t="s">
        <v>442</v>
      </c>
      <c r="E2146" t="s">
        <v>680</v>
      </c>
      <c r="F2146" t="s">
        <v>241</v>
      </c>
      <c r="G2146" t="s">
        <v>1389</v>
      </c>
      <c r="H2146" t="s">
        <v>9987</v>
      </c>
      <c r="I2146" t="s">
        <v>1680</v>
      </c>
      <c r="J2146" t="s">
        <v>2276</v>
      </c>
      <c r="K2146" t="s">
        <v>781</v>
      </c>
      <c r="L2146">
        <v>0.87</v>
      </c>
      <c r="M2146" t="s">
        <v>10232</v>
      </c>
      <c r="N2146" t="s">
        <v>10233</v>
      </c>
      <c r="O2146" t="s">
        <v>10234</v>
      </c>
      <c r="P2146" t="s">
        <v>485</v>
      </c>
      <c r="Q2146" t="s">
        <v>8794</v>
      </c>
      <c r="R2146" t="s">
        <v>8795</v>
      </c>
      <c r="S2146" t="s">
        <v>8794</v>
      </c>
      <c r="T2146" t="s">
        <v>8795</v>
      </c>
    </row>
    <row r="2147" spans="1:20">
      <c r="A2147" s="241">
        <v>44001</v>
      </c>
      <c r="B2147" t="s">
        <v>10235</v>
      </c>
      <c r="C2147" t="s">
        <v>712</v>
      </c>
      <c r="D2147" t="s">
        <v>1079</v>
      </c>
      <c r="E2147" t="s">
        <v>225</v>
      </c>
      <c r="F2147" t="s">
        <v>209</v>
      </c>
      <c r="G2147" t="s">
        <v>2034</v>
      </c>
      <c r="H2147" t="s">
        <v>1018</v>
      </c>
      <c r="I2147" t="s">
        <v>1010</v>
      </c>
      <c r="J2147" t="s">
        <v>1699</v>
      </c>
      <c r="K2147" t="s">
        <v>1003</v>
      </c>
      <c r="L2147">
        <v>0.86</v>
      </c>
      <c r="M2147" t="s">
        <v>10236</v>
      </c>
      <c r="N2147" t="s">
        <v>10237</v>
      </c>
      <c r="O2147" t="s">
        <v>10238</v>
      </c>
      <c r="P2147" t="s">
        <v>485</v>
      </c>
      <c r="Q2147" t="s">
        <v>8794</v>
      </c>
      <c r="R2147" t="s">
        <v>8795</v>
      </c>
      <c r="S2147" t="s">
        <v>8794</v>
      </c>
      <c r="T2147" t="s">
        <v>8795</v>
      </c>
    </row>
    <row r="2148" spans="1:20">
      <c r="A2148" s="241">
        <v>44001</v>
      </c>
      <c r="B2148" t="s">
        <v>10239</v>
      </c>
      <c r="C2148" t="s">
        <v>261</v>
      </c>
      <c r="D2148" t="s">
        <v>2478</v>
      </c>
      <c r="E2148" t="s">
        <v>606</v>
      </c>
      <c r="F2148" t="s">
        <v>226</v>
      </c>
      <c r="G2148" t="s">
        <v>2053</v>
      </c>
      <c r="H2148" t="s">
        <v>4660</v>
      </c>
      <c r="I2148" t="s">
        <v>2472</v>
      </c>
      <c r="J2148" t="s">
        <v>1020</v>
      </c>
      <c r="K2148" t="s">
        <v>1399</v>
      </c>
      <c r="L2148">
        <v>0.86</v>
      </c>
      <c r="M2148" t="s">
        <v>10240</v>
      </c>
      <c r="N2148" t="s">
        <v>10241</v>
      </c>
      <c r="O2148" t="s">
        <v>10242</v>
      </c>
      <c r="P2148" t="s">
        <v>485</v>
      </c>
      <c r="Q2148" t="s">
        <v>8794</v>
      </c>
      <c r="R2148" t="s">
        <v>8795</v>
      </c>
      <c r="S2148" t="s">
        <v>8794</v>
      </c>
      <c r="T2148" t="s">
        <v>8795</v>
      </c>
    </row>
    <row r="2149" spans="1:20">
      <c r="A2149" s="241">
        <v>44001</v>
      </c>
      <c r="B2149" t="s">
        <v>10243</v>
      </c>
      <c r="C2149" t="s">
        <v>671</v>
      </c>
      <c r="D2149" t="s">
        <v>615</v>
      </c>
      <c r="E2149" t="s">
        <v>632</v>
      </c>
      <c r="F2149" t="s">
        <v>1255</v>
      </c>
      <c r="G2149" t="s">
        <v>2291</v>
      </c>
      <c r="H2149" t="s">
        <v>1726</v>
      </c>
      <c r="I2149" t="s">
        <v>1427</v>
      </c>
      <c r="J2149" t="s">
        <v>543</v>
      </c>
      <c r="K2149" t="s">
        <v>1234</v>
      </c>
      <c r="L2149">
        <v>0.86</v>
      </c>
      <c r="M2149" t="s">
        <v>10244</v>
      </c>
      <c r="N2149" t="s">
        <v>10245</v>
      </c>
      <c r="O2149" t="s">
        <v>10246</v>
      </c>
      <c r="P2149" t="s">
        <v>485</v>
      </c>
      <c r="Q2149" t="s">
        <v>8794</v>
      </c>
      <c r="R2149" t="s">
        <v>8795</v>
      </c>
      <c r="S2149" t="s">
        <v>8794</v>
      </c>
      <c r="T2149" t="s">
        <v>8795</v>
      </c>
    </row>
    <row r="2150" spans="1:20">
      <c r="A2150" s="241">
        <v>44001</v>
      </c>
      <c r="B2150" t="s">
        <v>10247</v>
      </c>
      <c r="C2150" t="s">
        <v>615</v>
      </c>
      <c r="D2150" t="s">
        <v>1079</v>
      </c>
      <c r="E2150" t="s">
        <v>597</v>
      </c>
      <c r="F2150" t="s">
        <v>263</v>
      </c>
      <c r="G2150" t="s">
        <v>792</v>
      </c>
      <c r="H2150" t="s">
        <v>559</v>
      </c>
      <c r="I2150" t="s">
        <v>1031</v>
      </c>
      <c r="J2150" t="s">
        <v>1428</v>
      </c>
      <c r="K2150" t="s">
        <v>1003</v>
      </c>
      <c r="L2150">
        <v>0.86</v>
      </c>
      <c r="M2150" t="s">
        <v>10248</v>
      </c>
      <c r="N2150" t="s">
        <v>10249</v>
      </c>
      <c r="O2150" t="s">
        <v>10250</v>
      </c>
      <c r="P2150" t="s">
        <v>485</v>
      </c>
      <c r="Q2150" t="s">
        <v>8794</v>
      </c>
      <c r="R2150" t="s">
        <v>8795</v>
      </c>
      <c r="S2150" t="s">
        <v>8794</v>
      </c>
      <c r="T2150" t="s">
        <v>8795</v>
      </c>
    </row>
    <row r="2151" spans="1:20">
      <c r="A2151" s="241">
        <v>44001</v>
      </c>
      <c r="B2151" t="s">
        <v>10251</v>
      </c>
      <c r="C2151" t="s">
        <v>261</v>
      </c>
      <c r="D2151" t="s">
        <v>2535</v>
      </c>
      <c r="E2151" t="s">
        <v>606</v>
      </c>
      <c r="F2151" t="s">
        <v>356</v>
      </c>
      <c r="G2151" t="s">
        <v>1420</v>
      </c>
      <c r="H2151" t="s">
        <v>1746</v>
      </c>
      <c r="I2151" t="s">
        <v>1747</v>
      </c>
      <c r="J2151" t="s">
        <v>213</v>
      </c>
      <c r="K2151" t="s">
        <v>515</v>
      </c>
      <c r="L2151">
        <v>0.86</v>
      </c>
      <c r="M2151" t="s">
        <v>10252</v>
      </c>
      <c r="N2151" t="s">
        <v>10253</v>
      </c>
      <c r="O2151" t="s">
        <v>10254</v>
      </c>
      <c r="P2151" t="s">
        <v>485</v>
      </c>
      <c r="Q2151" t="s">
        <v>8794</v>
      </c>
      <c r="R2151" t="s">
        <v>8795</v>
      </c>
      <c r="S2151" t="s">
        <v>8794</v>
      </c>
      <c r="T2151" t="s">
        <v>8795</v>
      </c>
    </row>
    <row r="2152" spans="1:20">
      <c r="A2152" s="241">
        <v>44001</v>
      </c>
      <c r="B2152" t="s">
        <v>10255</v>
      </c>
      <c r="C2152" t="s">
        <v>645</v>
      </c>
      <c r="D2152" t="s">
        <v>392</v>
      </c>
      <c r="E2152" t="s">
        <v>646</v>
      </c>
      <c r="F2152" t="s">
        <v>576</v>
      </c>
      <c r="G2152" t="s">
        <v>1442</v>
      </c>
      <c r="H2152" t="s">
        <v>568</v>
      </c>
      <c r="I2152" t="s">
        <v>229</v>
      </c>
      <c r="J2152" t="s">
        <v>561</v>
      </c>
      <c r="K2152" t="s">
        <v>1012</v>
      </c>
      <c r="L2152">
        <v>0.86</v>
      </c>
      <c r="M2152" t="s">
        <v>10256</v>
      </c>
      <c r="N2152" t="s">
        <v>10257</v>
      </c>
      <c r="O2152" t="s">
        <v>10258</v>
      </c>
      <c r="P2152" t="s">
        <v>485</v>
      </c>
      <c r="Q2152" t="s">
        <v>8794</v>
      </c>
      <c r="R2152" t="s">
        <v>8795</v>
      </c>
      <c r="S2152" t="s">
        <v>8794</v>
      </c>
      <c r="T2152" t="s">
        <v>8795</v>
      </c>
    </row>
    <row r="2153" spans="1:20">
      <c r="A2153" s="241">
        <v>44001</v>
      </c>
      <c r="B2153" t="s">
        <v>10259</v>
      </c>
      <c r="C2153" t="s">
        <v>2478</v>
      </c>
      <c r="D2153" t="s">
        <v>2549</v>
      </c>
      <c r="E2153" t="s">
        <v>597</v>
      </c>
      <c r="F2153" t="s">
        <v>1291</v>
      </c>
      <c r="G2153" t="s">
        <v>252</v>
      </c>
      <c r="H2153" t="s">
        <v>253</v>
      </c>
      <c r="I2153" t="s">
        <v>2329</v>
      </c>
      <c r="J2153" t="s">
        <v>1770</v>
      </c>
      <c r="K2153" t="s">
        <v>534</v>
      </c>
      <c r="L2153">
        <v>0.86</v>
      </c>
      <c r="M2153" t="s">
        <v>10260</v>
      </c>
      <c r="N2153" t="s">
        <v>10261</v>
      </c>
      <c r="O2153" t="s">
        <v>10262</v>
      </c>
      <c r="P2153" t="s">
        <v>485</v>
      </c>
      <c r="Q2153" t="s">
        <v>8794</v>
      </c>
      <c r="R2153" t="s">
        <v>8795</v>
      </c>
      <c r="S2153" t="s">
        <v>8794</v>
      </c>
      <c r="T2153" t="s">
        <v>8795</v>
      </c>
    </row>
    <row r="2154" spans="1:20">
      <c r="A2154" s="241">
        <v>44001</v>
      </c>
      <c r="B2154" t="s">
        <v>10263</v>
      </c>
      <c r="C2154" t="s">
        <v>712</v>
      </c>
      <c r="D2154" t="s">
        <v>1139</v>
      </c>
      <c r="E2154" t="s">
        <v>1049</v>
      </c>
      <c r="F2154" t="s">
        <v>385</v>
      </c>
      <c r="G2154" t="s">
        <v>830</v>
      </c>
      <c r="H2154" t="s">
        <v>1017</v>
      </c>
      <c r="I2154" t="s">
        <v>577</v>
      </c>
      <c r="J2154" t="s">
        <v>255</v>
      </c>
      <c r="K2154" t="s">
        <v>214</v>
      </c>
      <c r="L2154">
        <v>0.86</v>
      </c>
      <c r="M2154" t="s">
        <v>10264</v>
      </c>
      <c r="N2154" t="s">
        <v>10265</v>
      </c>
      <c r="O2154" t="s">
        <v>10266</v>
      </c>
      <c r="P2154" t="s">
        <v>485</v>
      </c>
      <c r="Q2154" t="s">
        <v>8794</v>
      </c>
      <c r="R2154" t="s">
        <v>8795</v>
      </c>
      <c r="S2154" t="s">
        <v>8794</v>
      </c>
      <c r="T2154" t="s">
        <v>8795</v>
      </c>
    </row>
    <row r="2155" spans="1:20">
      <c r="A2155" s="241">
        <v>44001</v>
      </c>
      <c r="B2155" t="s">
        <v>10267</v>
      </c>
      <c r="C2155" t="s">
        <v>631</v>
      </c>
      <c r="D2155" t="s">
        <v>679</v>
      </c>
      <c r="E2155" t="s">
        <v>1314</v>
      </c>
      <c r="F2155" t="s">
        <v>1467</v>
      </c>
      <c r="G2155" t="s">
        <v>599</v>
      </c>
      <c r="H2155" t="s">
        <v>1704</v>
      </c>
      <c r="I2155" t="s">
        <v>266</v>
      </c>
      <c r="J2155" t="s">
        <v>570</v>
      </c>
      <c r="K2155" t="s">
        <v>515</v>
      </c>
      <c r="L2155">
        <v>0.86</v>
      </c>
      <c r="M2155" t="s">
        <v>10268</v>
      </c>
      <c r="N2155" t="s">
        <v>10269</v>
      </c>
      <c r="O2155" t="s">
        <v>10270</v>
      </c>
      <c r="P2155" t="s">
        <v>485</v>
      </c>
      <c r="Q2155" t="s">
        <v>8794</v>
      </c>
      <c r="R2155" t="s">
        <v>8795</v>
      </c>
      <c r="S2155" t="s">
        <v>8794</v>
      </c>
      <c r="T2155" t="s">
        <v>8795</v>
      </c>
    </row>
    <row r="2156" spans="1:20">
      <c r="A2156" s="241">
        <v>44001</v>
      </c>
      <c r="B2156" t="s">
        <v>10271</v>
      </c>
      <c r="C2156" t="s">
        <v>671</v>
      </c>
      <c r="D2156" t="s">
        <v>1139</v>
      </c>
      <c r="E2156" t="s">
        <v>2584</v>
      </c>
      <c r="F2156" t="s">
        <v>626</v>
      </c>
      <c r="G2156" t="s">
        <v>306</v>
      </c>
      <c r="H2156" t="s">
        <v>1057</v>
      </c>
      <c r="I2156" t="s">
        <v>1062</v>
      </c>
      <c r="J2156" t="s">
        <v>578</v>
      </c>
      <c r="K2156" t="s">
        <v>1012</v>
      </c>
      <c r="L2156">
        <v>0.86</v>
      </c>
      <c r="M2156" t="s">
        <v>10272</v>
      </c>
      <c r="N2156" t="s">
        <v>10273</v>
      </c>
      <c r="O2156" t="s">
        <v>10274</v>
      </c>
      <c r="P2156" t="s">
        <v>485</v>
      </c>
      <c r="Q2156" t="s">
        <v>8794</v>
      </c>
      <c r="R2156" t="s">
        <v>8795</v>
      </c>
      <c r="S2156" t="s">
        <v>8794</v>
      </c>
      <c r="T2156" t="s">
        <v>8795</v>
      </c>
    </row>
    <row r="2157" spans="1:20">
      <c r="A2157" s="241">
        <v>44001</v>
      </c>
      <c r="B2157" t="s">
        <v>10275</v>
      </c>
      <c r="C2157" t="s">
        <v>625</v>
      </c>
      <c r="D2157" t="s">
        <v>1079</v>
      </c>
      <c r="E2157" t="s">
        <v>2769</v>
      </c>
      <c r="F2157" t="s">
        <v>848</v>
      </c>
      <c r="G2157" t="s">
        <v>1081</v>
      </c>
      <c r="H2157" t="s">
        <v>2927</v>
      </c>
      <c r="I2157" t="s">
        <v>288</v>
      </c>
      <c r="J2157" t="s">
        <v>1070</v>
      </c>
      <c r="K2157" t="s">
        <v>231</v>
      </c>
      <c r="L2157">
        <v>0.86</v>
      </c>
      <c r="M2157" t="s">
        <v>10276</v>
      </c>
      <c r="N2157" t="s">
        <v>10277</v>
      </c>
      <c r="O2157" t="s">
        <v>10278</v>
      </c>
      <c r="P2157" t="s">
        <v>485</v>
      </c>
      <c r="Q2157" t="s">
        <v>8794</v>
      </c>
      <c r="R2157" t="s">
        <v>8795</v>
      </c>
      <c r="S2157" t="s">
        <v>8794</v>
      </c>
      <c r="T2157" t="s">
        <v>8795</v>
      </c>
    </row>
    <row r="2158" spans="1:20">
      <c r="A2158" s="241">
        <v>44001</v>
      </c>
      <c r="B2158" t="s">
        <v>10279</v>
      </c>
      <c r="C2158" t="s">
        <v>631</v>
      </c>
      <c r="D2158" t="s">
        <v>392</v>
      </c>
      <c r="E2158" t="s">
        <v>646</v>
      </c>
      <c r="F2158" t="s">
        <v>926</v>
      </c>
      <c r="G2158" t="s">
        <v>1477</v>
      </c>
      <c r="H2158" t="s">
        <v>2927</v>
      </c>
      <c r="I2158" t="s">
        <v>308</v>
      </c>
      <c r="J2158" t="s">
        <v>850</v>
      </c>
      <c r="K2158" t="s">
        <v>214</v>
      </c>
      <c r="L2158">
        <v>0.86</v>
      </c>
      <c r="M2158" t="s">
        <v>10280</v>
      </c>
      <c r="N2158" t="s">
        <v>10281</v>
      </c>
      <c r="O2158" t="s">
        <v>10282</v>
      </c>
      <c r="P2158" t="s">
        <v>485</v>
      </c>
      <c r="Q2158" t="s">
        <v>8794</v>
      </c>
      <c r="R2158" t="s">
        <v>8795</v>
      </c>
      <c r="S2158" t="s">
        <v>8794</v>
      </c>
      <c r="T2158" t="s">
        <v>8795</v>
      </c>
    </row>
    <row r="2159" spans="1:20">
      <c r="A2159" s="241">
        <v>44001</v>
      </c>
      <c r="B2159" t="s">
        <v>10283</v>
      </c>
      <c r="C2159" t="s">
        <v>1139</v>
      </c>
      <c r="D2159" t="s">
        <v>1079</v>
      </c>
      <c r="E2159" t="s">
        <v>646</v>
      </c>
      <c r="F2159" t="s">
        <v>435</v>
      </c>
      <c r="G2159" t="s">
        <v>355</v>
      </c>
      <c r="H2159" t="s">
        <v>608</v>
      </c>
      <c r="I2159" t="s">
        <v>317</v>
      </c>
      <c r="J2159" t="s">
        <v>1484</v>
      </c>
      <c r="K2159" t="s">
        <v>571</v>
      </c>
      <c r="L2159">
        <v>0.86</v>
      </c>
      <c r="M2159" t="s">
        <v>10284</v>
      </c>
      <c r="N2159" t="s">
        <v>10285</v>
      </c>
      <c r="O2159" t="s">
        <v>10286</v>
      </c>
      <c r="P2159" t="s">
        <v>485</v>
      </c>
      <c r="Q2159" t="s">
        <v>8794</v>
      </c>
      <c r="R2159" t="s">
        <v>8795</v>
      </c>
      <c r="S2159" t="s">
        <v>8794</v>
      </c>
      <c r="T2159" t="s">
        <v>8795</v>
      </c>
    </row>
    <row r="2160" spans="1:20">
      <c r="A2160" s="241">
        <v>44001</v>
      </c>
      <c r="B2160" t="s">
        <v>10287</v>
      </c>
      <c r="C2160" t="s">
        <v>392</v>
      </c>
      <c r="D2160" t="s">
        <v>2535</v>
      </c>
      <c r="E2160" t="s">
        <v>696</v>
      </c>
      <c r="F2160" t="s">
        <v>633</v>
      </c>
      <c r="G2160" t="s">
        <v>1292</v>
      </c>
      <c r="H2160" t="s">
        <v>608</v>
      </c>
      <c r="I2160" t="s">
        <v>317</v>
      </c>
      <c r="J2160" t="s">
        <v>620</v>
      </c>
      <c r="K2160" t="s">
        <v>579</v>
      </c>
      <c r="L2160">
        <v>0.86</v>
      </c>
      <c r="M2160" t="s">
        <v>10288</v>
      </c>
      <c r="N2160" t="s">
        <v>10289</v>
      </c>
      <c r="O2160" t="s">
        <v>10290</v>
      </c>
      <c r="P2160" t="s">
        <v>485</v>
      </c>
      <c r="Q2160" t="s">
        <v>8794</v>
      </c>
      <c r="R2160" t="s">
        <v>8795</v>
      </c>
      <c r="S2160" t="s">
        <v>8794</v>
      </c>
      <c r="T2160" t="s">
        <v>8795</v>
      </c>
    </row>
    <row r="2161" spans="1:20">
      <c r="A2161" s="241">
        <v>44001</v>
      </c>
      <c r="B2161" t="s">
        <v>10291</v>
      </c>
      <c r="C2161" t="s">
        <v>2549</v>
      </c>
      <c r="D2161" t="s">
        <v>2478</v>
      </c>
      <c r="E2161" t="s">
        <v>680</v>
      </c>
      <c r="F2161" t="s">
        <v>1620</v>
      </c>
      <c r="G2161" t="s">
        <v>1115</v>
      </c>
      <c r="H2161" t="s">
        <v>1818</v>
      </c>
      <c r="I2161" t="s">
        <v>325</v>
      </c>
      <c r="J2161" t="s">
        <v>1827</v>
      </c>
      <c r="K2161" t="s">
        <v>244</v>
      </c>
      <c r="L2161">
        <v>0.86</v>
      </c>
      <c r="M2161" t="s">
        <v>10292</v>
      </c>
      <c r="N2161" t="s">
        <v>10293</v>
      </c>
      <c r="O2161" t="s">
        <v>10294</v>
      </c>
      <c r="P2161" t="s">
        <v>485</v>
      </c>
      <c r="Q2161" t="s">
        <v>8794</v>
      </c>
      <c r="R2161" t="s">
        <v>8795</v>
      </c>
      <c r="S2161" t="s">
        <v>8794</v>
      </c>
      <c r="T2161" t="s">
        <v>8795</v>
      </c>
    </row>
    <row r="2162" spans="1:20">
      <c r="A2162" s="241">
        <v>44001</v>
      </c>
      <c r="B2162" t="s">
        <v>10295</v>
      </c>
      <c r="C2162" t="s">
        <v>1079</v>
      </c>
      <c r="D2162" t="s">
        <v>1079</v>
      </c>
      <c r="E2162" t="s">
        <v>1102</v>
      </c>
      <c r="F2162" t="s">
        <v>1127</v>
      </c>
      <c r="G2162" t="s">
        <v>1517</v>
      </c>
      <c r="H2162" t="s">
        <v>1756</v>
      </c>
      <c r="I2162" t="s">
        <v>357</v>
      </c>
      <c r="J2162" t="s">
        <v>2372</v>
      </c>
      <c r="K2162" t="s">
        <v>268</v>
      </c>
      <c r="L2162">
        <v>0.86</v>
      </c>
      <c r="M2162" t="s">
        <v>10296</v>
      </c>
      <c r="N2162" t="s">
        <v>10297</v>
      </c>
      <c r="O2162" t="s">
        <v>10298</v>
      </c>
      <c r="P2162" t="s">
        <v>485</v>
      </c>
      <c r="Q2162" t="s">
        <v>8794</v>
      </c>
      <c r="R2162" t="s">
        <v>8795</v>
      </c>
      <c r="S2162" t="s">
        <v>8794</v>
      </c>
      <c r="T2162" t="s">
        <v>8795</v>
      </c>
    </row>
    <row r="2163" spans="1:20">
      <c r="A2163" s="241">
        <v>44001</v>
      </c>
      <c r="B2163" t="s">
        <v>10299</v>
      </c>
      <c r="C2163" t="s">
        <v>208</v>
      </c>
      <c r="D2163" t="s">
        <v>671</v>
      </c>
      <c r="E2163" t="s">
        <v>606</v>
      </c>
      <c r="F2163" t="s">
        <v>344</v>
      </c>
      <c r="G2163" t="s">
        <v>1110</v>
      </c>
      <c r="H2163" t="s">
        <v>584</v>
      </c>
      <c r="I2163" t="s">
        <v>1518</v>
      </c>
      <c r="J2163" t="s">
        <v>640</v>
      </c>
      <c r="K2163" t="s">
        <v>579</v>
      </c>
      <c r="L2163">
        <v>0.86</v>
      </c>
      <c r="M2163" t="s">
        <v>10300</v>
      </c>
      <c r="N2163" t="s">
        <v>10301</v>
      </c>
      <c r="O2163" t="s">
        <v>10302</v>
      </c>
      <c r="P2163" t="s">
        <v>485</v>
      </c>
      <c r="Q2163" t="s">
        <v>8794</v>
      </c>
      <c r="R2163" t="s">
        <v>8795</v>
      </c>
      <c r="S2163" t="s">
        <v>8794</v>
      </c>
      <c r="T2163" t="s">
        <v>8795</v>
      </c>
    </row>
    <row r="2164" spans="1:20">
      <c r="A2164" s="241">
        <v>44001</v>
      </c>
      <c r="B2164" t="s">
        <v>10303</v>
      </c>
      <c r="C2164" t="s">
        <v>615</v>
      </c>
      <c r="D2164" t="s">
        <v>443</v>
      </c>
      <c r="E2164" t="s">
        <v>1314</v>
      </c>
      <c r="F2164" t="s">
        <v>1541</v>
      </c>
      <c r="G2164" t="s">
        <v>1562</v>
      </c>
      <c r="H2164" t="s">
        <v>275</v>
      </c>
      <c r="I2164" t="s">
        <v>1859</v>
      </c>
      <c r="J2164" t="s">
        <v>650</v>
      </c>
      <c r="K2164" t="s">
        <v>256</v>
      </c>
      <c r="L2164">
        <v>0.86</v>
      </c>
      <c r="M2164" t="s">
        <v>10304</v>
      </c>
      <c r="N2164" t="s">
        <v>10305</v>
      </c>
      <c r="O2164" t="s">
        <v>10306</v>
      </c>
      <c r="P2164" t="s">
        <v>485</v>
      </c>
      <c r="Q2164" t="s">
        <v>8794</v>
      </c>
      <c r="R2164" t="s">
        <v>8795</v>
      </c>
      <c r="S2164" t="s">
        <v>8794</v>
      </c>
      <c r="T2164" t="s">
        <v>8795</v>
      </c>
    </row>
    <row r="2165" spans="1:20">
      <c r="A2165" s="241">
        <v>44001</v>
      </c>
      <c r="B2165" t="s">
        <v>10307</v>
      </c>
      <c r="C2165" t="s">
        <v>679</v>
      </c>
      <c r="D2165" t="s">
        <v>2549</v>
      </c>
      <c r="E2165" t="s">
        <v>2544</v>
      </c>
      <c r="F2165" t="s">
        <v>2206</v>
      </c>
      <c r="G2165" t="s">
        <v>663</v>
      </c>
      <c r="H2165" t="s">
        <v>366</v>
      </c>
      <c r="I2165" t="s">
        <v>656</v>
      </c>
      <c r="J2165" t="s">
        <v>358</v>
      </c>
      <c r="K2165" t="s">
        <v>268</v>
      </c>
      <c r="L2165">
        <v>0.86</v>
      </c>
      <c r="M2165" t="s">
        <v>10308</v>
      </c>
      <c r="N2165" t="s">
        <v>10309</v>
      </c>
      <c r="O2165" t="s">
        <v>10310</v>
      </c>
      <c r="P2165" t="s">
        <v>485</v>
      </c>
      <c r="Q2165" t="s">
        <v>8794</v>
      </c>
      <c r="R2165" t="s">
        <v>8795</v>
      </c>
      <c r="S2165" t="s">
        <v>8794</v>
      </c>
      <c r="T2165" t="s">
        <v>8795</v>
      </c>
    </row>
    <row r="2166" spans="1:20">
      <c r="A2166" s="241">
        <v>44001</v>
      </c>
      <c r="B2166" t="s">
        <v>10311</v>
      </c>
      <c r="C2166" t="s">
        <v>1079</v>
      </c>
      <c r="D2166" t="s">
        <v>392</v>
      </c>
      <c r="E2166" t="s">
        <v>2544</v>
      </c>
      <c r="F2166" t="s">
        <v>1315</v>
      </c>
      <c r="G2166" t="s">
        <v>681</v>
      </c>
      <c r="H2166" t="s">
        <v>395</v>
      </c>
      <c r="I2166" t="s">
        <v>683</v>
      </c>
      <c r="J2166" t="s">
        <v>377</v>
      </c>
      <c r="K2166" t="s">
        <v>256</v>
      </c>
      <c r="L2166">
        <v>0.86</v>
      </c>
      <c r="M2166" t="s">
        <v>10312</v>
      </c>
      <c r="N2166" t="s">
        <v>10313</v>
      </c>
      <c r="O2166" t="s">
        <v>10314</v>
      </c>
      <c r="P2166" t="s">
        <v>485</v>
      </c>
      <c r="Q2166" t="s">
        <v>8794</v>
      </c>
      <c r="R2166" t="s">
        <v>8795</v>
      </c>
      <c r="S2166" t="s">
        <v>8794</v>
      </c>
      <c r="T2166" t="s">
        <v>8795</v>
      </c>
    </row>
    <row r="2167" spans="1:20">
      <c r="A2167" s="241">
        <v>44001</v>
      </c>
      <c r="B2167" t="s">
        <v>10315</v>
      </c>
      <c r="C2167" t="s">
        <v>392</v>
      </c>
      <c r="D2167" t="s">
        <v>2478</v>
      </c>
      <c r="E2167" t="s">
        <v>2731</v>
      </c>
      <c r="F2167" t="s">
        <v>1604</v>
      </c>
      <c r="G2167" t="s">
        <v>1585</v>
      </c>
      <c r="H2167" t="s">
        <v>314</v>
      </c>
      <c r="I2167" t="s">
        <v>690</v>
      </c>
      <c r="J2167" t="s">
        <v>1298</v>
      </c>
      <c r="K2167" t="s">
        <v>268</v>
      </c>
      <c r="L2167">
        <v>0.86</v>
      </c>
      <c r="M2167" t="s">
        <v>10316</v>
      </c>
      <c r="N2167" t="s">
        <v>10317</v>
      </c>
      <c r="O2167" t="s">
        <v>10318</v>
      </c>
      <c r="P2167" t="s">
        <v>485</v>
      </c>
      <c r="Q2167" t="s">
        <v>8794</v>
      </c>
      <c r="R2167" t="s">
        <v>8795</v>
      </c>
      <c r="S2167" t="s">
        <v>8794</v>
      </c>
      <c r="T2167" t="s">
        <v>8795</v>
      </c>
    </row>
    <row r="2168" spans="1:20">
      <c r="A2168" s="241">
        <v>44001</v>
      </c>
      <c r="B2168" t="s">
        <v>10319</v>
      </c>
      <c r="C2168" t="s">
        <v>645</v>
      </c>
      <c r="D2168" t="s">
        <v>443</v>
      </c>
      <c r="E2168" t="s">
        <v>2544</v>
      </c>
      <c r="F2168" t="s">
        <v>924</v>
      </c>
      <c r="G2168" t="s">
        <v>394</v>
      </c>
      <c r="H2168" t="s">
        <v>314</v>
      </c>
      <c r="I2168" t="s">
        <v>683</v>
      </c>
      <c r="J2168" t="s">
        <v>1128</v>
      </c>
      <c r="K2168" t="s">
        <v>280</v>
      </c>
      <c r="L2168">
        <v>0.86</v>
      </c>
      <c r="M2168" t="s">
        <v>10320</v>
      </c>
      <c r="N2168" t="s">
        <v>10321</v>
      </c>
      <c r="O2168" t="s">
        <v>10322</v>
      </c>
      <c r="P2168" t="s">
        <v>485</v>
      </c>
      <c r="Q2168" t="s">
        <v>8794</v>
      </c>
      <c r="R2168" t="s">
        <v>8795</v>
      </c>
      <c r="S2168" t="s">
        <v>8794</v>
      </c>
      <c r="T2168" t="s">
        <v>8795</v>
      </c>
    </row>
    <row r="2169" spans="1:20">
      <c r="A2169" s="241">
        <v>44001</v>
      </c>
      <c r="B2169" t="s">
        <v>10323</v>
      </c>
      <c r="C2169" t="s">
        <v>671</v>
      </c>
      <c r="D2169" t="s">
        <v>443</v>
      </c>
      <c r="E2169" t="s">
        <v>3054</v>
      </c>
      <c r="F2169" t="s">
        <v>1338</v>
      </c>
      <c r="G2169" t="s">
        <v>425</v>
      </c>
      <c r="H2169" t="s">
        <v>1511</v>
      </c>
      <c r="I2169" t="s">
        <v>406</v>
      </c>
      <c r="J2169" t="s">
        <v>1141</v>
      </c>
      <c r="K2169" t="s">
        <v>651</v>
      </c>
      <c r="L2169">
        <v>0.86</v>
      </c>
      <c r="M2169" t="s">
        <v>10324</v>
      </c>
      <c r="N2169" t="s">
        <v>10325</v>
      </c>
      <c r="O2169" t="s">
        <v>10326</v>
      </c>
      <c r="P2169" t="s">
        <v>485</v>
      </c>
      <c r="Q2169" t="s">
        <v>8794</v>
      </c>
      <c r="R2169" t="s">
        <v>8795</v>
      </c>
      <c r="S2169" t="s">
        <v>8794</v>
      </c>
      <c r="T2169" t="s">
        <v>8795</v>
      </c>
    </row>
    <row r="2170" spans="1:20">
      <c r="A2170" s="241">
        <v>44001</v>
      </c>
      <c r="B2170" t="s">
        <v>10327</v>
      </c>
      <c r="C2170" t="s">
        <v>671</v>
      </c>
      <c r="D2170" t="s">
        <v>443</v>
      </c>
      <c r="E2170" t="s">
        <v>2731</v>
      </c>
      <c r="F2170" t="s">
        <v>433</v>
      </c>
      <c r="G2170" t="s">
        <v>938</v>
      </c>
      <c r="H2170" t="s">
        <v>1591</v>
      </c>
      <c r="I2170" t="s">
        <v>698</v>
      </c>
      <c r="J2170" t="s">
        <v>397</v>
      </c>
      <c r="K2170" t="s">
        <v>327</v>
      </c>
      <c r="L2170">
        <v>0.86</v>
      </c>
      <c r="M2170" t="s">
        <v>10328</v>
      </c>
      <c r="N2170" t="s">
        <v>10329</v>
      </c>
      <c r="O2170" t="s">
        <v>10330</v>
      </c>
      <c r="P2170" t="s">
        <v>485</v>
      </c>
      <c r="Q2170" t="s">
        <v>8794</v>
      </c>
      <c r="R2170" t="s">
        <v>8795</v>
      </c>
      <c r="S2170" t="s">
        <v>8794</v>
      </c>
      <c r="T2170" t="s">
        <v>8795</v>
      </c>
    </row>
    <row r="2171" spans="1:20">
      <c r="A2171" s="241">
        <v>44001</v>
      </c>
      <c r="B2171" t="s">
        <v>10331</v>
      </c>
      <c r="C2171" t="s">
        <v>2549</v>
      </c>
      <c r="D2171" t="s">
        <v>382</v>
      </c>
      <c r="E2171" t="s">
        <v>1314</v>
      </c>
      <c r="F2171" t="s">
        <v>945</v>
      </c>
      <c r="G2171" t="s">
        <v>728</v>
      </c>
      <c r="H2171" t="s">
        <v>1620</v>
      </c>
      <c r="I2171" t="s">
        <v>436</v>
      </c>
      <c r="J2171" t="s">
        <v>1304</v>
      </c>
      <c r="K2171" t="s">
        <v>327</v>
      </c>
      <c r="L2171">
        <v>0.86</v>
      </c>
      <c r="M2171" t="s">
        <v>10332</v>
      </c>
      <c r="N2171" t="s">
        <v>10333</v>
      </c>
      <c r="O2171" t="s">
        <v>10334</v>
      </c>
      <c r="P2171" t="s">
        <v>485</v>
      </c>
      <c r="Q2171" t="s">
        <v>8794</v>
      </c>
      <c r="R2171" t="s">
        <v>8795</v>
      </c>
      <c r="S2171" t="s">
        <v>8794</v>
      </c>
      <c r="T2171" t="s">
        <v>8795</v>
      </c>
    </row>
    <row r="2172" spans="1:20">
      <c r="A2172" s="241">
        <v>44001</v>
      </c>
      <c r="B2172" t="s">
        <v>10335</v>
      </c>
      <c r="C2172" t="s">
        <v>631</v>
      </c>
      <c r="D2172" t="s">
        <v>208</v>
      </c>
      <c r="E2172" t="s">
        <v>2769</v>
      </c>
      <c r="F2172" t="s">
        <v>718</v>
      </c>
      <c r="G2172" t="s">
        <v>3072</v>
      </c>
      <c r="H2172" t="s">
        <v>720</v>
      </c>
      <c r="I2172" t="s">
        <v>1165</v>
      </c>
      <c r="J2172" t="s">
        <v>940</v>
      </c>
      <c r="K2172" t="s">
        <v>327</v>
      </c>
      <c r="L2172">
        <v>0.86</v>
      </c>
      <c r="M2172" t="s">
        <v>10336</v>
      </c>
      <c r="N2172" t="s">
        <v>10337</v>
      </c>
      <c r="O2172" t="s">
        <v>10338</v>
      </c>
      <c r="P2172" t="s">
        <v>485</v>
      </c>
      <c r="Q2172" t="s">
        <v>8794</v>
      </c>
      <c r="R2172" t="s">
        <v>8795</v>
      </c>
      <c r="S2172" t="s">
        <v>8794</v>
      </c>
      <c r="T2172" t="s">
        <v>8795</v>
      </c>
    </row>
    <row r="2173" spans="1:20">
      <c r="A2173" s="241">
        <v>44001</v>
      </c>
      <c r="B2173" t="s">
        <v>10339</v>
      </c>
      <c r="C2173" t="s">
        <v>2478</v>
      </c>
      <c r="D2173" t="s">
        <v>392</v>
      </c>
      <c r="E2173" t="s">
        <v>2893</v>
      </c>
      <c r="F2173" t="s">
        <v>727</v>
      </c>
      <c r="G2173" t="s">
        <v>10340</v>
      </c>
      <c r="H2173" t="s">
        <v>1620</v>
      </c>
      <c r="I2173" t="s">
        <v>721</v>
      </c>
      <c r="J2173" t="s">
        <v>437</v>
      </c>
      <c r="K2173" t="s">
        <v>651</v>
      </c>
      <c r="L2173">
        <v>0.86</v>
      </c>
      <c r="M2173" t="s">
        <v>10341</v>
      </c>
      <c r="N2173" t="s">
        <v>10342</v>
      </c>
      <c r="O2173" t="s">
        <v>10343</v>
      </c>
      <c r="P2173" t="s">
        <v>485</v>
      </c>
      <c r="Q2173" t="s">
        <v>8794</v>
      </c>
      <c r="R2173" t="s">
        <v>8795</v>
      </c>
      <c r="S2173" t="s">
        <v>8794</v>
      </c>
      <c r="T2173" t="s">
        <v>8795</v>
      </c>
    </row>
    <row r="2174" spans="1:20">
      <c r="A2174" s="241">
        <v>44001</v>
      </c>
      <c r="B2174" t="s">
        <v>10344</v>
      </c>
      <c r="C2174" t="s">
        <v>679</v>
      </c>
      <c r="D2174" t="s">
        <v>614</v>
      </c>
      <c r="E2174" t="s">
        <v>556</v>
      </c>
      <c r="F2174" t="s">
        <v>8716</v>
      </c>
      <c r="G2174" t="s">
        <v>3433</v>
      </c>
      <c r="H2174" t="s">
        <v>7564</v>
      </c>
      <c r="I2174" t="s">
        <v>10345</v>
      </c>
      <c r="J2174" t="s">
        <v>10346</v>
      </c>
      <c r="K2174" t="s">
        <v>10347</v>
      </c>
      <c r="L2174">
        <v>0.87</v>
      </c>
      <c r="M2174" t="s">
        <v>10348</v>
      </c>
      <c r="N2174" t="s">
        <v>10349</v>
      </c>
      <c r="O2174" t="s">
        <v>10350</v>
      </c>
      <c r="P2174" t="s">
        <v>485</v>
      </c>
      <c r="Q2174" t="s">
        <v>8794</v>
      </c>
      <c r="R2174" t="s">
        <v>8795</v>
      </c>
      <c r="S2174" t="s">
        <v>8794</v>
      </c>
      <c r="T2174" t="s">
        <v>8795</v>
      </c>
    </row>
    <row r="2175" spans="1:20">
      <c r="A2175" s="241">
        <v>44001</v>
      </c>
      <c r="B2175" t="s">
        <v>10351</v>
      </c>
      <c r="C2175" t="s">
        <v>2644</v>
      </c>
      <c r="D2175" t="s">
        <v>1666</v>
      </c>
      <c r="E2175" t="s">
        <v>274</v>
      </c>
      <c r="F2175" t="s">
        <v>748</v>
      </c>
      <c r="G2175" t="s">
        <v>2432</v>
      </c>
      <c r="H2175" t="s">
        <v>2638</v>
      </c>
      <c r="I2175" t="s">
        <v>9204</v>
      </c>
      <c r="J2175" t="s">
        <v>4155</v>
      </c>
      <c r="K2175" t="s">
        <v>1190</v>
      </c>
      <c r="L2175">
        <v>0.89</v>
      </c>
      <c r="M2175" t="s">
        <v>10352</v>
      </c>
      <c r="N2175" t="s">
        <v>10353</v>
      </c>
      <c r="O2175" t="s">
        <v>10354</v>
      </c>
      <c r="P2175" t="s">
        <v>485</v>
      </c>
      <c r="Q2175" t="s">
        <v>8794</v>
      </c>
      <c r="R2175" t="s">
        <v>8795</v>
      </c>
      <c r="S2175" t="s">
        <v>8794</v>
      </c>
      <c r="T2175" t="s">
        <v>8795</v>
      </c>
    </row>
    <row r="2176" spans="1:20">
      <c r="A2176" s="241">
        <v>44001</v>
      </c>
      <c r="B2176" t="s">
        <v>10355</v>
      </c>
      <c r="C2176" t="s">
        <v>1348</v>
      </c>
      <c r="D2176" t="s">
        <v>3831</v>
      </c>
      <c r="E2176" t="s">
        <v>645</v>
      </c>
      <c r="F2176" t="s">
        <v>3110</v>
      </c>
      <c r="G2176" t="s">
        <v>3128</v>
      </c>
      <c r="H2176" t="s">
        <v>478</v>
      </c>
      <c r="I2176" t="s">
        <v>10356</v>
      </c>
      <c r="J2176" t="s">
        <v>10357</v>
      </c>
      <c r="K2176" t="s">
        <v>3972</v>
      </c>
      <c r="L2176">
        <v>0.89</v>
      </c>
      <c r="M2176" t="s">
        <v>10358</v>
      </c>
      <c r="N2176" t="s">
        <v>10359</v>
      </c>
      <c r="O2176" t="s">
        <v>10360</v>
      </c>
      <c r="P2176" t="s">
        <v>485</v>
      </c>
      <c r="Q2176" t="s">
        <v>8794</v>
      </c>
      <c r="R2176" t="s">
        <v>8795</v>
      </c>
      <c r="S2176" t="s">
        <v>8794</v>
      </c>
      <c r="T2176" t="s">
        <v>8795</v>
      </c>
    </row>
    <row r="2177" spans="1:20">
      <c r="A2177" s="241">
        <v>44001</v>
      </c>
      <c r="B2177" t="s">
        <v>10361</v>
      </c>
      <c r="C2177" t="s">
        <v>3831</v>
      </c>
      <c r="D2177" t="s">
        <v>2644</v>
      </c>
      <c r="E2177" t="s">
        <v>615</v>
      </c>
      <c r="F2177" t="s">
        <v>5098</v>
      </c>
      <c r="G2177" t="s">
        <v>2255</v>
      </c>
      <c r="H2177" t="s">
        <v>4626</v>
      </c>
      <c r="I2177" t="s">
        <v>7135</v>
      </c>
      <c r="J2177" t="s">
        <v>1659</v>
      </c>
      <c r="K2177" t="s">
        <v>3834</v>
      </c>
      <c r="L2177">
        <v>0.89</v>
      </c>
      <c r="M2177" t="s">
        <v>10362</v>
      </c>
      <c r="N2177" t="s">
        <v>10363</v>
      </c>
      <c r="O2177" t="s">
        <v>10364</v>
      </c>
      <c r="P2177" t="s">
        <v>485</v>
      </c>
      <c r="Q2177" t="s">
        <v>8794</v>
      </c>
      <c r="R2177" t="s">
        <v>8795</v>
      </c>
      <c r="S2177" t="s">
        <v>8794</v>
      </c>
      <c r="T2177" t="s">
        <v>8795</v>
      </c>
    </row>
    <row r="2178" spans="1:20">
      <c r="A2178" s="241">
        <v>44001</v>
      </c>
      <c r="B2178" t="s">
        <v>10365</v>
      </c>
      <c r="C2178" t="s">
        <v>2821</v>
      </c>
      <c r="D2178" t="s">
        <v>2535</v>
      </c>
      <c r="E2178" t="s">
        <v>332</v>
      </c>
      <c r="F2178" t="s">
        <v>3504</v>
      </c>
      <c r="G2178" t="s">
        <v>10366</v>
      </c>
      <c r="H2178" t="s">
        <v>1996</v>
      </c>
      <c r="I2178" t="s">
        <v>10367</v>
      </c>
      <c r="J2178" t="s">
        <v>10368</v>
      </c>
      <c r="K2178" t="s">
        <v>7548</v>
      </c>
      <c r="L2178">
        <v>0.88</v>
      </c>
      <c r="M2178" t="s">
        <v>10369</v>
      </c>
      <c r="N2178" t="s">
        <v>10370</v>
      </c>
      <c r="O2178" t="s">
        <v>10371</v>
      </c>
      <c r="P2178" t="s">
        <v>485</v>
      </c>
      <c r="Q2178" t="s">
        <v>8794</v>
      </c>
      <c r="R2178" t="s">
        <v>8795</v>
      </c>
      <c r="S2178" t="s">
        <v>8794</v>
      </c>
      <c r="T2178" t="s">
        <v>8795</v>
      </c>
    </row>
    <row r="2179" spans="1:20">
      <c r="A2179" s="241">
        <v>44001</v>
      </c>
      <c r="B2179" t="s">
        <v>10372</v>
      </c>
      <c r="C2179" t="s">
        <v>443</v>
      </c>
      <c r="D2179" t="s">
        <v>1139</v>
      </c>
      <c r="E2179" t="s">
        <v>1314</v>
      </c>
      <c r="F2179" t="s">
        <v>2010</v>
      </c>
      <c r="G2179" t="s">
        <v>2291</v>
      </c>
      <c r="H2179" t="s">
        <v>521</v>
      </c>
      <c r="I2179" t="s">
        <v>1698</v>
      </c>
      <c r="J2179" t="s">
        <v>4000</v>
      </c>
      <c r="K2179" t="s">
        <v>2668</v>
      </c>
      <c r="L2179">
        <v>0.86</v>
      </c>
      <c r="M2179" t="s">
        <v>10373</v>
      </c>
      <c r="N2179" t="s">
        <v>10374</v>
      </c>
      <c r="O2179" t="s">
        <v>10375</v>
      </c>
      <c r="P2179" t="s">
        <v>485</v>
      </c>
      <c r="Q2179" t="s">
        <v>8794</v>
      </c>
      <c r="R2179" t="s">
        <v>8795</v>
      </c>
      <c r="S2179" t="s">
        <v>8794</v>
      </c>
      <c r="T2179" t="s">
        <v>8795</v>
      </c>
    </row>
    <row r="2180" spans="1:20">
      <c r="A2180" s="241">
        <v>44001</v>
      </c>
      <c r="B2180" t="s">
        <v>10376</v>
      </c>
      <c r="C2180" t="s">
        <v>2535</v>
      </c>
      <c r="D2180" t="s">
        <v>208</v>
      </c>
      <c r="E2180" t="s">
        <v>1102</v>
      </c>
      <c r="F2180" t="s">
        <v>307</v>
      </c>
      <c r="G2180" t="s">
        <v>2075</v>
      </c>
      <c r="H2180" t="s">
        <v>1746</v>
      </c>
      <c r="I2180" t="s">
        <v>532</v>
      </c>
      <c r="J2180" t="s">
        <v>2473</v>
      </c>
      <c r="K2180" t="s">
        <v>781</v>
      </c>
      <c r="L2180">
        <v>0.86</v>
      </c>
      <c r="M2180" t="s">
        <v>10377</v>
      </c>
      <c r="N2180" t="s">
        <v>10378</v>
      </c>
      <c r="O2180" t="s">
        <v>10379</v>
      </c>
      <c r="P2180" t="s">
        <v>485</v>
      </c>
      <c r="Q2180" t="s">
        <v>8794</v>
      </c>
      <c r="R2180" t="s">
        <v>8795</v>
      </c>
      <c r="S2180" t="s">
        <v>8794</v>
      </c>
      <c r="T2180" t="s">
        <v>8795</v>
      </c>
    </row>
    <row r="2181" spans="1:20">
      <c r="A2181" s="241">
        <v>44001</v>
      </c>
      <c r="B2181" t="s">
        <v>10380</v>
      </c>
      <c r="C2181" t="s">
        <v>1079</v>
      </c>
      <c r="D2181" t="s">
        <v>343</v>
      </c>
      <c r="E2181" t="s">
        <v>2893</v>
      </c>
      <c r="F2181" t="s">
        <v>1274</v>
      </c>
      <c r="G2181" t="s">
        <v>1745</v>
      </c>
      <c r="H2181" t="s">
        <v>1716</v>
      </c>
      <c r="I2181" t="s">
        <v>1226</v>
      </c>
      <c r="J2181" t="s">
        <v>1020</v>
      </c>
      <c r="K2181" t="s">
        <v>1003</v>
      </c>
      <c r="L2181">
        <v>0.86</v>
      </c>
      <c r="M2181" t="s">
        <v>10381</v>
      </c>
      <c r="N2181" t="s">
        <v>10382</v>
      </c>
      <c r="O2181" t="s">
        <v>10383</v>
      </c>
      <c r="P2181" t="s">
        <v>485</v>
      </c>
      <c r="Q2181" t="s">
        <v>8794</v>
      </c>
      <c r="R2181" t="s">
        <v>8795</v>
      </c>
      <c r="S2181" t="s">
        <v>8794</v>
      </c>
      <c r="T2181" t="s">
        <v>8795</v>
      </c>
    </row>
    <row r="2182" spans="1:20">
      <c r="A2182" s="241">
        <v>44001</v>
      </c>
      <c r="B2182" t="s">
        <v>10384</v>
      </c>
      <c r="C2182" t="s">
        <v>1079</v>
      </c>
      <c r="D2182" t="s">
        <v>1079</v>
      </c>
      <c r="E2182" t="s">
        <v>3006</v>
      </c>
      <c r="F2182" t="s">
        <v>1255</v>
      </c>
      <c r="G2182" t="s">
        <v>558</v>
      </c>
      <c r="H2182" t="s">
        <v>2324</v>
      </c>
      <c r="I2182" t="s">
        <v>1747</v>
      </c>
      <c r="J2182" t="s">
        <v>1240</v>
      </c>
      <c r="K2182" t="s">
        <v>1234</v>
      </c>
      <c r="L2182">
        <v>0.86</v>
      </c>
      <c r="M2182" t="s">
        <v>10385</v>
      </c>
      <c r="N2182" t="s">
        <v>10386</v>
      </c>
      <c r="O2182" t="s">
        <v>10387</v>
      </c>
      <c r="P2182" t="s">
        <v>485</v>
      </c>
      <c r="Q2182" t="s">
        <v>8794</v>
      </c>
      <c r="R2182" t="s">
        <v>8795</v>
      </c>
      <c r="S2182" t="s">
        <v>8794</v>
      </c>
      <c r="T2182" t="s">
        <v>8795</v>
      </c>
    </row>
    <row r="2183" spans="1:20">
      <c r="A2183" s="241">
        <v>44001</v>
      </c>
      <c r="B2183" t="s">
        <v>10388</v>
      </c>
      <c r="C2183" t="s">
        <v>443</v>
      </c>
      <c r="D2183" t="s">
        <v>443</v>
      </c>
      <c r="E2183" t="s">
        <v>606</v>
      </c>
      <c r="F2183" t="s">
        <v>251</v>
      </c>
      <c r="G2183" t="s">
        <v>210</v>
      </c>
      <c r="H2183" t="s">
        <v>559</v>
      </c>
      <c r="I2183" t="s">
        <v>1421</v>
      </c>
      <c r="J2183" t="s">
        <v>1428</v>
      </c>
      <c r="K2183" t="s">
        <v>1234</v>
      </c>
      <c r="L2183">
        <v>0.86</v>
      </c>
      <c r="M2183" t="s">
        <v>10389</v>
      </c>
      <c r="N2183" t="s">
        <v>10390</v>
      </c>
      <c r="O2183" t="s">
        <v>10391</v>
      </c>
      <c r="P2183" t="s">
        <v>485</v>
      </c>
      <c r="Q2183" t="s">
        <v>8794</v>
      </c>
      <c r="R2183" t="s">
        <v>8795</v>
      </c>
      <c r="S2183" t="s">
        <v>8794</v>
      </c>
      <c r="T2183" t="s">
        <v>8795</v>
      </c>
    </row>
    <row r="2184" spans="1:20">
      <c r="A2184" s="241">
        <v>44001</v>
      </c>
      <c r="B2184" t="s">
        <v>10392</v>
      </c>
      <c r="C2184" t="s">
        <v>2535</v>
      </c>
      <c r="D2184" t="s">
        <v>1139</v>
      </c>
      <c r="E2184" t="s">
        <v>2893</v>
      </c>
      <c r="F2184" t="s">
        <v>1452</v>
      </c>
      <c r="G2184" t="s">
        <v>227</v>
      </c>
      <c r="H2184" t="s">
        <v>241</v>
      </c>
      <c r="I2184" t="s">
        <v>560</v>
      </c>
      <c r="J2184" t="s">
        <v>2881</v>
      </c>
      <c r="K2184" t="s">
        <v>2277</v>
      </c>
      <c r="L2184">
        <v>0.86</v>
      </c>
      <c r="M2184" t="s">
        <v>10393</v>
      </c>
      <c r="N2184" t="s">
        <v>10394</v>
      </c>
      <c r="O2184" t="s">
        <v>10395</v>
      </c>
      <c r="P2184" t="s">
        <v>485</v>
      </c>
      <c r="Q2184" t="s">
        <v>8794</v>
      </c>
      <c r="R2184" t="s">
        <v>8795</v>
      </c>
      <c r="S2184" t="s">
        <v>8794</v>
      </c>
      <c r="T2184" t="s">
        <v>8795</v>
      </c>
    </row>
    <row r="2185" spans="1:20">
      <c r="A2185" s="241">
        <v>44001</v>
      </c>
      <c r="B2185" t="s">
        <v>10396</v>
      </c>
      <c r="C2185" t="s">
        <v>2478</v>
      </c>
      <c r="D2185" t="s">
        <v>392</v>
      </c>
      <c r="E2185" t="s">
        <v>1102</v>
      </c>
      <c r="F2185" t="s">
        <v>584</v>
      </c>
      <c r="G2185" t="s">
        <v>1447</v>
      </c>
      <c r="H2185" t="s">
        <v>1388</v>
      </c>
      <c r="I2185" t="s">
        <v>229</v>
      </c>
      <c r="J2185" t="s">
        <v>807</v>
      </c>
      <c r="K2185" t="s">
        <v>1399</v>
      </c>
      <c r="L2185">
        <v>0.86</v>
      </c>
      <c r="M2185" t="s">
        <v>10397</v>
      </c>
      <c r="N2185" t="s">
        <v>10398</v>
      </c>
      <c r="O2185" t="s">
        <v>10399</v>
      </c>
      <c r="P2185" t="s">
        <v>485</v>
      </c>
      <c r="Q2185" t="s">
        <v>8794</v>
      </c>
      <c r="R2185" t="s">
        <v>8795</v>
      </c>
      <c r="S2185" t="s">
        <v>8794</v>
      </c>
      <c r="T2185" t="s">
        <v>8795</v>
      </c>
    </row>
    <row r="2186" spans="1:20">
      <c r="A2186" s="241">
        <v>44001</v>
      </c>
      <c r="B2186" t="s">
        <v>10400</v>
      </c>
      <c r="C2186" t="s">
        <v>1139</v>
      </c>
      <c r="D2186" t="s">
        <v>2535</v>
      </c>
      <c r="E2186" t="s">
        <v>2769</v>
      </c>
      <c r="F2186" t="s">
        <v>1056</v>
      </c>
      <c r="G2186" t="s">
        <v>2142</v>
      </c>
      <c r="H2186" t="s">
        <v>228</v>
      </c>
      <c r="I2186" t="s">
        <v>2329</v>
      </c>
      <c r="J2186" t="s">
        <v>825</v>
      </c>
      <c r="K2186" t="s">
        <v>1012</v>
      </c>
      <c r="L2186">
        <v>0.86</v>
      </c>
      <c r="M2186" t="s">
        <v>10401</v>
      </c>
      <c r="N2186" t="s">
        <v>10402</v>
      </c>
      <c r="O2186" t="s">
        <v>10403</v>
      </c>
      <c r="P2186" t="s">
        <v>485</v>
      </c>
      <c r="Q2186" t="s">
        <v>8794</v>
      </c>
      <c r="R2186" t="s">
        <v>8795</v>
      </c>
      <c r="S2186" t="s">
        <v>8794</v>
      </c>
      <c r="T2186" t="s">
        <v>8795</v>
      </c>
    </row>
    <row r="2187" spans="1:20">
      <c r="A2187" s="241">
        <v>44001</v>
      </c>
      <c r="B2187" t="s">
        <v>10404</v>
      </c>
      <c r="C2187" t="s">
        <v>1139</v>
      </c>
      <c r="D2187" t="s">
        <v>631</v>
      </c>
      <c r="E2187" t="s">
        <v>3054</v>
      </c>
      <c r="F2187" t="s">
        <v>1467</v>
      </c>
      <c r="G2187" t="s">
        <v>836</v>
      </c>
      <c r="H2187" t="s">
        <v>1274</v>
      </c>
      <c r="I2187" t="s">
        <v>838</v>
      </c>
      <c r="J2187" t="s">
        <v>1786</v>
      </c>
      <c r="K2187" t="s">
        <v>214</v>
      </c>
      <c r="L2187">
        <v>0.86</v>
      </c>
      <c r="M2187" t="s">
        <v>10405</v>
      </c>
      <c r="N2187" t="s">
        <v>10406</v>
      </c>
      <c r="O2187" t="s">
        <v>10407</v>
      </c>
      <c r="P2187" t="s">
        <v>485</v>
      </c>
      <c r="Q2187" t="s">
        <v>8794</v>
      </c>
      <c r="R2187" t="s">
        <v>8795</v>
      </c>
      <c r="S2187" t="s">
        <v>8794</v>
      </c>
      <c r="T2187" t="s">
        <v>8795</v>
      </c>
    </row>
    <row r="2188" spans="1:20">
      <c r="A2188" s="241">
        <v>44001</v>
      </c>
      <c r="B2188" t="s">
        <v>10408</v>
      </c>
      <c r="C2188" t="s">
        <v>443</v>
      </c>
      <c r="D2188" t="s">
        <v>712</v>
      </c>
      <c r="E2188" t="s">
        <v>1314</v>
      </c>
      <c r="F2188" t="s">
        <v>1817</v>
      </c>
      <c r="G2188" t="s">
        <v>1263</v>
      </c>
      <c r="H2188" t="s">
        <v>209</v>
      </c>
      <c r="I2188" t="s">
        <v>1468</v>
      </c>
      <c r="J2188" t="s">
        <v>267</v>
      </c>
      <c r="K2188" t="s">
        <v>515</v>
      </c>
      <c r="L2188">
        <v>0.86</v>
      </c>
      <c r="M2188" t="s">
        <v>10409</v>
      </c>
      <c r="N2188" t="s">
        <v>10410</v>
      </c>
      <c r="O2188" t="s">
        <v>10411</v>
      </c>
      <c r="P2188" t="s">
        <v>485</v>
      </c>
      <c r="Q2188" t="s">
        <v>8794</v>
      </c>
      <c r="R2188" t="s">
        <v>8795</v>
      </c>
      <c r="S2188" t="s">
        <v>8794</v>
      </c>
      <c r="T2188" t="s">
        <v>8795</v>
      </c>
    </row>
    <row r="2189" spans="1:20">
      <c r="A2189" s="241">
        <v>44001</v>
      </c>
      <c r="B2189" t="s">
        <v>10412</v>
      </c>
      <c r="C2189" t="s">
        <v>2549</v>
      </c>
      <c r="D2189" t="s">
        <v>392</v>
      </c>
      <c r="E2189" t="s">
        <v>1102</v>
      </c>
      <c r="F2189" t="s">
        <v>305</v>
      </c>
      <c r="G2189" t="s">
        <v>856</v>
      </c>
      <c r="H2189" t="s">
        <v>618</v>
      </c>
      <c r="I2189" t="s">
        <v>308</v>
      </c>
      <c r="J2189" t="s">
        <v>592</v>
      </c>
      <c r="K2189" t="s">
        <v>534</v>
      </c>
      <c r="L2189">
        <v>0.86</v>
      </c>
      <c r="M2189" t="s">
        <v>10413</v>
      </c>
      <c r="N2189" t="s">
        <v>10414</v>
      </c>
      <c r="O2189" t="s">
        <v>10415</v>
      </c>
      <c r="P2189" t="s">
        <v>485</v>
      </c>
      <c r="Q2189" t="s">
        <v>8794</v>
      </c>
      <c r="R2189" t="s">
        <v>8795</v>
      </c>
      <c r="S2189" t="s">
        <v>8794</v>
      </c>
      <c r="T2189" t="s">
        <v>8795</v>
      </c>
    </row>
    <row r="2190" spans="1:20">
      <c r="A2190" s="241">
        <v>44001</v>
      </c>
      <c r="B2190" t="s">
        <v>10416</v>
      </c>
      <c r="C2190" t="s">
        <v>631</v>
      </c>
      <c r="D2190" t="s">
        <v>1079</v>
      </c>
      <c r="E2190" t="s">
        <v>2893</v>
      </c>
      <c r="F2190" t="s">
        <v>926</v>
      </c>
      <c r="G2190" t="s">
        <v>345</v>
      </c>
      <c r="H2190" t="s">
        <v>868</v>
      </c>
      <c r="I2190" t="s">
        <v>1811</v>
      </c>
      <c r="J2190" t="s">
        <v>857</v>
      </c>
      <c r="K2190" t="s">
        <v>1032</v>
      </c>
      <c r="L2190">
        <v>0.86</v>
      </c>
      <c r="M2190" t="s">
        <v>10417</v>
      </c>
      <c r="N2190" t="s">
        <v>10418</v>
      </c>
      <c r="O2190" t="s">
        <v>10419</v>
      </c>
      <c r="P2190" t="s">
        <v>485</v>
      </c>
      <c r="Q2190" t="s">
        <v>8794</v>
      </c>
      <c r="R2190" t="s">
        <v>8795</v>
      </c>
      <c r="S2190" t="s">
        <v>8794</v>
      </c>
      <c r="T2190" t="s">
        <v>8795</v>
      </c>
    </row>
    <row r="2191" spans="1:20">
      <c r="A2191" s="241">
        <v>44001</v>
      </c>
      <c r="B2191" t="s">
        <v>10420</v>
      </c>
      <c r="C2191" t="s">
        <v>2478</v>
      </c>
      <c r="D2191" t="s">
        <v>2549</v>
      </c>
      <c r="E2191" t="s">
        <v>1049</v>
      </c>
      <c r="F2191" t="s">
        <v>633</v>
      </c>
      <c r="G2191" t="s">
        <v>1841</v>
      </c>
      <c r="H2191" t="s">
        <v>1274</v>
      </c>
      <c r="I2191" t="s">
        <v>619</v>
      </c>
      <c r="J2191" t="s">
        <v>1812</v>
      </c>
      <c r="K2191" t="s">
        <v>244</v>
      </c>
      <c r="L2191">
        <v>0.86</v>
      </c>
      <c r="M2191" t="s">
        <v>10421</v>
      </c>
      <c r="N2191" t="s">
        <v>10422</v>
      </c>
      <c r="O2191" t="s">
        <v>10423</v>
      </c>
      <c r="P2191" t="s">
        <v>485</v>
      </c>
      <c r="Q2191" t="s">
        <v>8794</v>
      </c>
      <c r="R2191" t="s">
        <v>8795</v>
      </c>
      <c r="S2191" t="s">
        <v>8794</v>
      </c>
      <c r="T2191" t="s">
        <v>8795</v>
      </c>
    </row>
    <row r="2192" spans="1:20">
      <c r="A2192" s="241">
        <v>44001</v>
      </c>
      <c r="B2192" t="s">
        <v>10424</v>
      </c>
      <c r="C2192" t="s">
        <v>392</v>
      </c>
      <c r="D2192" t="s">
        <v>2535</v>
      </c>
      <c r="E2192" t="s">
        <v>1102</v>
      </c>
      <c r="F2192" t="s">
        <v>405</v>
      </c>
      <c r="G2192" t="s">
        <v>2764</v>
      </c>
      <c r="H2192" t="s">
        <v>813</v>
      </c>
      <c r="I2192" t="s">
        <v>317</v>
      </c>
      <c r="J2192" t="s">
        <v>1812</v>
      </c>
      <c r="K2192" t="s">
        <v>214</v>
      </c>
      <c r="L2192">
        <v>0.86</v>
      </c>
      <c r="M2192" t="s">
        <v>10425</v>
      </c>
      <c r="N2192" t="s">
        <v>10426</v>
      </c>
      <c r="O2192" t="s">
        <v>10427</v>
      </c>
      <c r="P2192" t="s">
        <v>485</v>
      </c>
      <c r="Q2192" t="s">
        <v>8794</v>
      </c>
      <c r="R2192" t="s">
        <v>8795</v>
      </c>
      <c r="S2192" t="s">
        <v>8794</v>
      </c>
      <c r="T2192" t="s">
        <v>8795</v>
      </c>
    </row>
    <row r="2193" spans="1:20">
      <c r="A2193" s="241">
        <v>44001</v>
      </c>
      <c r="B2193" t="s">
        <v>10428</v>
      </c>
      <c r="C2193" t="s">
        <v>2478</v>
      </c>
      <c r="D2193" t="s">
        <v>2549</v>
      </c>
      <c r="E2193" t="s">
        <v>632</v>
      </c>
      <c r="F2193" t="s">
        <v>1493</v>
      </c>
      <c r="G2193" t="s">
        <v>648</v>
      </c>
      <c r="H2193" t="s">
        <v>881</v>
      </c>
      <c r="I2193" t="s">
        <v>325</v>
      </c>
      <c r="J2193" t="s">
        <v>1495</v>
      </c>
      <c r="K2193" t="s">
        <v>299</v>
      </c>
      <c r="L2193">
        <v>0.86</v>
      </c>
      <c r="M2193" t="s">
        <v>10429</v>
      </c>
      <c r="N2193" t="s">
        <v>10430</v>
      </c>
      <c r="O2193" t="s">
        <v>10431</v>
      </c>
      <c r="P2193" t="s">
        <v>485</v>
      </c>
      <c r="Q2193" t="s">
        <v>8794</v>
      </c>
      <c r="R2193" t="s">
        <v>8795</v>
      </c>
      <c r="S2193" t="s">
        <v>8794</v>
      </c>
      <c r="T2193" t="s">
        <v>8795</v>
      </c>
    </row>
    <row r="2194" spans="1:20">
      <c r="A2194" s="241">
        <v>44001</v>
      </c>
      <c r="B2194" t="s">
        <v>10432</v>
      </c>
      <c r="C2194" t="s">
        <v>631</v>
      </c>
      <c r="D2194" t="s">
        <v>671</v>
      </c>
      <c r="E2194" t="s">
        <v>2544</v>
      </c>
      <c r="F2194" t="s">
        <v>897</v>
      </c>
      <c r="G2194" t="s">
        <v>1517</v>
      </c>
      <c r="H2194" t="s">
        <v>275</v>
      </c>
      <c r="I2194" t="s">
        <v>882</v>
      </c>
      <c r="J2194" t="s">
        <v>337</v>
      </c>
      <c r="K2194" t="s">
        <v>268</v>
      </c>
      <c r="L2194">
        <v>0.86</v>
      </c>
      <c r="M2194" t="s">
        <v>10433</v>
      </c>
      <c r="N2194" t="s">
        <v>10434</v>
      </c>
      <c r="O2194" t="s">
        <v>10435</v>
      </c>
      <c r="P2194" t="s">
        <v>485</v>
      </c>
      <c r="Q2194" t="s">
        <v>8794</v>
      </c>
      <c r="R2194" t="s">
        <v>8795</v>
      </c>
      <c r="S2194" t="s">
        <v>8794</v>
      </c>
      <c r="T2194" t="s">
        <v>8795</v>
      </c>
    </row>
    <row r="2195" spans="1:20">
      <c r="A2195" s="241">
        <v>44001</v>
      </c>
      <c r="B2195" t="s">
        <v>10436</v>
      </c>
      <c r="C2195" t="s">
        <v>1139</v>
      </c>
      <c r="D2195" t="s">
        <v>392</v>
      </c>
      <c r="E2195" t="s">
        <v>2584</v>
      </c>
      <c r="F2195" t="s">
        <v>1561</v>
      </c>
      <c r="G2195" t="s">
        <v>673</v>
      </c>
      <c r="H2195" t="s">
        <v>1262</v>
      </c>
      <c r="I2195" t="s">
        <v>367</v>
      </c>
      <c r="J2195" t="s">
        <v>358</v>
      </c>
      <c r="K2195" t="s">
        <v>299</v>
      </c>
      <c r="L2195">
        <v>0.86</v>
      </c>
      <c r="M2195" t="s">
        <v>10437</v>
      </c>
      <c r="N2195" t="s">
        <v>10438</v>
      </c>
      <c r="O2195" t="s">
        <v>10439</v>
      </c>
      <c r="P2195" t="s">
        <v>485</v>
      </c>
      <c r="Q2195" t="s">
        <v>8794</v>
      </c>
      <c r="R2195" t="s">
        <v>8795</v>
      </c>
      <c r="S2195" t="s">
        <v>8794</v>
      </c>
      <c r="T2195" t="s">
        <v>8795</v>
      </c>
    </row>
    <row r="2196" spans="1:20">
      <c r="A2196" s="241">
        <v>44001</v>
      </c>
      <c r="B2196" t="s">
        <v>10440</v>
      </c>
      <c r="C2196" t="s">
        <v>2535</v>
      </c>
      <c r="D2196" t="s">
        <v>2535</v>
      </c>
      <c r="E2196" t="s">
        <v>1314</v>
      </c>
      <c r="F2196" t="s">
        <v>445</v>
      </c>
      <c r="G2196" t="s">
        <v>2774</v>
      </c>
      <c r="H2196" t="s">
        <v>1552</v>
      </c>
      <c r="I2196" t="s">
        <v>888</v>
      </c>
      <c r="J2196" t="s">
        <v>2372</v>
      </c>
      <c r="K2196" t="s">
        <v>268</v>
      </c>
      <c r="L2196">
        <v>0.86</v>
      </c>
      <c r="M2196" t="s">
        <v>10441</v>
      </c>
      <c r="N2196" t="s">
        <v>10442</v>
      </c>
      <c r="O2196" t="s">
        <v>10443</v>
      </c>
      <c r="P2196" t="s">
        <v>485</v>
      </c>
      <c r="Q2196" t="s">
        <v>8794</v>
      </c>
      <c r="R2196" t="s">
        <v>8795</v>
      </c>
      <c r="S2196" t="s">
        <v>8794</v>
      </c>
      <c r="T2196" t="s">
        <v>8795</v>
      </c>
    </row>
    <row r="2197" spans="1:20">
      <c r="A2197" s="241">
        <v>44001</v>
      </c>
      <c r="B2197" t="s">
        <v>10444</v>
      </c>
      <c r="C2197" t="s">
        <v>1079</v>
      </c>
      <c r="D2197" t="s">
        <v>2549</v>
      </c>
      <c r="E2197" t="s">
        <v>2769</v>
      </c>
      <c r="F2197" t="s">
        <v>344</v>
      </c>
      <c r="G2197" t="s">
        <v>910</v>
      </c>
      <c r="H2197" t="s">
        <v>598</v>
      </c>
      <c r="I2197" t="s">
        <v>664</v>
      </c>
      <c r="J2197" t="s">
        <v>1868</v>
      </c>
      <c r="K2197" t="s">
        <v>571</v>
      </c>
      <c r="L2197">
        <v>0.86</v>
      </c>
      <c r="M2197" t="s">
        <v>10445</v>
      </c>
      <c r="N2197" t="s">
        <v>10446</v>
      </c>
      <c r="O2197" t="s">
        <v>10447</v>
      </c>
      <c r="P2197" t="s">
        <v>485</v>
      </c>
      <c r="Q2197" t="s">
        <v>8794</v>
      </c>
      <c r="R2197" t="s">
        <v>8795</v>
      </c>
      <c r="S2197" t="s">
        <v>8794</v>
      </c>
      <c r="T2197" t="s">
        <v>8795</v>
      </c>
    </row>
    <row r="2198" spans="1:20">
      <c r="A2198" s="241">
        <v>44001</v>
      </c>
      <c r="B2198" t="s">
        <v>10448</v>
      </c>
      <c r="C2198" t="s">
        <v>1079</v>
      </c>
      <c r="D2198" t="s">
        <v>2549</v>
      </c>
      <c r="E2198" t="s">
        <v>2544</v>
      </c>
      <c r="F2198" t="s">
        <v>2579</v>
      </c>
      <c r="G2198" t="s">
        <v>1605</v>
      </c>
      <c r="H2198" t="s">
        <v>1291</v>
      </c>
      <c r="I2198" t="s">
        <v>683</v>
      </c>
      <c r="J2198" t="s">
        <v>1128</v>
      </c>
      <c r="K2198" t="s">
        <v>280</v>
      </c>
      <c r="L2198">
        <v>0.86</v>
      </c>
      <c r="M2198" t="s">
        <v>10449</v>
      </c>
      <c r="N2198" t="s">
        <v>10450</v>
      </c>
      <c r="O2198" t="s">
        <v>10451</v>
      </c>
      <c r="P2198" t="s">
        <v>485</v>
      </c>
      <c r="Q2198" t="s">
        <v>8794</v>
      </c>
      <c r="R2198" t="s">
        <v>8795</v>
      </c>
      <c r="S2198" t="s">
        <v>8794</v>
      </c>
      <c r="T2198" t="s">
        <v>8795</v>
      </c>
    </row>
    <row r="2199" spans="1:20">
      <c r="A2199" s="241">
        <v>44001</v>
      </c>
      <c r="B2199" t="s">
        <v>10452</v>
      </c>
      <c r="C2199" t="s">
        <v>392</v>
      </c>
      <c r="D2199" t="s">
        <v>1079</v>
      </c>
      <c r="E2199" t="s">
        <v>646</v>
      </c>
      <c r="F2199" t="s">
        <v>887</v>
      </c>
      <c r="G2199" t="s">
        <v>1324</v>
      </c>
      <c r="H2199" t="s">
        <v>682</v>
      </c>
      <c r="I2199" t="s">
        <v>683</v>
      </c>
      <c r="J2199" t="s">
        <v>387</v>
      </c>
      <c r="K2199" t="s">
        <v>651</v>
      </c>
      <c r="L2199">
        <v>0.86</v>
      </c>
      <c r="M2199" t="s">
        <v>10453</v>
      </c>
      <c r="N2199" t="s">
        <v>10454</v>
      </c>
      <c r="O2199" t="s">
        <v>10455</v>
      </c>
      <c r="P2199" t="s">
        <v>485</v>
      </c>
      <c r="Q2199" t="s">
        <v>8794</v>
      </c>
      <c r="R2199" t="s">
        <v>8795</v>
      </c>
      <c r="S2199" t="s">
        <v>8794</v>
      </c>
      <c r="T2199" t="s">
        <v>8795</v>
      </c>
    </row>
    <row r="2200" spans="1:20">
      <c r="A2200" s="241">
        <v>44001</v>
      </c>
      <c r="B2200" t="s">
        <v>10456</v>
      </c>
      <c r="C2200" t="s">
        <v>1079</v>
      </c>
      <c r="D2200" t="s">
        <v>2535</v>
      </c>
      <c r="E2200" t="s">
        <v>2893</v>
      </c>
      <c r="F2200" t="s">
        <v>904</v>
      </c>
      <c r="G2200" t="s">
        <v>1946</v>
      </c>
      <c r="H2200" t="s">
        <v>295</v>
      </c>
      <c r="I2200" t="s">
        <v>690</v>
      </c>
      <c r="J2200" t="s">
        <v>1298</v>
      </c>
      <c r="K2200" t="s">
        <v>268</v>
      </c>
      <c r="L2200">
        <v>0.86</v>
      </c>
      <c r="M2200" t="s">
        <v>10457</v>
      </c>
      <c r="N2200" t="s">
        <v>10458</v>
      </c>
      <c r="O2200" t="s">
        <v>10459</v>
      </c>
      <c r="P2200" t="s">
        <v>485</v>
      </c>
      <c r="Q2200" t="s">
        <v>8794</v>
      </c>
      <c r="R2200" t="s">
        <v>8795</v>
      </c>
      <c r="S2200" t="s">
        <v>8794</v>
      </c>
      <c r="T2200" t="s">
        <v>8795</v>
      </c>
    </row>
    <row r="2201" spans="1:20">
      <c r="A2201" s="241">
        <v>44001</v>
      </c>
      <c r="B2201" t="s">
        <v>10460</v>
      </c>
      <c r="C2201" t="s">
        <v>392</v>
      </c>
      <c r="D2201" t="s">
        <v>2535</v>
      </c>
      <c r="E2201" t="s">
        <v>2769</v>
      </c>
      <c r="F2201" t="s">
        <v>1164</v>
      </c>
      <c r="G2201" t="s">
        <v>434</v>
      </c>
      <c r="H2201" t="s">
        <v>415</v>
      </c>
      <c r="I2201" t="s">
        <v>406</v>
      </c>
      <c r="J2201" t="s">
        <v>1141</v>
      </c>
      <c r="K2201" t="s">
        <v>651</v>
      </c>
      <c r="L2201">
        <v>0.86</v>
      </c>
      <c r="M2201" t="s">
        <v>10461</v>
      </c>
      <c r="N2201" t="s">
        <v>10462</v>
      </c>
      <c r="O2201" t="s">
        <v>10463</v>
      </c>
      <c r="P2201" t="s">
        <v>485</v>
      </c>
      <c r="Q2201" t="s">
        <v>8794</v>
      </c>
      <c r="R2201" t="s">
        <v>8795</v>
      </c>
      <c r="S2201" t="s">
        <v>8794</v>
      </c>
      <c r="T2201" t="s">
        <v>8795</v>
      </c>
    </row>
    <row r="2202" spans="1:20">
      <c r="A2202" s="241">
        <v>44001</v>
      </c>
      <c r="B2202" t="s">
        <v>10464</v>
      </c>
      <c r="C2202" t="s">
        <v>1139</v>
      </c>
      <c r="D2202" t="s">
        <v>392</v>
      </c>
      <c r="E2202" t="s">
        <v>3054</v>
      </c>
      <c r="F2202" t="s">
        <v>689</v>
      </c>
      <c r="G2202" t="s">
        <v>1170</v>
      </c>
      <c r="H2202" t="s">
        <v>426</v>
      </c>
      <c r="I2202" t="s">
        <v>1923</v>
      </c>
      <c r="J2202" t="s">
        <v>919</v>
      </c>
      <c r="K2202" t="s">
        <v>651</v>
      </c>
      <c r="L2202">
        <v>0.86</v>
      </c>
      <c r="M2202" t="s">
        <v>10465</v>
      </c>
      <c r="N2202" t="s">
        <v>10466</v>
      </c>
      <c r="O2202" t="s">
        <v>10467</v>
      </c>
      <c r="P2202" t="s">
        <v>485</v>
      </c>
      <c r="Q2202" t="s">
        <v>8794</v>
      </c>
      <c r="R2202" t="s">
        <v>8795</v>
      </c>
      <c r="S2202" t="s">
        <v>8794</v>
      </c>
      <c r="T2202" t="s">
        <v>8795</v>
      </c>
    </row>
    <row r="2203" spans="1:20">
      <c r="A2203" s="241">
        <v>44001</v>
      </c>
      <c r="B2203" t="s">
        <v>10468</v>
      </c>
      <c r="C2203" t="s">
        <v>671</v>
      </c>
      <c r="D2203" t="s">
        <v>1079</v>
      </c>
      <c r="E2203" t="s">
        <v>2888</v>
      </c>
      <c r="F2203" t="s">
        <v>1164</v>
      </c>
      <c r="G2203" t="s">
        <v>2419</v>
      </c>
      <c r="H2203" t="s">
        <v>1493</v>
      </c>
      <c r="I2203" t="s">
        <v>436</v>
      </c>
      <c r="J2203" t="s">
        <v>1309</v>
      </c>
      <c r="K2203" t="s">
        <v>666</v>
      </c>
      <c r="L2203">
        <v>0.86</v>
      </c>
      <c r="M2203" t="s">
        <v>10469</v>
      </c>
      <c r="N2203" t="s">
        <v>10470</v>
      </c>
      <c r="O2203" t="s">
        <v>10471</v>
      </c>
      <c r="P2203" t="s">
        <v>485</v>
      </c>
      <c r="Q2203" t="s">
        <v>8794</v>
      </c>
      <c r="R2203" t="s">
        <v>8795</v>
      </c>
      <c r="S2203" t="s">
        <v>8794</v>
      </c>
      <c r="T2203" t="s">
        <v>8795</v>
      </c>
    </row>
    <row r="2204" spans="1:20">
      <c r="A2204" s="241">
        <v>44001</v>
      </c>
      <c r="B2204" t="s">
        <v>10472</v>
      </c>
      <c r="C2204" t="s">
        <v>679</v>
      </c>
      <c r="D2204" t="s">
        <v>443</v>
      </c>
      <c r="E2204" t="s">
        <v>2544</v>
      </c>
      <c r="F2204" t="s">
        <v>1164</v>
      </c>
      <c r="G2204" t="s">
        <v>953</v>
      </c>
      <c r="H2204" t="s">
        <v>1103</v>
      </c>
      <c r="I2204" t="s">
        <v>1158</v>
      </c>
      <c r="J2204" t="s">
        <v>1309</v>
      </c>
      <c r="K2204" t="s">
        <v>651</v>
      </c>
      <c r="L2204">
        <v>0.86</v>
      </c>
      <c r="M2204" t="s">
        <v>10473</v>
      </c>
      <c r="N2204" t="s">
        <v>10474</v>
      </c>
      <c r="O2204" t="s">
        <v>10475</v>
      </c>
      <c r="P2204" t="s">
        <v>485</v>
      </c>
      <c r="Q2204" t="s">
        <v>8794</v>
      </c>
      <c r="R2204" t="s">
        <v>8795</v>
      </c>
      <c r="S2204" t="s">
        <v>8794</v>
      </c>
      <c r="T2204" t="s">
        <v>8795</v>
      </c>
    </row>
    <row r="2205" spans="1:20">
      <c r="A2205" s="241">
        <v>44001</v>
      </c>
      <c r="B2205" t="s">
        <v>10476</v>
      </c>
      <c r="C2205" t="s">
        <v>2535</v>
      </c>
      <c r="D2205" t="s">
        <v>392</v>
      </c>
      <c r="E2205" t="s">
        <v>2584</v>
      </c>
      <c r="F2205" t="s">
        <v>3077</v>
      </c>
      <c r="G2205" t="s">
        <v>10477</v>
      </c>
      <c r="H2205" t="s">
        <v>374</v>
      </c>
      <c r="I2205" t="s">
        <v>3807</v>
      </c>
      <c r="J2205" t="s">
        <v>730</v>
      </c>
      <c r="K2205" t="s">
        <v>349</v>
      </c>
      <c r="L2205">
        <v>0.86</v>
      </c>
      <c r="M2205" t="s">
        <v>10478</v>
      </c>
      <c r="N2205" t="s">
        <v>10479</v>
      </c>
      <c r="O2205" t="s">
        <v>10480</v>
      </c>
      <c r="P2205" t="s">
        <v>485</v>
      </c>
      <c r="Q2205" t="s">
        <v>8794</v>
      </c>
      <c r="R2205" t="s">
        <v>8795</v>
      </c>
      <c r="S2205" t="s">
        <v>8794</v>
      </c>
      <c r="T2205" t="s">
        <v>8795</v>
      </c>
    </row>
    <row r="2206" spans="1:20">
      <c r="A2206" s="241">
        <v>44001</v>
      </c>
      <c r="B2206" t="s">
        <v>10481</v>
      </c>
      <c r="C2206" t="s">
        <v>2636</v>
      </c>
      <c r="D2206" t="s">
        <v>1377</v>
      </c>
      <c r="E2206" t="s">
        <v>614</v>
      </c>
      <c r="F2206" t="s">
        <v>2627</v>
      </c>
      <c r="G2206" t="s">
        <v>1350</v>
      </c>
      <c r="H2206" t="s">
        <v>3120</v>
      </c>
      <c r="I2206" t="s">
        <v>2629</v>
      </c>
      <c r="J2206" t="s">
        <v>6227</v>
      </c>
      <c r="K2206" t="s">
        <v>4349</v>
      </c>
      <c r="L2206">
        <v>0.89</v>
      </c>
      <c r="M2206" t="s">
        <v>10482</v>
      </c>
      <c r="N2206" t="s">
        <v>10483</v>
      </c>
      <c r="O2206" t="s">
        <v>10484</v>
      </c>
      <c r="P2206" t="s">
        <v>485</v>
      </c>
      <c r="Q2206" t="s">
        <v>8794</v>
      </c>
      <c r="R2206" t="s">
        <v>8795</v>
      </c>
      <c r="S2206" t="s">
        <v>8794</v>
      </c>
      <c r="T2206" t="s">
        <v>8795</v>
      </c>
    </row>
    <row r="2207" spans="1:20">
      <c r="A2207" s="241">
        <v>44001</v>
      </c>
      <c r="B2207" t="s">
        <v>10485</v>
      </c>
      <c r="C2207" t="s">
        <v>2626</v>
      </c>
      <c r="D2207" t="s">
        <v>2626</v>
      </c>
      <c r="E2207" t="s">
        <v>614</v>
      </c>
      <c r="F2207" t="s">
        <v>4618</v>
      </c>
      <c r="G2207" t="s">
        <v>5467</v>
      </c>
      <c r="H2207" t="s">
        <v>2638</v>
      </c>
      <c r="I2207" t="s">
        <v>10486</v>
      </c>
      <c r="J2207" t="s">
        <v>6818</v>
      </c>
      <c r="K2207" t="s">
        <v>5476</v>
      </c>
      <c r="L2207">
        <v>0.89</v>
      </c>
      <c r="M2207" t="s">
        <v>10487</v>
      </c>
      <c r="N2207" t="s">
        <v>10488</v>
      </c>
      <c r="O2207" t="s">
        <v>10489</v>
      </c>
      <c r="P2207" t="s">
        <v>485</v>
      </c>
      <c r="Q2207" t="s">
        <v>8794</v>
      </c>
      <c r="R2207" t="s">
        <v>8795</v>
      </c>
      <c r="S2207" t="s">
        <v>8794</v>
      </c>
      <c r="T2207" t="s">
        <v>8795</v>
      </c>
    </row>
    <row r="2208" spans="1:20">
      <c r="A2208" s="241">
        <v>44001</v>
      </c>
      <c r="B2208" t="s">
        <v>10490</v>
      </c>
      <c r="C2208" t="s">
        <v>2626</v>
      </c>
      <c r="D2208" t="s">
        <v>1376</v>
      </c>
      <c r="E2208" t="s">
        <v>712</v>
      </c>
      <c r="F2208" t="s">
        <v>757</v>
      </c>
      <c r="G2208" t="s">
        <v>981</v>
      </c>
      <c r="H2208" t="s">
        <v>4626</v>
      </c>
      <c r="I2208" t="s">
        <v>4627</v>
      </c>
      <c r="J2208" t="s">
        <v>6823</v>
      </c>
      <c r="K2208" t="s">
        <v>494</v>
      </c>
      <c r="L2208">
        <v>0.89</v>
      </c>
      <c r="M2208" t="s">
        <v>10491</v>
      </c>
      <c r="N2208" t="s">
        <v>10492</v>
      </c>
      <c r="O2208" t="s">
        <v>10493</v>
      </c>
      <c r="P2208" t="s">
        <v>485</v>
      </c>
      <c r="Q2208" t="s">
        <v>8794</v>
      </c>
      <c r="R2208" t="s">
        <v>8795</v>
      </c>
      <c r="S2208" t="s">
        <v>8794</v>
      </c>
      <c r="T2208" t="s">
        <v>8795</v>
      </c>
    </row>
    <row r="2209" spans="1:20">
      <c r="A2209" s="241">
        <v>44001</v>
      </c>
      <c r="B2209" t="s">
        <v>10494</v>
      </c>
      <c r="C2209" t="s">
        <v>3831</v>
      </c>
      <c r="D2209" t="s">
        <v>2626</v>
      </c>
      <c r="E2209" t="s">
        <v>294</v>
      </c>
      <c r="F2209" t="s">
        <v>1655</v>
      </c>
      <c r="G2209" t="s">
        <v>1977</v>
      </c>
      <c r="H2209" t="s">
        <v>7282</v>
      </c>
      <c r="I2209" t="s">
        <v>492</v>
      </c>
      <c r="J2209" t="s">
        <v>5279</v>
      </c>
      <c r="K2209" t="s">
        <v>7971</v>
      </c>
      <c r="L2209">
        <v>0.89</v>
      </c>
      <c r="M2209" t="s">
        <v>10495</v>
      </c>
      <c r="N2209" t="s">
        <v>10496</v>
      </c>
      <c r="O2209" t="s">
        <v>10497</v>
      </c>
      <c r="P2209" t="s">
        <v>485</v>
      </c>
      <c r="Q2209" t="s">
        <v>8794</v>
      </c>
      <c r="R2209" t="s">
        <v>8795</v>
      </c>
      <c r="S2209" t="s">
        <v>8794</v>
      </c>
      <c r="T2209" t="s">
        <v>8795</v>
      </c>
    </row>
    <row r="2210" spans="1:20">
      <c r="A2210" s="241">
        <v>44001</v>
      </c>
      <c r="B2210" t="s">
        <v>10498</v>
      </c>
      <c r="C2210" t="s">
        <v>671</v>
      </c>
      <c r="D2210" t="s">
        <v>2549</v>
      </c>
      <c r="E2210" t="s">
        <v>2731</v>
      </c>
      <c r="F2210" t="s">
        <v>1677</v>
      </c>
      <c r="G2210" t="s">
        <v>6720</v>
      </c>
      <c r="H2210" t="s">
        <v>1679</v>
      </c>
      <c r="I2210" t="s">
        <v>9988</v>
      </c>
      <c r="J2210" t="s">
        <v>2832</v>
      </c>
      <c r="K2210" t="s">
        <v>3155</v>
      </c>
      <c r="L2210">
        <v>0.86</v>
      </c>
      <c r="M2210" t="s">
        <v>10499</v>
      </c>
      <c r="N2210" t="s">
        <v>10500</v>
      </c>
      <c r="O2210" t="s">
        <v>10501</v>
      </c>
      <c r="P2210" t="s">
        <v>485</v>
      </c>
      <c r="Q2210" t="s">
        <v>8794</v>
      </c>
      <c r="R2210" t="s">
        <v>8795</v>
      </c>
      <c r="S2210" t="s">
        <v>8794</v>
      </c>
      <c r="T2210" t="s">
        <v>8795</v>
      </c>
    </row>
    <row r="2211" spans="1:20">
      <c r="A2211" s="241">
        <v>44001</v>
      </c>
      <c r="B2211" t="s">
        <v>10502</v>
      </c>
      <c r="C2211" t="s">
        <v>2535</v>
      </c>
      <c r="D2211" t="s">
        <v>402</v>
      </c>
      <c r="E2211" t="s">
        <v>1049</v>
      </c>
      <c r="F2211" t="s">
        <v>265</v>
      </c>
      <c r="G2211" t="s">
        <v>520</v>
      </c>
      <c r="H2211" t="s">
        <v>2663</v>
      </c>
      <c r="I2211" t="s">
        <v>1686</v>
      </c>
      <c r="J2211" t="s">
        <v>1392</v>
      </c>
      <c r="K2211" t="s">
        <v>1003</v>
      </c>
      <c r="L2211">
        <v>0.87</v>
      </c>
      <c r="M2211" t="s">
        <v>10503</v>
      </c>
      <c r="N2211" t="s">
        <v>10504</v>
      </c>
      <c r="O2211" t="s">
        <v>10505</v>
      </c>
      <c r="P2211" t="s">
        <v>485</v>
      </c>
      <c r="Q2211" t="s">
        <v>8794</v>
      </c>
      <c r="R2211" t="s">
        <v>8795</v>
      </c>
      <c r="S2211" t="s">
        <v>8794</v>
      </c>
      <c r="T2211" t="s">
        <v>8795</v>
      </c>
    </row>
    <row r="2212" spans="1:20">
      <c r="A2212" s="241">
        <v>44001</v>
      </c>
      <c r="B2212" t="s">
        <v>10506</v>
      </c>
      <c r="C2212" t="s">
        <v>2478</v>
      </c>
      <c r="D2212" t="s">
        <v>208</v>
      </c>
      <c r="E2212" t="s">
        <v>2584</v>
      </c>
      <c r="F2212" t="s">
        <v>307</v>
      </c>
      <c r="G2212" t="s">
        <v>520</v>
      </c>
      <c r="H2212" t="s">
        <v>787</v>
      </c>
      <c r="I2212" t="s">
        <v>1010</v>
      </c>
      <c r="J2212" t="s">
        <v>1687</v>
      </c>
      <c r="K2212" t="s">
        <v>781</v>
      </c>
      <c r="L2212">
        <v>0.86</v>
      </c>
      <c r="M2212" t="s">
        <v>10507</v>
      </c>
      <c r="N2212" t="s">
        <v>10508</v>
      </c>
      <c r="O2212" t="s">
        <v>10509</v>
      </c>
      <c r="P2212" t="s">
        <v>485</v>
      </c>
      <c r="Q2212" t="s">
        <v>8794</v>
      </c>
      <c r="R2212" t="s">
        <v>8795</v>
      </c>
      <c r="S2212" t="s">
        <v>8794</v>
      </c>
      <c r="T2212" t="s">
        <v>8795</v>
      </c>
    </row>
    <row r="2213" spans="1:20">
      <c r="A2213" s="241">
        <v>44001</v>
      </c>
      <c r="B2213" t="s">
        <v>10510</v>
      </c>
      <c r="C2213" t="s">
        <v>631</v>
      </c>
      <c r="D2213" t="s">
        <v>2535</v>
      </c>
      <c r="E2213" t="s">
        <v>2584</v>
      </c>
      <c r="F2213" t="s">
        <v>584</v>
      </c>
      <c r="G2213" t="s">
        <v>804</v>
      </c>
      <c r="H2213" t="s">
        <v>3999</v>
      </c>
      <c r="I2213" t="s">
        <v>550</v>
      </c>
      <c r="J2213" t="s">
        <v>533</v>
      </c>
      <c r="K2213" t="s">
        <v>1003</v>
      </c>
      <c r="L2213">
        <v>0.86</v>
      </c>
      <c r="M2213" t="s">
        <v>10511</v>
      </c>
      <c r="N2213" t="s">
        <v>10512</v>
      </c>
      <c r="O2213" t="s">
        <v>10513</v>
      </c>
      <c r="P2213" t="s">
        <v>485</v>
      </c>
      <c r="Q2213" t="s">
        <v>8794</v>
      </c>
      <c r="R2213" t="s">
        <v>8795</v>
      </c>
      <c r="S2213" t="s">
        <v>8794</v>
      </c>
      <c r="T2213" t="s">
        <v>8795</v>
      </c>
    </row>
    <row r="2214" spans="1:20">
      <c r="A2214" s="241">
        <v>44001</v>
      </c>
      <c r="B2214" t="s">
        <v>10514</v>
      </c>
      <c r="C2214" t="s">
        <v>712</v>
      </c>
      <c r="D2214" t="s">
        <v>402</v>
      </c>
      <c r="E2214" t="s">
        <v>2893</v>
      </c>
      <c r="F2214" t="s">
        <v>868</v>
      </c>
      <c r="G2214" t="s">
        <v>798</v>
      </c>
      <c r="H2214" t="s">
        <v>1038</v>
      </c>
      <c r="I2214" t="s">
        <v>1421</v>
      </c>
      <c r="J2214" t="s">
        <v>2044</v>
      </c>
      <c r="K2214" t="s">
        <v>1003</v>
      </c>
      <c r="L2214">
        <v>0.86</v>
      </c>
      <c r="M2214" t="s">
        <v>10515</v>
      </c>
      <c r="N2214" t="s">
        <v>10516</v>
      </c>
      <c r="O2214" t="s">
        <v>10517</v>
      </c>
      <c r="P2214" t="s">
        <v>485</v>
      </c>
      <c r="Q2214" t="s">
        <v>8794</v>
      </c>
      <c r="R2214" t="s">
        <v>8795</v>
      </c>
      <c r="S2214" t="s">
        <v>8794</v>
      </c>
      <c r="T2214" t="s">
        <v>8795</v>
      </c>
    </row>
    <row r="2215" spans="1:20">
      <c r="A2215" s="241">
        <v>44001</v>
      </c>
      <c r="B2215" t="s">
        <v>10518</v>
      </c>
      <c r="C2215" t="s">
        <v>679</v>
      </c>
      <c r="D2215" t="s">
        <v>402</v>
      </c>
      <c r="E2215" t="s">
        <v>2584</v>
      </c>
      <c r="F2215" t="s">
        <v>239</v>
      </c>
      <c r="G2215" t="s">
        <v>264</v>
      </c>
      <c r="H2215" t="s">
        <v>241</v>
      </c>
      <c r="I2215" t="s">
        <v>1747</v>
      </c>
      <c r="J2215" t="s">
        <v>1240</v>
      </c>
      <c r="K2215" t="s">
        <v>1399</v>
      </c>
      <c r="L2215">
        <v>0.86</v>
      </c>
      <c r="M2215" t="s">
        <v>10519</v>
      </c>
      <c r="N2215" t="s">
        <v>10520</v>
      </c>
      <c r="O2215" t="s">
        <v>10521</v>
      </c>
      <c r="P2215" t="s">
        <v>485</v>
      </c>
      <c r="Q2215" t="s">
        <v>8794</v>
      </c>
      <c r="R2215" t="s">
        <v>8795</v>
      </c>
      <c r="S2215" t="s">
        <v>8794</v>
      </c>
      <c r="T2215" t="s">
        <v>8795</v>
      </c>
    </row>
    <row r="2216" spans="1:20">
      <c r="A2216" s="241">
        <v>44001</v>
      </c>
      <c r="B2216" t="s">
        <v>10522</v>
      </c>
      <c r="C2216" t="s">
        <v>1079</v>
      </c>
      <c r="D2216" t="s">
        <v>382</v>
      </c>
      <c r="E2216" t="s">
        <v>1314</v>
      </c>
      <c r="F2216" t="s">
        <v>275</v>
      </c>
      <c r="G2216" t="s">
        <v>264</v>
      </c>
      <c r="H2216" t="s">
        <v>241</v>
      </c>
      <c r="I2216" t="s">
        <v>560</v>
      </c>
      <c r="J2216" t="s">
        <v>817</v>
      </c>
      <c r="K2216" t="s">
        <v>1234</v>
      </c>
      <c r="L2216">
        <v>0.86</v>
      </c>
      <c r="M2216" t="s">
        <v>10523</v>
      </c>
      <c r="N2216" t="s">
        <v>10524</v>
      </c>
      <c r="O2216" t="s">
        <v>10525</v>
      </c>
      <c r="P2216" t="s">
        <v>485</v>
      </c>
      <c r="Q2216" t="s">
        <v>8794</v>
      </c>
      <c r="R2216" t="s">
        <v>8795</v>
      </c>
      <c r="S2216" t="s">
        <v>8794</v>
      </c>
      <c r="T2216" t="s">
        <v>8795</v>
      </c>
    </row>
    <row r="2217" spans="1:20">
      <c r="A2217" s="241">
        <v>44001</v>
      </c>
      <c r="B2217" t="s">
        <v>10526</v>
      </c>
      <c r="C2217" t="s">
        <v>2478</v>
      </c>
      <c r="D2217" t="s">
        <v>402</v>
      </c>
      <c r="E2217" t="s">
        <v>2731</v>
      </c>
      <c r="F2217" t="s">
        <v>576</v>
      </c>
      <c r="G2217" t="s">
        <v>227</v>
      </c>
      <c r="H2217" t="s">
        <v>1388</v>
      </c>
      <c r="I2217" t="s">
        <v>1250</v>
      </c>
      <c r="J2217" t="s">
        <v>807</v>
      </c>
      <c r="K2217" t="s">
        <v>1234</v>
      </c>
      <c r="L2217">
        <v>0.86</v>
      </c>
      <c r="M2217" t="s">
        <v>10527</v>
      </c>
      <c r="N2217" t="s">
        <v>10528</v>
      </c>
      <c r="O2217" t="s">
        <v>10529</v>
      </c>
      <c r="P2217" t="s">
        <v>485</v>
      </c>
      <c r="Q2217" t="s">
        <v>8794</v>
      </c>
      <c r="R2217" t="s">
        <v>8795</v>
      </c>
      <c r="S2217" t="s">
        <v>8794</v>
      </c>
      <c r="T2217" t="s">
        <v>8795</v>
      </c>
    </row>
    <row r="2218" spans="1:20">
      <c r="A2218" s="241">
        <v>44001</v>
      </c>
      <c r="B2218" t="s">
        <v>10530</v>
      </c>
      <c r="C2218" t="s">
        <v>2535</v>
      </c>
      <c r="D2218" t="s">
        <v>402</v>
      </c>
      <c r="E2218" t="s">
        <v>1049</v>
      </c>
      <c r="F2218" t="s">
        <v>1080</v>
      </c>
      <c r="G2218" t="s">
        <v>1447</v>
      </c>
      <c r="H2218" t="s">
        <v>3554</v>
      </c>
      <c r="I2218" t="s">
        <v>2329</v>
      </c>
      <c r="J2218" t="s">
        <v>1770</v>
      </c>
      <c r="K2218" t="s">
        <v>534</v>
      </c>
      <c r="L2218">
        <v>0.86</v>
      </c>
      <c r="M2218" t="s">
        <v>10531</v>
      </c>
      <c r="N2218" t="s">
        <v>10532</v>
      </c>
      <c r="O2218" t="s">
        <v>10533</v>
      </c>
      <c r="P2218" t="s">
        <v>485</v>
      </c>
      <c r="Q2218" t="s">
        <v>8794</v>
      </c>
      <c r="R2218" t="s">
        <v>8795</v>
      </c>
      <c r="S2218" t="s">
        <v>8794</v>
      </c>
      <c r="T2218" t="s">
        <v>8795</v>
      </c>
    </row>
    <row r="2219" spans="1:20">
      <c r="A2219" s="241">
        <v>44001</v>
      </c>
      <c r="B2219" t="s">
        <v>10534</v>
      </c>
      <c r="C2219" t="s">
        <v>382</v>
      </c>
      <c r="D2219" t="s">
        <v>2549</v>
      </c>
      <c r="E2219" t="s">
        <v>2584</v>
      </c>
      <c r="F2219" t="s">
        <v>454</v>
      </c>
      <c r="G2219" t="s">
        <v>1590</v>
      </c>
      <c r="H2219" t="s">
        <v>251</v>
      </c>
      <c r="I2219" t="s">
        <v>336</v>
      </c>
      <c r="J2219" t="s">
        <v>634</v>
      </c>
      <c r="K2219" t="s">
        <v>231</v>
      </c>
      <c r="L2219">
        <v>0.86</v>
      </c>
      <c r="M2219" t="s">
        <v>10535</v>
      </c>
      <c r="N2219" t="s">
        <v>10536</v>
      </c>
      <c r="O2219" t="s">
        <v>10537</v>
      </c>
      <c r="P2219" t="s">
        <v>485</v>
      </c>
      <c r="Q2219" t="s">
        <v>8794</v>
      </c>
      <c r="R2219" t="s">
        <v>8795</v>
      </c>
      <c r="S2219" t="s">
        <v>8794</v>
      </c>
      <c r="T2219" t="s">
        <v>8795</v>
      </c>
    </row>
    <row r="2220" spans="1:20">
      <c r="A2220" s="241">
        <v>44001</v>
      </c>
      <c r="B2220" t="s">
        <v>10538</v>
      </c>
      <c r="C2220" t="s">
        <v>645</v>
      </c>
      <c r="D2220" t="s">
        <v>332</v>
      </c>
      <c r="E2220" t="s">
        <v>2893</v>
      </c>
      <c r="F2220" t="s">
        <v>887</v>
      </c>
      <c r="G2220" t="s">
        <v>1115</v>
      </c>
      <c r="H2220" t="s">
        <v>385</v>
      </c>
      <c r="I2220" t="s">
        <v>888</v>
      </c>
      <c r="J2220" t="s">
        <v>348</v>
      </c>
      <c r="K2220" t="s">
        <v>299</v>
      </c>
      <c r="L2220">
        <v>0.86</v>
      </c>
      <c r="M2220" t="s">
        <v>10539</v>
      </c>
      <c r="N2220" t="s">
        <v>10540</v>
      </c>
      <c r="O2220" t="s">
        <v>10541</v>
      </c>
      <c r="P2220" t="s">
        <v>485</v>
      </c>
      <c r="Q2220" t="s">
        <v>8794</v>
      </c>
      <c r="R2220" t="s">
        <v>8795</v>
      </c>
      <c r="S2220" t="s">
        <v>8794</v>
      </c>
      <c r="T2220" t="s">
        <v>8795</v>
      </c>
    </row>
    <row r="2221" spans="1:20">
      <c r="A2221" s="241">
        <v>44001</v>
      </c>
      <c r="B2221" t="s">
        <v>10542</v>
      </c>
      <c r="C2221" t="s">
        <v>392</v>
      </c>
      <c r="D2221" t="s">
        <v>1139</v>
      </c>
      <c r="E2221" t="s">
        <v>3054</v>
      </c>
      <c r="F2221" t="s">
        <v>917</v>
      </c>
      <c r="G2221" t="s">
        <v>898</v>
      </c>
      <c r="H2221" t="s">
        <v>590</v>
      </c>
      <c r="I2221" t="s">
        <v>367</v>
      </c>
      <c r="J2221" t="s">
        <v>358</v>
      </c>
      <c r="K2221" t="s">
        <v>256</v>
      </c>
      <c r="L2221">
        <v>0.86</v>
      </c>
      <c r="M2221" t="s">
        <v>10543</v>
      </c>
      <c r="N2221" t="s">
        <v>10544</v>
      </c>
      <c r="O2221" t="s">
        <v>10545</v>
      </c>
      <c r="P2221" t="s">
        <v>485</v>
      </c>
      <c r="Q2221" t="s">
        <v>8794</v>
      </c>
      <c r="R2221" t="s">
        <v>8795</v>
      </c>
      <c r="S2221" t="s">
        <v>8794</v>
      </c>
      <c r="T2221" t="s">
        <v>8795</v>
      </c>
    </row>
    <row r="2222" spans="1:20">
      <c r="A2222" s="241">
        <v>44001</v>
      </c>
      <c r="B2222" t="s">
        <v>10546</v>
      </c>
      <c r="C2222" t="s">
        <v>343</v>
      </c>
      <c r="D2222" t="s">
        <v>443</v>
      </c>
      <c r="E2222" t="s">
        <v>696</v>
      </c>
      <c r="F2222" t="s">
        <v>662</v>
      </c>
      <c r="G2222" t="s">
        <v>2177</v>
      </c>
      <c r="H2222" t="s">
        <v>1467</v>
      </c>
      <c r="I2222" t="s">
        <v>1859</v>
      </c>
      <c r="J2222" t="s">
        <v>2372</v>
      </c>
      <c r="K2222" t="s">
        <v>299</v>
      </c>
      <c r="L2222">
        <v>0.86</v>
      </c>
      <c r="M2222" t="s">
        <v>10547</v>
      </c>
      <c r="N2222" t="s">
        <v>10548</v>
      </c>
      <c r="O2222" t="s">
        <v>10549</v>
      </c>
      <c r="P2222" t="s">
        <v>485</v>
      </c>
      <c r="Q2222" t="s">
        <v>8794</v>
      </c>
      <c r="R2222" t="s">
        <v>8795</v>
      </c>
      <c r="S2222" t="s">
        <v>8794</v>
      </c>
      <c r="T2222" t="s">
        <v>8795</v>
      </c>
    </row>
    <row r="2223" spans="1:20">
      <c r="A2223" s="241">
        <v>44001</v>
      </c>
      <c r="B2223" t="s">
        <v>10550</v>
      </c>
      <c r="C2223" t="s">
        <v>2535</v>
      </c>
      <c r="D2223" t="s">
        <v>343</v>
      </c>
      <c r="E2223" t="s">
        <v>2584</v>
      </c>
      <c r="F2223" t="s">
        <v>2574</v>
      </c>
      <c r="G2223" t="s">
        <v>1590</v>
      </c>
      <c r="H2223" t="s">
        <v>385</v>
      </c>
      <c r="I2223" t="s">
        <v>656</v>
      </c>
      <c r="J2223" t="s">
        <v>1868</v>
      </c>
      <c r="K2223" t="s">
        <v>299</v>
      </c>
      <c r="L2223">
        <v>0.86</v>
      </c>
      <c r="M2223" t="s">
        <v>10551</v>
      </c>
      <c r="N2223" t="s">
        <v>10552</v>
      </c>
      <c r="O2223" t="s">
        <v>10553</v>
      </c>
      <c r="P2223" t="s">
        <v>485</v>
      </c>
      <c r="Q2223" t="s">
        <v>8794</v>
      </c>
      <c r="R2223" t="s">
        <v>8795</v>
      </c>
      <c r="S2223" t="s">
        <v>8794</v>
      </c>
      <c r="T2223" t="s">
        <v>8795</v>
      </c>
    </row>
    <row r="2224" spans="1:20">
      <c r="A2224" s="241">
        <v>44001</v>
      </c>
      <c r="B2224" t="s">
        <v>10554</v>
      </c>
      <c r="C2224" t="s">
        <v>392</v>
      </c>
      <c r="D2224" t="s">
        <v>2535</v>
      </c>
      <c r="E2224" t="s">
        <v>2769</v>
      </c>
      <c r="F2224" t="s">
        <v>344</v>
      </c>
      <c r="G2224" t="s">
        <v>898</v>
      </c>
      <c r="H2224" t="s">
        <v>285</v>
      </c>
      <c r="I2224" t="s">
        <v>656</v>
      </c>
      <c r="J2224" t="s">
        <v>650</v>
      </c>
      <c r="K2224" t="s">
        <v>244</v>
      </c>
      <c r="L2224">
        <v>0.86</v>
      </c>
      <c r="M2224" t="s">
        <v>10555</v>
      </c>
      <c r="N2224" t="s">
        <v>10556</v>
      </c>
      <c r="O2224" t="s">
        <v>10557</v>
      </c>
      <c r="P2224" t="s">
        <v>485</v>
      </c>
      <c r="Q2224" t="s">
        <v>8794</v>
      </c>
      <c r="R2224" t="s">
        <v>8795</v>
      </c>
      <c r="S2224" t="s">
        <v>8794</v>
      </c>
      <c r="T2224" t="s">
        <v>8795</v>
      </c>
    </row>
    <row r="2225" spans="1:20">
      <c r="A2225" s="241">
        <v>44001</v>
      </c>
      <c r="B2225" t="s">
        <v>10558</v>
      </c>
      <c r="C2225" t="s">
        <v>443</v>
      </c>
      <c r="D2225" t="s">
        <v>392</v>
      </c>
      <c r="E2225" t="s">
        <v>2893</v>
      </c>
      <c r="F2225" t="s">
        <v>1584</v>
      </c>
      <c r="G2225" t="s">
        <v>697</v>
      </c>
      <c r="H2225" t="s">
        <v>682</v>
      </c>
      <c r="I2225" t="s">
        <v>1134</v>
      </c>
      <c r="J2225" t="s">
        <v>387</v>
      </c>
      <c r="K2225" t="s">
        <v>280</v>
      </c>
      <c r="L2225">
        <v>0.86</v>
      </c>
      <c r="M2225" t="s">
        <v>10559</v>
      </c>
      <c r="N2225" t="s">
        <v>10560</v>
      </c>
      <c r="O2225" t="s">
        <v>10561</v>
      </c>
      <c r="P2225" t="s">
        <v>485</v>
      </c>
      <c r="Q2225" t="s">
        <v>8794</v>
      </c>
      <c r="R2225" t="s">
        <v>8795</v>
      </c>
      <c r="S2225" t="s">
        <v>8794</v>
      </c>
      <c r="T2225" t="s">
        <v>8795</v>
      </c>
    </row>
    <row r="2226" spans="1:20">
      <c r="A2226" s="241">
        <v>44001</v>
      </c>
      <c r="B2226" t="s">
        <v>10562</v>
      </c>
      <c r="C2226" t="s">
        <v>382</v>
      </c>
      <c r="D2226" t="s">
        <v>392</v>
      </c>
      <c r="E2226" t="s">
        <v>2544</v>
      </c>
      <c r="F2226" t="s">
        <v>2579</v>
      </c>
      <c r="G2226" t="s">
        <v>404</v>
      </c>
      <c r="H2226" t="s">
        <v>405</v>
      </c>
      <c r="I2226" t="s">
        <v>1134</v>
      </c>
      <c r="J2226" t="s">
        <v>387</v>
      </c>
      <c r="K2226" t="s">
        <v>280</v>
      </c>
      <c r="L2226">
        <v>0.86</v>
      </c>
      <c r="M2226" t="s">
        <v>10563</v>
      </c>
      <c r="N2226" t="s">
        <v>10564</v>
      </c>
      <c r="O2226" t="s">
        <v>10565</v>
      </c>
      <c r="P2226" t="s">
        <v>485</v>
      </c>
      <c r="Q2226" t="s">
        <v>8794</v>
      </c>
      <c r="R2226" t="s">
        <v>8795</v>
      </c>
      <c r="S2226" t="s">
        <v>8794</v>
      </c>
      <c r="T2226" t="s">
        <v>8795</v>
      </c>
    </row>
    <row r="2227" spans="1:20">
      <c r="A2227" s="241">
        <v>44001</v>
      </c>
      <c r="B2227" t="s">
        <v>10566</v>
      </c>
      <c r="C2227" t="s">
        <v>1079</v>
      </c>
      <c r="D2227" t="s">
        <v>343</v>
      </c>
      <c r="E2227" t="s">
        <v>2893</v>
      </c>
      <c r="F2227" t="s">
        <v>2227</v>
      </c>
      <c r="G2227" t="s">
        <v>1610</v>
      </c>
      <c r="H2227" t="s">
        <v>395</v>
      </c>
      <c r="I2227" t="s">
        <v>396</v>
      </c>
      <c r="J2227" t="s">
        <v>1298</v>
      </c>
      <c r="K2227" t="s">
        <v>338</v>
      </c>
      <c r="L2227">
        <v>0.86</v>
      </c>
      <c r="M2227" t="s">
        <v>10567</v>
      </c>
      <c r="N2227" t="s">
        <v>10568</v>
      </c>
      <c r="O2227" t="s">
        <v>10569</v>
      </c>
      <c r="P2227" t="s">
        <v>485</v>
      </c>
      <c r="Q2227" t="s">
        <v>8794</v>
      </c>
      <c r="R2227" t="s">
        <v>8795</v>
      </c>
      <c r="S2227" t="s">
        <v>8794</v>
      </c>
      <c r="T2227" t="s">
        <v>8795</v>
      </c>
    </row>
    <row r="2228" spans="1:20">
      <c r="A2228" s="241">
        <v>44001</v>
      </c>
      <c r="B2228" t="s">
        <v>10570</v>
      </c>
      <c r="C2228" t="s">
        <v>1139</v>
      </c>
      <c r="D2228" t="s">
        <v>382</v>
      </c>
      <c r="E2228" t="s">
        <v>2870</v>
      </c>
      <c r="F2228" t="s">
        <v>1315</v>
      </c>
      <c r="G2228" t="s">
        <v>931</v>
      </c>
      <c r="H2228" t="s">
        <v>713</v>
      </c>
      <c r="I2228" t="s">
        <v>698</v>
      </c>
      <c r="J2228" t="s">
        <v>1569</v>
      </c>
      <c r="K2228" t="s">
        <v>299</v>
      </c>
      <c r="L2228">
        <v>0.86</v>
      </c>
      <c r="M2228" t="s">
        <v>10571</v>
      </c>
      <c r="N2228" t="s">
        <v>10572</v>
      </c>
      <c r="O2228" t="s">
        <v>10573</v>
      </c>
      <c r="P2228" t="s">
        <v>485</v>
      </c>
      <c r="Q2228" t="s">
        <v>8794</v>
      </c>
      <c r="R2228" t="s">
        <v>8795</v>
      </c>
      <c r="S2228" t="s">
        <v>8794</v>
      </c>
      <c r="T2228" t="s">
        <v>8795</v>
      </c>
    </row>
    <row r="2229" spans="1:20">
      <c r="A2229" s="241">
        <v>44001</v>
      </c>
      <c r="B2229" t="s">
        <v>10574</v>
      </c>
      <c r="C2229" t="s">
        <v>2535</v>
      </c>
      <c r="D2229" t="s">
        <v>556</v>
      </c>
      <c r="E2229" t="s">
        <v>2544</v>
      </c>
      <c r="F2229" t="s">
        <v>937</v>
      </c>
      <c r="G2229" t="s">
        <v>705</v>
      </c>
      <c r="H2229" t="s">
        <v>1147</v>
      </c>
      <c r="I2229" t="s">
        <v>698</v>
      </c>
      <c r="J2229" t="s">
        <v>691</v>
      </c>
      <c r="K2229" t="s">
        <v>280</v>
      </c>
      <c r="L2229">
        <v>0.86</v>
      </c>
      <c r="M2229" t="s">
        <v>10575</v>
      </c>
      <c r="N2229" t="s">
        <v>10576</v>
      </c>
      <c r="O2229" t="s">
        <v>10577</v>
      </c>
      <c r="P2229" t="s">
        <v>485</v>
      </c>
      <c r="Q2229" t="s">
        <v>8794</v>
      </c>
      <c r="R2229" t="s">
        <v>8795</v>
      </c>
      <c r="S2229" t="s">
        <v>8794</v>
      </c>
      <c r="T2229" t="s">
        <v>8795</v>
      </c>
    </row>
    <row r="2230" spans="1:20">
      <c r="A2230" s="241">
        <v>44001</v>
      </c>
      <c r="B2230" t="s">
        <v>10578</v>
      </c>
      <c r="C2230" t="s">
        <v>2549</v>
      </c>
      <c r="D2230" t="s">
        <v>443</v>
      </c>
      <c r="E2230" t="s">
        <v>2893</v>
      </c>
      <c r="F2230" t="s">
        <v>2227</v>
      </c>
      <c r="G2230" t="s">
        <v>931</v>
      </c>
      <c r="H2230" t="s">
        <v>323</v>
      </c>
      <c r="I2230" t="s">
        <v>1923</v>
      </c>
      <c r="J2230" t="s">
        <v>919</v>
      </c>
      <c r="K2230" t="s">
        <v>338</v>
      </c>
      <c r="L2230">
        <v>0.86</v>
      </c>
      <c r="M2230" t="s">
        <v>10579</v>
      </c>
      <c r="N2230" t="s">
        <v>10580</v>
      </c>
      <c r="O2230" t="s">
        <v>10581</v>
      </c>
      <c r="P2230" t="s">
        <v>485</v>
      </c>
      <c r="Q2230" t="s">
        <v>8794</v>
      </c>
      <c r="R2230" t="s">
        <v>8795</v>
      </c>
      <c r="S2230" t="s">
        <v>8794</v>
      </c>
      <c r="T2230" t="s">
        <v>8795</v>
      </c>
    </row>
    <row r="2231" spans="1:20">
      <c r="A2231" s="241">
        <v>44001</v>
      </c>
      <c r="B2231" t="s">
        <v>10582</v>
      </c>
      <c r="C2231" t="s">
        <v>208</v>
      </c>
      <c r="D2231" t="s">
        <v>382</v>
      </c>
      <c r="E2231" t="s">
        <v>2584</v>
      </c>
      <c r="F2231" t="s">
        <v>2227</v>
      </c>
      <c r="G2231" t="s">
        <v>728</v>
      </c>
      <c r="H2231" t="s">
        <v>647</v>
      </c>
      <c r="I2231" t="s">
        <v>436</v>
      </c>
      <c r="J2231" t="s">
        <v>407</v>
      </c>
      <c r="K2231" t="s">
        <v>338</v>
      </c>
      <c r="L2231">
        <v>0.86</v>
      </c>
      <c r="M2231" t="s">
        <v>10583</v>
      </c>
      <c r="N2231" t="s">
        <v>10584</v>
      </c>
      <c r="O2231" t="s">
        <v>10585</v>
      </c>
      <c r="P2231" t="s">
        <v>485</v>
      </c>
      <c r="Q2231" t="s">
        <v>8794</v>
      </c>
      <c r="R2231" t="s">
        <v>8795</v>
      </c>
      <c r="S2231" t="s">
        <v>8794</v>
      </c>
      <c r="T2231" t="s">
        <v>8795</v>
      </c>
    </row>
    <row r="2232" spans="1:20">
      <c r="A2232" s="241">
        <v>44001</v>
      </c>
      <c r="B2232" t="s">
        <v>10586</v>
      </c>
      <c r="C2232" t="s">
        <v>443</v>
      </c>
      <c r="D2232" t="s">
        <v>392</v>
      </c>
      <c r="E2232" t="s">
        <v>2893</v>
      </c>
      <c r="F2232" t="s">
        <v>3092</v>
      </c>
      <c r="G2232" t="s">
        <v>3072</v>
      </c>
      <c r="H2232" t="s">
        <v>323</v>
      </c>
      <c r="I2232" t="s">
        <v>721</v>
      </c>
      <c r="J2232" t="s">
        <v>437</v>
      </c>
      <c r="K2232" t="s">
        <v>327</v>
      </c>
      <c r="L2232">
        <v>0.86</v>
      </c>
      <c r="M2232" t="s">
        <v>10587</v>
      </c>
      <c r="N2232" t="s">
        <v>10588</v>
      </c>
      <c r="O2232" t="s">
        <v>10589</v>
      </c>
      <c r="P2232" t="s">
        <v>485</v>
      </c>
      <c r="Q2232" t="s">
        <v>8794</v>
      </c>
      <c r="R2232" t="s">
        <v>8795</v>
      </c>
      <c r="S2232" t="s">
        <v>8794</v>
      </c>
      <c r="T2232" t="s">
        <v>8795</v>
      </c>
    </row>
    <row r="2233" spans="1:20">
      <c r="A2233" s="241">
        <v>44001</v>
      </c>
      <c r="B2233" t="s">
        <v>10590</v>
      </c>
      <c r="C2233" t="s">
        <v>2535</v>
      </c>
      <c r="D2233" t="s">
        <v>208</v>
      </c>
      <c r="E2233" t="s">
        <v>2544</v>
      </c>
      <c r="F2233" t="s">
        <v>8716</v>
      </c>
      <c r="G2233" t="s">
        <v>453</v>
      </c>
      <c r="H2233" t="s">
        <v>672</v>
      </c>
      <c r="I2233" t="s">
        <v>7813</v>
      </c>
      <c r="J2233" t="s">
        <v>730</v>
      </c>
      <c r="K2233" t="s">
        <v>651</v>
      </c>
      <c r="L2233">
        <v>0.86</v>
      </c>
      <c r="M2233" t="s">
        <v>10591</v>
      </c>
      <c r="N2233" t="s">
        <v>10592</v>
      </c>
      <c r="O2233" t="s">
        <v>10593</v>
      </c>
      <c r="P2233" t="s">
        <v>485</v>
      </c>
      <c r="Q2233" t="s">
        <v>8794</v>
      </c>
      <c r="R2233" t="s">
        <v>8795</v>
      </c>
      <c r="S2233" t="s">
        <v>8794</v>
      </c>
      <c r="T2233" t="s">
        <v>8795</v>
      </c>
    </row>
    <row r="2234" spans="1:20">
      <c r="A2234" s="241">
        <v>44001</v>
      </c>
      <c r="B2234" t="s">
        <v>10594</v>
      </c>
      <c r="C2234" t="s">
        <v>614</v>
      </c>
      <c r="D2234" t="s">
        <v>1877</v>
      </c>
      <c r="E2234" t="s">
        <v>250</v>
      </c>
      <c r="F2234" t="s">
        <v>3477</v>
      </c>
      <c r="G2234" t="s">
        <v>10595</v>
      </c>
      <c r="H2234" t="s">
        <v>1968</v>
      </c>
      <c r="I2234" t="s">
        <v>10596</v>
      </c>
      <c r="J2234" t="s">
        <v>10597</v>
      </c>
      <c r="K2234" t="s">
        <v>10598</v>
      </c>
      <c r="L2234">
        <v>0.88</v>
      </c>
      <c r="M2234" t="s">
        <v>10599</v>
      </c>
      <c r="N2234" t="s">
        <v>10600</v>
      </c>
      <c r="O2234" t="s">
        <v>10601</v>
      </c>
      <c r="P2234" t="s">
        <v>485</v>
      </c>
      <c r="Q2234" t="s">
        <v>8794</v>
      </c>
      <c r="R2234" t="s">
        <v>8795</v>
      </c>
      <c r="S2234" t="s">
        <v>8794</v>
      </c>
      <c r="T2234" t="s">
        <v>8795</v>
      </c>
    </row>
    <row r="2235" spans="1:20">
      <c r="A2235" s="241">
        <v>44001</v>
      </c>
      <c r="B2235" t="s">
        <v>10602</v>
      </c>
      <c r="C2235" t="s">
        <v>1666</v>
      </c>
      <c r="D2235" t="s">
        <v>1176</v>
      </c>
      <c r="E2235" t="s">
        <v>207</v>
      </c>
      <c r="F2235" t="s">
        <v>6103</v>
      </c>
      <c r="G2235" t="s">
        <v>10603</v>
      </c>
      <c r="H2235" t="s">
        <v>3120</v>
      </c>
      <c r="I2235" t="s">
        <v>2240</v>
      </c>
      <c r="J2235" t="s">
        <v>6227</v>
      </c>
      <c r="K2235" t="s">
        <v>4349</v>
      </c>
      <c r="L2235">
        <v>0.89</v>
      </c>
      <c r="M2235" t="s">
        <v>10604</v>
      </c>
      <c r="N2235" t="s">
        <v>10605</v>
      </c>
      <c r="O2235" t="s">
        <v>10606</v>
      </c>
      <c r="P2235" t="s">
        <v>485</v>
      </c>
      <c r="Q2235" t="s">
        <v>8794</v>
      </c>
      <c r="R2235" t="s">
        <v>8795</v>
      </c>
      <c r="S2235" t="s">
        <v>8794</v>
      </c>
      <c r="T2235" t="s">
        <v>8795</v>
      </c>
    </row>
    <row r="2236" spans="1:20">
      <c r="A2236" s="241">
        <v>44001</v>
      </c>
      <c r="B2236" t="s">
        <v>10607</v>
      </c>
      <c r="C2236" t="s">
        <v>2644</v>
      </c>
      <c r="D2236" t="s">
        <v>3831</v>
      </c>
      <c r="E2236" t="s">
        <v>274</v>
      </c>
      <c r="F2236" t="s">
        <v>1358</v>
      </c>
      <c r="G2236" t="s">
        <v>3689</v>
      </c>
      <c r="H2236" t="s">
        <v>3833</v>
      </c>
      <c r="I2236" t="s">
        <v>3129</v>
      </c>
      <c r="J2236" t="s">
        <v>3130</v>
      </c>
      <c r="K2236" t="s">
        <v>2259</v>
      </c>
      <c r="L2236">
        <v>0.89</v>
      </c>
      <c r="M2236" t="s">
        <v>10608</v>
      </c>
      <c r="N2236" t="s">
        <v>10609</v>
      </c>
      <c r="O2236" t="s">
        <v>10610</v>
      </c>
      <c r="P2236" t="s">
        <v>485</v>
      </c>
      <c r="Q2236" t="s">
        <v>8794</v>
      </c>
      <c r="R2236" t="s">
        <v>8795</v>
      </c>
      <c r="S2236" t="s">
        <v>8794</v>
      </c>
      <c r="T2236" t="s">
        <v>8795</v>
      </c>
    </row>
    <row r="2237" spans="1:20">
      <c r="A2237" s="241">
        <v>44001</v>
      </c>
      <c r="B2237" t="s">
        <v>10611</v>
      </c>
      <c r="C2237" t="s">
        <v>1376</v>
      </c>
      <c r="D2237" t="s">
        <v>1665</v>
      </c>
      <c r="E2237" t="s">
        <v>207</v>
      </c>
      <c r="F2237" t="s">
        <v>766</v>
      </c>
      <c r="G2237" t="s">
        <v>3977</v>
      </c>
      <c r="H2237" t="s">
        <v>4355</v>
      </c>
      <c r="I2237" t="s">
        <v>2646</v>
      </c>
      <c r="J2237" t="s">
        <v>2647</v>
      </c>
      <c r="K2237" t="s">
        <v>494</v>
      </c>
      <c r="L2237">
        <v>0.89</v>
      </c>
      <c r="M2237" t="s">
        <v>10612</v>
      </c>
      <c r="N2237" t="s">
        <v>10613</v>
      </c>
      <c r="O2237" t="s">
        <v>10614</v>
      </c>
      <c r="P2237" t="s">
        <v>485</v>
      </c>
      <c r="Q2237" t="s">
        <v>8794</v>
      </c>
      <c r="R2237" t="s">
        <v>8795</v>
      </c>
      <c r="S2237" t="s">
        <v>8794</v>
      </c>
      <c r="T2237" t="s">
        <v>8795</v>
      </c>
    </row>
    <row r="2238" spans="1:20">
      <c r="A2238" s="241">
        <v>44001</v>
      </c>
      <c r="B2238" t="s">
        <v>10615</v>
      </c>
      <c r="C2238" t="s">
        <v>614</v>
      </c>
      <c r="D2238" t="s">
        <v>2478</v>
      </c>
      <c r="E2238" t="s">
        <v>402</v>
      </c>
      <c r="F2238" t="s">
        <v>10616</v>
      </c>
      <c r="G2238" t="s">
        <v>10617</v>
      </c>
      <c r="H2238" t="s">
        <v>2654</v>
      </c>
      <c r="I2238" t="s">
        <v>10618</v>
      </c>
      <c r="J2238" t="s">
        <v>10346</v>
      </c>
      <c r="K2238" t="s">
        <v>7292</v>
      </c>
      <c r="L2238">
        <v>0.87</v>
      </c>
      <c r="M2238" t="s">
        <v>10619</v>
      </c>
      <c r="N2238" t="s">
        <v>10620</v>
      </c>
      <c r="O2238" t="s">
        <v>10621</v>
      </c>
      <c r="P2238" t="s">
        <v>485</v>
      </c>
      <c r="Q2238" t="s">
        <v>8794</v>
      </c>
      <c r="R2238" t="s">
        <v>8795</v>
      </c>
      <c r="S2238" t="s">
        <v>8794</v>
      </c>
      <c r="T2238" t="s">
        <v>8795</v>
      </c>
    </row>
    <row r="2239" spans="1:20">
      <c r="A2239" s="241">
        <v>44001</v>
      </c>
      <c r="B2239" t="s">
        <v>10622</v>
      </c>
      <c r="C2239" t="s">
        <v>625</v>
      </c>
      <c r="D2239" t="s">
        <v>208</v>
      </c>
      <c r="E2239" t="s">
        <v>646</v>
      </c>
      <c r="F2239" t="s">
        <v>307</v>
      </c>
      <c r="G2239" t="s">
        <v>530</v>
      </c>
      <c r="H2239" t="s">
        <v>2305</v>
      </c>
      <c r="I2239" t="s">
        <v>2029</v>
      </c>
      <c r="J2239" t="s">
        <v>514</v>
      </c>
      <c r="K2239" t="s">
        <v>1003</v>
      </c>
      <c r="L2239">
        <v>0.86</v>
      </c>
      <c r="M2239" t="s">
        <v>10623</v>
      </c>
      <c r="N2239" t="s">
        <v>10624</v>
      </c>
      <c r="O2239" t="s">
        <v>10625</v>
      </c>
      <c r="P2239" t="s">
        <v>485</v>
      </c>
      <c r="Q2239" t="s">
        <v>8794</v>
      </c>
      <c r="R2239" t="s">
        <v>8795</v>
      </c>
      <c r="S2239" t="s">
        <v>8794</v>
      </c>
      <c r="T2239" t="s">
        <v>8795</v>
      </c>
    </row>
    <row r="2240" spans="1:20">
      <c r="A2240" s="241">
        <v>44001</v>
      </c>
      <c r="B2240" t="s">
        <v>10626</v>
      </c>
      <c r="C2240" t="s">
        <v>712</v>
      </c>
      <c r="D2240" t="s">
        <v>614</v>
      </c>
      <c r="E2240" t="s">
        <v>2880</v>
      </c>
      <c r="F2240" t="s">
        <v>539</v>
      </c>
      <c r="G2240" t="s">
        <v>1025</v>
      </c>
      <c r="H2240" t="s">
        <v>787</v>
      </c>
      <c r="I2240" t="s">
        <v>2024</v>
      </c>
      <c r="J2240" t="s">
        <v>523</v>
      </c>
      <c r="K2240" t="s">
        <v>1406</v>
      </c>
      <c r="L2240">
        <v>0.86</v>
      </c>
      <c r="M2240" t="s">
        <v>10627</v>
      </c>
      <c r="N2240" t="s">
        <v>10628</v>
      </c>
      <c r="O2240" t="s">
        <v>10629</v>
      </c>
      <c r="P2240" t="s">
        <v>485</v>
      </c>
      <c r="Q2240" t="s">
        <v>8794</v>
      </c>
      <c r="R2240" t="s">
        <v>8795</v>
      </c>
      <c r="S2240" t="s">
        <v>8794</v>
      </c>
      <c r="T2240" t="s">
        <v>8795</v>
      </c>
    </row>
    <row r="2241" spans="1:20">
      <c r="A2241" s="241">
        <v>44001</v>
      </c>
      <c r="B2241" t="s">
        <v>10630</v>
      </c>
      <c r="C2241" t="s">
        <v>679</v>
      </c>
      <c r="D2241" t="s">
        <v>1139</v>
      </c>
      <c r="E2241" t="s">
        <v>646</v>
      </c>
      <c r="F2241" t="s">
        <v>881</v>
      </c>
      <c r="G2241" t="s">
        <v>540</v>
      </c>
      <c r="H2241" t="s">
        <v>1709</v>
      </c>
      <c r="I2241" t="s">
        <v>542</v>
      </c>
      <c r="J2241" t="s">
        <v>1233</v>
      </c>
      <c r="K2241" t="s">
        <v>1406</v>
      </c>
      <c r="L2241">
        <v>0.86</v>
      </c>
      <c r="M2241" t="s">
        <v>10631</v>
      </c>
      <c r="N2241" t="s">
        <v>10632</v>
      </c>
      <c r="O2241" t="s">
        <v>10633</v>
      </c>
      <c r="P2241" t="s">
        <v>485</v>
      </c>
      <c r="Q2241" t="s">
        <v>8794</v>
      </c>
      <c r="R2241" t="s">
        <v>8795</v>
      </c>
      <c r="S2241" t="s">
        <v>8794</v>
      </c>
      <c r="T2241" t="s">
        <v>8795</v>
      </c>
    </row>
    <row r="2242" spans="1:20">
      <c r="A2242" s="241">
        <v>44001</v>
      </c>
      <c r="B2242" t="s">
        <v>10634</v>
      </c>
      <c r="C2242" t="s">
        <v>1079</v>
      </c>
      <c r="D2242" t="s">
        <v>1079</v>
      </c>
      <c r="E2242" t="s">
        <v>646</v>
      </c>
      <c r="F2242" t="s">
        <v>251</v>
      </c>
      <c r="G2242" t="s">
        <v>240</v>
      </c>
      <c r="H2242" t="s">
        <v>1038</v>
      </c>
      <c r="I2242" t="s">
        <v>1747</v>
      </c>
      <c r="J2242" t="s">
        <v>213</v>
      </c>
      <c r="K2242" t="s">
        <v>515</v>
      </c>
      <c r="L2242">
        <v>0.86</v>
      </c>
      <c r="M2242" t="s">
        <v>10635</v>
      </c>
      <c r="N2242" t="s">
        <v>10636</v>
      </c>
      <c r="O2242" t="s">
        <v>10637</v>
      </c>
      <c r="P2242" t="s">
        <v>485</v>
      </c>
      <c r="Q2242" t="s">
        <v>8794</v>
      </c>
      <c r="R2242" t="s">
        <v>8795</v>
      </c>
      <c r="S2242" t="s">
        <v>8794</v>
      </c>
      <c r="T2242" t="s">
        <v>8795</v>
      </c>
    </row>
    <row r="2243" spans="1:20">
      <c r="A2243" s="241">
        <v>44001</v>
      </c>
      <c r="B2243" t="s">
        <v>10638</v>
      </c>
      <c r="C2243" t="s">
        <v>615</v>
      </c>
      <c r="D2243" t="s">
        <v>614</v>
      </c>
      <c r="E2243" t="s">
        <v>225</v>
      </c>
      <c r="F2243" t="s">
        <v>590</v>
      </c>
      <c r="G2243" t="s">
        <v>540</v>
      </c>
      <c r="H2243" t="s">
        <v>1404</v>
      </c>
      <c r="I2243" t="s">
        <v>1421</v>
      </c>
      <c r="J2243" t="s">
        <v>213</v>
      </c>
      <c r="K2243" t="s">
        <v>571</v>
      </c>
      <c r="L2243">
        <v>0.87</v>
      </c>
      <c r="M2243" t="s">
        <v>10639</v>
      </c>
      <c r="N2243" t="s">
        <v>10640</v>
      </c>
      <c r="O2243" t="s">
        <v>10641</v>
      </c>
      <c r="P2243" t="s">
        <v>485</v>
      </c>
      <c r="Q2243" t="s">
        <v>8794</v>
      </c>
      <c r="R2243" t="s">
        <v>8795</v>
      </c>
      <c r="S2243" t="s">
        <v>8794</v>
      </c>
      <c r="T2243" t="s">
        <v>8795</v>
      </c>
    </row>
    <row r="2244" spans="1:20">
      <c r="A2244" s="241">
        <v>44001</v>
      </c>
      <c r="B2244" t="s">
        <v>10642</v>
      </c>
      <c r="C2244" t="s">
        <v>274</v>
      </c>
      <c r="D2244" t="s">
        <v>614</v>
      </c>
      <c r="E2244" t="s">
        <v>1049</v>
      </c>
      <c r="F2244" t="s">
        <v>881</v>
      </c>
      <c r="G2244" t="s">
        <v>2314</v>
      </c>
      <c r="H2244" t="s">
        <v>799</v>
      </c>
      <c r="I2244" t="s">
        <v>1031</v>
      </c>
      <c r="J2244" t="s">
        <v>2881</v>
      </c>
      <c r="K2244" t="s">
        <v>515</v>
      </c>
      <c r="L2244">
        <v>0.86</v>
      </c>
      <c r="M2244" t="s">
        <v>10643</v>
      </c>
      <c r="N2244" t="s">
        <v>10644</v>
      </c>
      <c r="O2244" t="s">
        <v>10645</v>
      </c>
      <c r="P2244" t="s">
        <v>485</v>
      </c>
      <c r="Q2244" t="s">
        <v>8794</v>
      </c>
      <c r="R2244" t="s">
        <v>8795</v>
      </c>
      <c r="S2244" t="s">
        <v>8794</v>
      </c>
      <c r="T2244" t="s">
        <v>8795</v>
      </c>
    </row>
    <row r="2245" spans="1:20">
      <c r="A2245" s="241">
        <v>44001</v>
      </c>
      <c r="B2245" t="s">
        <v>10646</v>
      </c>
      <c r="C2245" t="s">
        <v>274</v>
      </c>
      <c r="D2245" t="s">
        <v>679</v>
      </c>
      <c r="E2245" t="s">
        <v>646</v>
      </c>
      <c r="F2245" t="s">
        <v>584</v>
      </c>
      <c r="G2245" t="s">
        <v>1433</v>
      </c>
      <c r="H2245" t="s">
        <v>241</v>
      </c>
      <c r="I2245" t="s">
        <v>560</v>
      </c>
      <c r="J2245" t="s">
        <v>1039</v>
      </c>
      <c r="K2245" t="s">
        <v>515</v>
      </c>
      <c r="L2245">
        <v>0.86</v>
      </c>
      <c r="M2245" t="s">
        <v>10647</v>
      </c>
      <c r="N2245" t="s">
        <v>10648</v>
      </c>
      <c r="O2245" t="s">
        <v>10649</v>
      </c>
      <c r="P2245" t="s">
        <v>485</v>
      </c>
      <c r="Q2245" t="s">
        <v>8794</v>
      </c>
      <c r="R2245" t="s">
        <v>8795</v>
      </c>
      <c r="S2245" t="s">
        <v>8794</v>
      </c>
      <c r="T2245" t="s">
        <v>8795</v>
      </c>
    </row>
    <row r="2246" spans="1:20">
      <c r="A2246" s="241">
        <v>44001</v>
      </c>
      <c r="B2246" t="s">
        <v>10650</v>
      </c>
      <c r="C2246" t="s">
        <v>631</v>
      </c>
      <c r="D2246" t="s">
        <v>2535</v>
      </c>
      <c r="E2246" t="s">
        <v>1049</v>
      </c>
      <c r="F2246" t="s">
        <v>1756</v>
      </c>
      <c r="G2246" t="s">
        <v>276</v>
      </c>
      <c r="H2246" t="s">
        <v>228</v>
      </c>
      <c r="I2246" t="s">
        <v>229</v>
      </c>
      <c r="J2246" t="s">
        <v>1245</v>
      </c>
      <c r="K2246" t="s">
        <v>515</v>
      </c>
      <c r="L2246">
        <v>0.86</v>
      </c>
      <c r="M2246" t="s">
        <v>10651</v>
      </c>
      <c r="N2246" t="s">
        <v>10652</v>
      </c>
      <c r="O2246" t="s">
        <v>10653</v>
      </c>
      <c r="P2246" t="s">
        <v>485</v>
      </c>
      <c r="Q2246" t="s">
        <v>8794</v>
      </c>
      <c r="R2246" t="s">
        <v>8795</v>
      </c>
      <c r="S2246" t="s">
        <v>8794</v>
      </c>
      <c r="T2246" t="s">
        <v>8795</v>
      </c>
    </row>
    <row r="2247" spans="1:20">
      <c r="A2247" s="241">
        <v>44001</v>
      </c>
      <c r="B2247" t="s">
        <v>10654</v>
      </c>
      <c r="C2247" t="s">
        <v>671</v>
      </c>
      <c r="D2247" t="s">
        <v>2549</v>
      </c>
      <c r="E2247" t="s">
        <v>1049</v>
      </c>
      <c r="F2247" t="s">
        <v>576</v>
      </c>
      <c r="G2247" t="s">
        <v>1781</v>
      </c>
      <c r="H2247" t="s">
        <v>1388</v>
      </c>
      <c r="I2247" t="s">
        <v>824</v>
      </c>
      <c r="J2247" t="s">
        <v>243</v>
      </c>
      <c r="K2247" t="s">
        <v>534</v>
      </c>
      <c r="L2247">
        <v>0.86</v>
      </c>
      <c r="M2247" t="s">
        <v>10655</v>
      </c>
      <c r="N2247" t="s">
        <v>10656</v>
      </c>
      <c r="O2247" t="s">
        <v>10657</v>
      </c>
      <c r="P2247" t="s">
        <v>485</v>
      </c>
      <c r="Q2247" t="s">
        <v>8794</v>
      </c>
      <c r="R2247" t="s">
        <v>8795</v>
      </c>
      <c r="S2247" t="s">
        <v>8794</v>
      </c>
      <c r="T2247" t="s">
        <v>8795</v>
      </c>
    </row>
    <row r="2248" spans="1:20">
      <c r="A2248" s="241">
        <v>44001</v>
      </c>
      <c r="B2248" t="s">
        <v>10658</v>
      </c>
      <c r="C2248" t="s">
        <v>631</v>
      </c>
      <c r="D2248" t="s">
        <v>1139</v>
      </c>
      <c r="E2248" t="s">
        <v>1102</v>
      </c>
      <c r="F2248" t="s">
        <v>926</v>
      </c>
      <c r="G2248" t="s">
        <v>599</v>
      </c>
      <c r="H2248" t="s">
        <v>1057</v>
      </c>
      <c r="I2248" t="s">
        <v>1468</v>
      </c>
      <c r="J2248" t="s">
        <v>1063</v>
      </c>
      <c r="K2248" t="s">
        <v>1032</v>
      </c>
      <c r="L2248">
        <v>0.86</v>
      </c>
      <c r="M2248" t="s">
        <v>10659</v>
      </c>
      <c r="N2248" t="s">
        <v>10660</v>
      </c>
      <c r="O2248" t="s">
        <v>10661</v>
      </c>
      <c r="P2248" t="s">
        <v>485</v>
      </c>
      <c r="Q2248" t="s">
        <v>8794</v>
      </c>
      <c r="R2248" t="s">
        <v>8795</v>
      </c>
      <c r="S2248" t="s">
        <v>8794</v>
      </c>
      <c r="T2248" t="s">
        <v>8795</v>
      </c>
    </row>
    <row r="2249" spans="1:20">
      <c r="A2249" s="241">
        <v>44001</v>
      </c>
      <c r="B2249" t="s">
        <v>10662</v>
      </c>
      <c r="C2249" t="s">
        <v>712</v>
      </c>
      <c r="D2249" t="s">
        <v>392</v>
      </c>
      <c r="E2249" t="s">
        <v>1314</v>
      </c>
      <c r="F2249" t="s">
        <v>835</v>
      </c>
      <c r="G2249" t="s">
        <v>607</v>
      </c>
      <c r="H2249" t="s">
        <v>307</v>
      </c>
      <c r="I2249" t="s">
        <v>1468</v>
      </c>
      <c r="J2249" t="s">
        <v>578</v>
      </c>
      <c r="K2249" t="s">
        <v>1399</v>
      </c>
      <c r="L2249">
        <v>0.86</v>
      </c>
      <c r="M2249" t="s">
        <v>10663</v>
      </c>
      <c r="N2249" t="s">
        <v>10664</v>
      </c>
      <c r="O2249" t="s">
        <v>10665</v>
      </c>
      <c r="P2249" t="s">
        <v>485</v>
      </c>
      <c r="Q2249" t="s">
        <v>8794</v>
      </c>
      <c r="R2249" t="s">
        <v>8795</v>
      </c>
      <c r="S2249" t="s">
        <v>8794</v>
      </c>
      <c r="T2249" t="s">
        <v>8795</v>
      </c>
    </row>
    <row r="2250" spans="1:20">
      <c r="A2250" s="241">
        <v>44001</v>
      </c>
      <c r="B2250" t="s">
        <v>10666</v>
      </c>
      <c r="C2250" t="s">
        <v>2535</v>
      </c>
      <c r="D2250" t="s">
        <v>208</v>
      </c>
      <c r="E2250" t="s">
        <v>646</v>
      </c>
      <c r="F2250" t="s">
        <v>305</v>
      </c>
      <c r="G2250" t="s">
        <v>1068</v>
      </c>
      <c r="H2250" t="s">
        <v>1069</v>
      </c>
      <c r="I2250" t="s">
        <v>1264</v>
      </c>
      <c r="J2250" t="s">
        <v>279</v>
      </c>
      <c r="K2250" t="s">
        <v>231</v>
      </c>
      <c r="L2250">
        <v>0.86</v>
      </c>
      <c r="M2250" t="s">
        <v>10667</v>
      </c>
      <c r="N2250" t="s">
        <v>10668</v>
      </c>
      <c r="O2250" t="s">
        <v>10669</v>
      </c>
      <c r="P2250" t="s">
        <v>485</v>
      </c>
      <c r="Q2250" t="s">
        <v>8794</v>
      </c>
      <c r="R2250" t="s">
        <v>8795</v>
      </c>
      <c r="S2250" t="s">
        <v>8794</v>
      </c>
      <c r="T2250" t="s">
        <v>8795</v>
      </c>
    </row>
    <row r="2251" spans="1:20">
      <c r="A2251" s="241">
        <v>44001</v>
      </c>
      <c r="B2251" t="s">
        <v>10670</v>
      </c>
      <c r="C2251" t="s">
        <v>442</v>
      </c>
      <c r="D2251" t="s">
        <v>392</v>
      </c>
      <c r="E2251" t="s">
        <v>304</v>
      </c>
      <c r="F2251" t="s">
        <v>590</v>
      </c>
      <c r="G2251" t="s">
        <v>3284</v>
      </c>
      <c r="H2251" t="s">
        <v>239</v>
      </c>
      <c r="I2251" t="s">
        <v>308</v>
      </c>
      <c r="J2251" t="s">
        <v>857</v>
      </c>
      <c r="K2251" t="s">
        <v>579</v>
      </c>
      <c r="L2251">
        <v>0.86</v>
      </c>
      <c r="M2251" t="s">
        <v>10671</v>
      </c>
      <c r="N2251" t="s">
        <v>10672</v>
      </c>
      <c r="O2251" t="s">
        <v>10673</v>
      </c>
      <c r="P2251" t="s">
        <v>485</v>
      </c>
      <c r="Q2251" t="s">
        <v>8794</v>
      </c>
      <c r="R2251" t="s">
        <v>8795</v>
      </c>
      <c r="S2251" t="s">
        <v>8794</v>
      </c>
      <c r="T2251" t="s">
        <v>8795</v>
      </c>
    </row>
    <row r="2252" spans="1:20">
      <c r="A2252" s="241">
        <v>44001</v>
      </c>
      <c r="B2252" t="s">
        <v>10674</v>
      </c>
      <c r="C2252" t="s">
        <v>614</v>
      </c>
      <c r="D2252" t="s">
        <v>671</v>
      </c>
      <c r="E2252" t="s">
        <v>3054</v>
      </c>
      <c r="F2252" t="s">
        <v>706</v>
      </c>
      <c r="G2252" t="s">
        <v>591</v>
      </c>
      <c r="H2252" t="s">
        <v>618</v>
      </c>
      <c r="I2252" t="s">
        <v>308</v>
      </c>
      <c r="J2252" t="s">
        <v>857</v>
      </c>
      <c r="K2252" t="s">
        <v>579</v>
      </c>
      <c r="L2252">
        <v>0.86</v>
      </c>
      <c r="M2252" t="s">
        <v>10675</v>
      </c>
      <c r="N2252" t="s">
        <v>10676</v>
      </c>
      <c r="O2252" t="s">
        <v>10677</v>
      </c>
      <c r="P2252" t="s">
        <v>485</v>
      </c>
      <c r="Q2252" t="s">
        <v>10678</v>
      </c>
      <c r="R2252" t="s">
        <v>10679</v>
      </c>
      <c r="S2252" t="s">
        <v>10678</v>
      </c>
      <c r="T2252" t="s">
        <v>10679</v>
      </c>
    </row>
    <row r="2253" spans="1:20">
      <c r="A2253" s="241">
        <v>44001</v>
      </c>
      <c r="B2253" t="s">
        <v>10680</v>
      </c>
      <c r="C2253" t="s">
        <v>237</v>
      </c>
      <c r="D2253" t="s">
        <v>645</v>
      </c>
      <c r="E2253" t="s">
        <v>606</v>
      </c>
      <c r="F2253" t="s">
        <v>633</v>
      </c>
      <c r="G2253" t="s">
        <v>384</v>
      </c>
      <c r="H2253" t="s">
        <v>529</v>
      </c>
      <c r="I2253" t="s">
        <v>1842</v>
      </c>
      <c r="J2253" t="s">
        <v>1495</v>
      </c>
      <c r="K2253" t="s">
        <v>280</v>
      </c>
      <c r="L2253">
        <v>0.86</v>
      </c>
      <c r="M2253" t="s">
        <v>10681</v>
      </c>
      <c r="N2253" t="s">
        <v>10682</v>
      </c>
      <c r="O2253" t="s">
        <v>10683</v>
      </c>
      <c r="P2253" t="s">
        <v>485</v>
      </c>
      <c r="Q2253" t="s">
        <v>10678</v>
      </c>
      <c r="R2253" t="s">
        <v>10679</v>
      </c>
      <c r="S2253" t="s">
        <v>10678</v>
      </c>
      <c r="T2253" t="s">
        <v>10679</v>
      </c>
    </row>
    <row r="2254" spans="1:20">
      <c r="A2254" s="241">
        <v>44001</v>
      </c>
      <c r="B2254" t="s">
        <v>10684</v>
      </c>
      <c r="C2254" t="s">
        <v>645</v>
      </c>
      <c r="D2254" t="s">
        <v>392</v>
      </c>
      <c r="E2254" t="s">
        <v>2769</v>
      </c>
      <c r="F2254" t="s">
        <v>2151</v>
      </c>
      <c r="G2254" t="s">
        <v>324</v>
      </c>
      <c r="H2254" t="s">
        <v>346</v>
      </c>
      <c r="I2254" t="s">
        <v>1811</v>
      </c>
      <c r="J2254" t="s">
        <v>309</v>
      </c>
      <c r="K2254" t="s">
        <v>244</v>
      </c>
      <c r="L2254">
        <v>0.86</v>
      </c>
      <c r="M2254" t="s">
        <v>10685</v>
      </c>
      <c r="N2254" t="s">
        <v>10686</v>
      </c>
      <c r="O2254" t="s">
        <v>10687</v>
      </c>
      <c r="P2254" t="s">
        <v>485</v>
      </c>
      <c r="Q2254" t="s">
        <v>10678</v>
      </c>
      <c r="R2254" t="s">
        <v>10679</v>
      </c>
      <c r="S2254" t="s">
        <v>10678</v>
      </c>
      <c r="T2254" t="s">
        <v>10679</v>
      </c>
    </row>
    <row r="2255" spans="1:20">
      <c r="A2255" s="241">
        <v>44001</v>
      </c>
      <c r="B2255" t="s">
        <v>10688</v>
      </c>
      <c r="C2255" t="s">
        <v>2549</v>
      </c>
      <c r="D2255" t="s">
        <v>392</v>
      </c>
      <c r="E2255" t="s">
        <v>1049</v>
      </c>
      <c r="F2255" t="s">
        <v>897</v>
      </c>
      <c r="G2255" t="s">
        <v>1483</v>
      </c>
      <c r="H2255" t="s">
        <v>1255</v>
      </c>
      <c r="I2255" t="s">
        <v>1842</v>
      </c>
      <c r="J2255" t="s">
        <v>870</v>
      </c>
      <c r="K2255" t="s">
        <v>214</v>
      </c>
      <c r="L2255">
        <v>0.86</v>
      </c>
      <c r="M2255" t="s">
        <v>10689</v>
      </c>
      <c r="N2255" t="s">
        <v>10690</v>
      </c>
      <c r="O2255" t="s">
        <v>10691</v>
      </c>
      <c r="P2255" t="s">
        <v>485</v>
      </c>
      <c r="Q2255" t="s">
        <v>10678</v>
      </c>
      <c r="R2255" t="s">
        <v>10679</v>
      </c>
      <c r="S2255" t="s">
        <v>10678</v>
      </c>
      <c r="T2255" t="s">
        <v>10679</v>
      </c>
    </row>
    <row r="2256" spans="1:20">
      <c r="A2256" s="241">
        <v>44001</v>
      </c>
      <c r="B2256" t="s">
        <v>10692</v>
      </c>
      <c r="C2256" t="s">
        <v>645</v>
      </c>
      <c r="D2256" t="s">
        <v>2549</v>
      </c>
      <c r="E2256" t="s">
        <v>2584</v>
      </c>
      <c r="F2256" t="s">
        <v>445</v>
      </c>
      <c r="G2256" t="s">
        <v>2764</v>
      </c>
      <c r="H2256" t="s">
        <v>263</v>
      </c>
      <c r="I2256" t="s">
        <v>1097</v>
      </c>
      <c r="J2256" t="s">
        <v>1092</v>
      </c>
      <c r="K2256" t="s">
        <v>1032</v>
      </c>
      <c r="L2256">
        <v>0.86</v>
      </c>
      <c r="M2256" t="s">
        <v>10693</v>
      </c>
      <c r="N2256" t="s">
        <v>10694</v>
      </c>
      <c r="O2256" t="s">
        <v>10695</v>
      </c>
      <c r="P2256" t="s">
        <v>485</v>
      </c>
      <c r="Q2256" t="s">
        <v>10678</v>
      </c>
      <c r="R2256" t="s">
        <v>10679</v>
      </c>
      <c r="S2256" t="s">
        <v>10678</v>
      </c>
      <c r="T2256" t="s">
        <v>10679</v>
      </c>
    </row>
    <row r="2257" spans="1:20">
      <c r="A2257" s="241">
        <v>44001</v>
      </c>
      <c r="B2257" t="s">
        <v>10696</v>
      </c>
      <c r="C2257" t="s">
        <v>631</v>
      </c>
      <c r="D2257" t="s">
        <v>402</v>
      </c>
      <c r="E2257" t="s">
        <v>2731</v>
      </c>
      <c r="F2257" t="s">
        <v>647</v>
      </c>
      <c r="G2257" t="s">
        <v>1104</v>
      </c>
      <c r="H2257" t="s">
        <v>1050</v>
      </c>
      <c r="I2257" t="s">
        <v>347</v>
      </c>
      <c r="J2257" t="s">
        <v>634</v>
      </c>
      <c r="K2257" t="s">
        <v>244</v>
      </c>
      <c r="L2257">
        <v>0.86</v>
      </c>
      <c r="M2257" t="s">
        <v>10697</v>
      </c>
      <c r="N2257" t="s">
        <v>10698</v>
      </c>
      <c r="O2257" t="s">
        <v>10699</v>
      </c>
      <c r="P2257" t="s">
        <v>485</v>
      </c>
      <c r="Q2257" t="s">
        <v>10678</v>
      </c>
      <c r="R2257" t="s">
        <v>10679</v>
      </c>
      <c r="S2257" t="s">
        <v>10678</v>
      </c>
      <c r="T2257" t="s">
        <v>10679</v>
      </c>
    </row>
    <row r="2258" spans="1:20">
      <c r="A2258" s="241">
        <v>44001</v>
      </c>
      <c r="B2258" t="s">
        <v>10700</v>
      </c>
      <c r="C2258" t="s">
        <v>392</v>
      </c>
      <c r="D2258" t="s">
        <v>2535</v>
      </c>
      <c r="E2258" t="s">
        <v>1102</v>
      </c>
      <c r="F2258" t="s">
        <v>383</v>
      </c>
      <c r="G2258" t="s">
        <v>1110</v>
      </c>
      <c r="H2258" t="s">
        <v>590</v>
      </c>
      <c r="I2258" t="s">
        <v>1859</v>
      </c>
      <c r="J2258" t="s">
        <v>348</v>
      </c>
      <c r="K2258" t="s">
        <v>244</v>
      </c>
      <c r="L2258">
        <v>0.86</v>
      </c>
      <c r="M2258" t="s">
        <v>10701</v>
      </c>
      <c r="N2258" t="s">
        <v>10702</v>
      </c>
      <c r="O2258" t="s">
        <v>10703</v>
      </c>
      <c r="P2258" t="s">
        <v>485</v>
      </c>
      <c r="Q2258" t="s">
        <v>10678</v>
      </c>
      <c r="R2258" t="s">
        <v>10679</v>
      </c>
      <c r="S2258" t="s">
        <v>10678</v>
      </c>
      <c r="T2258" t="s">
        <v>10679</v>
      </c>
    </row>
    <row r="2259" spans="1:20">
      <c r="A2259" s="241">
        <v>44001</v>
      </c>
      <c r="B2259" t="s">
        <v>10704</v>
      </c>
      <c r="C2259" t="s">
        <v>679</v>
      </c>
      <c r="D2259" t="s">
        <v>208</v>
      </c>
      <c r="E2259" t="s">
        <v>1314</v>
      </c>
      <c r="F2259" t="s">
        <v>1882</v>
      </c>
      <c r="G2259" t="s">
        <v>1590</v>
      </c>
      <c r="H2259" t="s">
        <v>598</v>
      </c>
      <c r="I2259" t="s">
        <v>367</v>
      </c>
      <c r="J2259" t="s">
        <v>358</v>
      </c>
      <c r="K2259" t="s">
        <v>256</v>
      </c>
      <c r="L2259">
        <v>0.86</v>
      </c>
      <c r="M2259" t="s">
        <v>10705</v>
      </c>
      <c r="N2259" t="s">
        <v>10706</v>
      </c>
      <c r="O2259" t="s">
        <v>10707</v>
      </c>
      <c r="P2259" t="s">
        <v>485</v>
      </c>
      <c r="Q2259" t="s">
        <v>10678</v>
      </c>
      <c r="R2259" t="s">
        <v>10679</v>
      </c>
      <c r="S2259" t="s">
        <v>10678</v>
      </c>
      <c r="T2259" t="s">
        <v>10679</v>
      </c>
    </row>
    <row r="2260" spans="1:20">
      <c r="A2260" s="241">
        <v>44001</v>
      </c>
      <c r="B2260" t="s">
        <v>10708</v>
      </c>
      <c r="C2260" t="s">
        <v>631</v>
      </c>
      <c r="D2260" t="s">
        <v>343</v>
      </c>
      <c r="E2260" t="s">
        <v>1049</v>
      </c>
      <c r="F2260" t="s">
        <v>1303</v>
      </c>
      <c r="G2260" t="s">
        <v>2177</v>
      </c>
      <c r="H2260" t="s">
        <v>285</v>
      </c>
      <c r="I2260" t="s">
        <v>376</v>
      </c>
      <c r="J2260" t="s">
        <v>657</v>
      </c>
      <c r="K2260" t="s">
        <v>256</v>
      </c>
      <c r="L2260">
        <v>0.86</v>
      </c>
      <c r="M2260" t="s">
        <v>10709</v>
      </c>
      <c r="N2260" t="s">
        <v>10710</v>
      </c>
      <c r="O2260" t="s">
        <v>10711</v>
      </c>
      <c r="P2260" t="s">
        <v>485</v>
      </c>
      <c r="Q2260" t="s">
        <v>10678</v>
      </c>
      <c r="R2260" t="s">
        <v>10679</v>
      </c>
      <c r="S2260" t="s">
        <v>10678</v>
      </c>
      <c r="T2260" t="s">
        <v>10679</v>
      </c>
    </row>
    <row r="2261" spans="1:20">
      <c r="A2261" s="241">
        <v>44001</v>
      </c>
      <c r="B2261" t="s">
        <v>10712</v>
      </c>
      <c r="C2261" t="s">
        <v>2549</v>
      </c>
      <c r="D2261" t="s">
        <v>2535</v>
      </c>
      <c r="E2261" t="s">
        <v>1314</v>
      </c>
      <c r="F2261" t="s">
        <v>403</v>
      </c>
      <c r="G2261" t="s">
        <v>898</v>
      </c>
      <c r="H2261" t="s">
        <v>426</v>
      </c>
      <c r="I2261" t="s">
        <v>1134</v>
      </c>
      <c r="J2261" t="s">
        <v>1128</v>
      </c>
      <c r="K2261" t="s">
        <v>299</v>
      </c>
      <c r="L2261">
        <v>0.86</v>
      </c>
      <c r="M2261" t="s">
        <v>10713</v>
      </c>
      <c r="N2261" t="s">
        <v>10714</v>
      </c>
      <c r="O2261" t="s">
        <v>10715</v>
      </c>
      <c r="P2261" t="s">
        <v>485</v>
      </c>
      <c r="Q2261" t="s">
        <v>10678</v>
      </c>
      <c r="R2261" t="s">
        <v>10679</v>
      </c>
      <c r="S2261" t="s">
        <v>10678</v>
      </c>
      <c r="T2261" t="s">
        <v>10679</v>
      </c>
    </row>
    <row r="2262" spans="1:20">
      <c r="A2262" s="241">
        <v>44001</v>
      </c>
      <c r="B2262" t="s">
        <v>10716</v>
      </c>
      <c r="C2262" t="s">
        <v>671</v>
      </c>
      <c r="D2262" t="s">
        <v>402</v>
      </c>
      <c r="E2262" t="s">
        <v>2769</v>
      </c>
      <c r="F2262" t="s">
        <v>1303</v>
      </c>
      <c r="G2262" t="s">
        <v>384</v>
      </c>
      <c r="H2262" t="s">
        <v>1552</v>
      </c>
      <c r="I2262" t="s">
        <v>1563</v>
      </c>
      <c r="J2262" t="s">
        <v>1128</v>
      </c>
      <c r="K2262" t="s">
        <v>280</v>
      </c>
      <c r="L2262">
        <v>0.86</v>
      </c>
      <c r="M2262" t="s">
        <v>10717</v>
      </c>
      <c r="N2262" t="s">
        <v>10718</v>
      </c>
      <c r="O2262" t="s">
        <v>10719</v>
      </c>
      <c r="P2262" t="s">
        <v>485</v>
      </c>
      <c r="Q2262" t="s">
        <v>10678</v>
      </c>
      <c r="R2262" t="s">
        <v>10679</v>
      </c>
      <c r="S2262" t="s">
        <v>10678</v>
      </c>
      <c r="T2262" t="s">
        <v>10679</v>
      </c>
    </row>
    <row r="2263" spans="1:20">
      <c r="A2263" s="241">
        <v>44001</v>
      </c>
      <c r="B2263" t="s">
        <v>10720</v>
      </c>
      <c r="C2263" t="s">
        <v>208</v>
      </c>
      <c r="D2263" t="s">
        <v>382</v>
      </c>
      <c r="E2263" t="s">
        <v>1049</v>
      </c>
      <c r="F2263" t="s">
        <v>1164</v>
      </c>
      <c r="G2263" t="s">
        <v>697</v>
      </c>
      <c r="H2263" t="s">
        <v>314</v>
      </c>
      <c r="I2263" t="s">
        <v>690</v>
      </c>
      <c r="J2263" t="s">
        <v>1569</v>
      </c>
      <c r="K2263" t="s">
        <v>338</v>
      </c>
      <c r="L2263">
        <v>0.86</v>
      </c>
      <c r="M2263" t="s">
        <v>10721</v>
      </c>
      <c r="N2263" t="s">
        <v>10722</v>
      </c>
      <c r="O2263" t="s">
        <v>10723</v>
      </c>
      <c r="P2263" t="s">
        <v>485</v>
      </c>
      <c r="Q2263" t="s">
        <v>10678</v>
      </c>
      <c r="R2263" t="s">
        <v>10679</v>
      </c>
      <c r="S2263" t="s">
        <v>10678</v>
      </c>
      <c r="T2263" t="s">
        <v>10679</v>
      </c>
    </row>
    <row r="2264" spans="1:20">
      <c r="A2264" s="241">
        <v>44001</v>
      </c>
      <c r="B2264" t="s">
        <v>10724</v>
      </c>
      <c r="C2264" t="s">
        <v>645</v>
      </c>
      <c r="D2264" t="s">
        <v>556</v>
      </c>
      <c r="E2264" t="s">
        <v>2584</v>
      </c>
      <c r="F2264" t="s">
        <v>1156</v>
      </c>
      <c r="G2264" t="s">
        <v>1610</v>
      </c>
      <c r="H2264" t="s">
        <v>405</v>
      </c>
      <c r="I2264" t="s">
        <v>1579</v>
      </c>
      <c r="J2264" t="s">
        <v>691</v>
      </c>
      <c r="K2264" t="s">
        <v>327</v>
      </c>
      <c r="L2264">
        <v>0.86</v>
      </c>
      <c r="M2264" t="s">
        <v>10725</v>
      </c>
      <c r="N2264" t="s">
        <v>10726</v>
      </c>
      <c r="O2264" t="s">
        <v>10727</v>
      </c>
      <c r="P2264" t="s">
        <v>485</v>
      </c>
      <c r="Q2264" t="s">
        <v>10678</v>
      </c>
      <c r="R2264" t="s">
        <v>10679</v>
      </c>
      <c r="S2264" t="s">
        <v>10678</v>
      </c>
      <c r="T2264" t="s">
        <v>10679</v>
      </c>
    </row>
    <row r="2265" spans="1:20">
      <c r="A2265" s="241">
        <v>44001</v>
      </c>
      <c r="B2265" t="s">
        <v>10728</v>
      </c>
      <c r="C2265" t="s">
        <v>712</v>
      </c>
      <c r="D2265" t="s">
        <v>1079</v>
      </c>
      <c r="E2265" t="s">
        <v>2731</v>
      </c>
      <c r="F2265" t="s">
        <v>1604</v>
      </c>
      <c r="G2265" t="s">
        <v>931</v>
      </c>
      <c r="H2265" t="s">
        <v>323</v>
      </c>
      <c r="I2265" t="s">
        <v>1140</v>
      </c>
      <c r="J2265" t="s">
        <v>919</v>
      </c>
      <c r="K2265" t="s">
        <v>369</v>
      </c>
      <c r="L2265">
        <v>0.86</v>
      </c>
      <c r="M2265" t="s">
        <v>10729</v>
      </c>
      <c r="N2265" t="s">
        <v>10730</v>
      </c>
      <c r="O2265" t="s">
        <v>10731</v>
      </c>
      <c r="P2265" t="s">
        <v>485</v>
      </c>
      <c r="Q2265" t="s">
        <v>10678</v>
      </c>
      <c r="R2265" t="s">
        <v>10679</v>
      </c>
      <c r="S2265" t="s">
        <v>10678</v>
      </c>
      <c r="T2265" t="s">
        <v>10679</v>
      </c>
    </row>
    <row r="2266" spans="1:20">
      <c r="A2266" s="241">
        <v>44001</v>
      </c>
      <c r="B2266" t="s">
        <v>10732</v>
      </c>
      <c r="C2266" t="s">
        <v>671</v>
      </c>
      <c r="D2266" t="s">
        <v>392</v>
      </c>
      <c r="E2266" t="s">
        <v>606</v>
      </c>
      <c r="F2266" t="s">
        <v>2227</v>
      </c>
      <c r="G2266" t="s">
        <v>2393</v>
      </c>
      <c r="H2266" t="s">
        <v>1511</v>
      </c>
      <c r="I2266" t="s">
        <v>1140</v>
      </c>
      <c r="J2266" t="s">
        <v>397</v>
      </c>
      <c r="K2266" t="s">
        <v>338</v>
      </c>
      <c r="L2266">
        <v>0.86</v>
      </c>
      <c r="M2266" t="s">
        <v>10733</v>
      </c>
      <c r="N2266" t="s">
        <v>10734</v>
      </c>
      <c r="O2266" t="s">
        <v>10735</v>
      </c>
      <c r="P2266" t="s">
        <v>485</v>
      </c>
      <c r="Q2266" t="s">
        <v>10678</v>
      </c>
      <c r="R2266" t="s">
        <v>10679</v>
      </c>
      <c r="S2266" t="s">
        <v>10678</v>
      </c>
      <c r="T2266" t="s">
        <v>10679</v>
      </c>
    </row>
    <row r="2267" spans="1:20">
      <c r="A2267" s="241">
        <v>44001</v>
      </c>
      <c r="B2267" t="s">
        <v>10736</v>
      </c>
      <c r="C2267" t="s">
        <v>382</v>
      </c>
      <c r="D2267" t="s">
        <v>382</v>
      </c>
      <c r="E2267" t="s">
        <v>2544</v>
      </c>
      <c r="F2267" t="s">
        <v>1619</v>
      </c>
      <c r="G2267" t="s">
        <v>938</v>
      </c>
      <c r="H2267" t="s">
        <v>2410</v>
      </c>
      <c r="I2267" t="s">
        <v>1165</v>
      </c>
      <c r="J2267" t="s">
        <v>1309</v>
      </c>
      <c r="K2267" t="s">
        <v>280</v>
      </c>
      <c r="L2267">
        <v>0.86</v>
      </c>
      <c r="M2267" t="s">
        <v>10737</v>
      </c>
      <c r="N2267" t="s">
        <v>10738</v>
      </c>
      <c r="O2267" t="s">
        <v>10739</v>
      </c>
      <c r="P2267" t="s">
        <v>485</v>
      </c>
      <c r="Q2267" t="s">
        <v>10678</v>
      </c>
      <c r="R2267" t="s">
        <v>10679</v>
      </c>
      <c r="S2267" t="s">
        <v>10678</v>
      </c>
      <c r="T2267" t="s">
        <v>10679</v>
      </c>
    </row>
    <row r="2268" spans="1:20">
      <c r="A2268" s="241">
        <v>44001</v>
      </c>
      <c r="B2268" t="s">
        <v>10740</v>
      </c>
      <c r="C2268" t="s">
        <v>2549</v>
      </c>
      <c r="D2268" t="s">
        <v>392</v>
      </c>
      <c r="E2268" t="s">
        <v>2880</v>
      </c>
      <c r="F2268" t="s">
        <v>1625</v>
      </c>
      <c r="G2268" t="s">
        <v>434</v>
      </c>
      <c r="H2268" t="s">
        <v>897</v>
      </c>
      <c r="I2268" t="s">
        <v>436</v>
      </c>
      <c r="J2268" t="s">
        <v>1309</v>
      </c>
      <c r="K2268" t="s">
        <v>349</v>
      </c>
      <c r="L2268">
        <v>0.86</v>
      </c>
      <c r="M2268" t="s">
        <v>10741</v>
      </c>
      <c r="N2268" t="s">
        <v>10742</v>
      </c>
      <c r="O2268" t="s">
        <v>10743</v>
      </c>
      <c r="P2268" t="s">
        <v>485</v>
      </c>
      <c r="Q2268" t="s">
        <v>10678</v>
      </c>
      <c r="R2268" t="s">
        <v>10679</v>
      </c>
      <c r="S2268" t="s">
        <v>10678</v>
      </c>
      <c r="T2268" t="s">
        <v>10679</v>
      </c>
    </row>
    <row r="2269" spans="1:20">
      <c r="A2269" s="241">
        <v>44001</v>
      </c>
      <c r="B2269" t="s">
        <v>10744</v>
      </c>
      <c r="C2269" t="s">
        <v>392</v>
      </c>
      <c r="D2269" t="s">
        <v>2535</v>
      </c>
      <c r="E2269" t="s">
        <v>3054</v>
      </c>
      <c r="F2269" t="s">
        <v>3077</v>
      </c>
      <c r="G2269" t="s">
        <v>1146</v>
      </c>
      <c r="H2269" t="s">
        <v>1536</v>
      </c>
      <c r="I2269" t="s">
        <v>446</v>
      </c>
      <c r="J2269" t="s">
        <v>437</v>
      </c>
      <c r="K2269" t="s">
        <v>666</v>
      </c>
      <c r="L2269">
        <v>0.86</v>
      </c>
      <c r="M2269" t="s">
        <v>10745</v>
      </c>
      <c r="N2269" t="s">
        <v>10746</v>
      </c>
      <c r="O2269" t="s">
        <v>10747</v>
      </c>
      <c r="P2269" t="s">
        <v>485</v>
      </c>
      <c r="Q2269" t="s">
        <v>10678</v>
      </c>
      <c r="R2269" t="s">
        <v>10679</v>
      </c>
      <c r="S2269" t="s">
        <v>10678</v>
      </c>
      <c r="T2269" t="s">
        <v>10679</v>
      </c>
    </row>
    <row r="2270" spans="1:20">
      <c r="A2270" s="241">
        <v>44001</v>
      </c>
      <c r="B2270" t="s">
        <v>10748</v>
      </c>
      <c r="C2270" t="s">
        <v>294</v>
      </c>
      <c r="D2270" t="s">
        <v>475</v>
      </c>
      <c r="E2270" t="s">
        <v>556</v>
      </c>
      <c r="F2270" t="s">
        <v>10749</v>
      </c>
      <c r="G2270" t="s">
        <v>10750</v>
      </c>
      <c r="H2270" t="s">
        <v>2637</v>
      </c>
      <c r="I2270" t="s">
        <v>10751</v>
      </c>
      <c r="J2270" t="s">
        <v>10752</v>
      </c>
      <c r="K2270" t="s">
        <v>10753</v>
      </c>
      <c r="L2270">
        <v>0.88</v>
      </c>
      <c r="M2270" t="s">
        <v>10754</v>
      </c>
      <c r="N2270" t="s">
        <v>10755</v>
      </c>
      <c r="O2270" t="s">
        <v>10756</v>
      </c>
      <c r="P2270" t="s">
        <v>485</v>
      </c>
      <c r="Q2270" t="s">
        <v>10678</v>
      </c>
      <c r="R2270" t="s">
        <v>10679</v>
      </c>
      <c r="S2270" t="s">
        <v>10678</v>
      </c>
      <c r="T2270" t="s">
        <v>10679</v>
      </c>
    </row>
    <row r="2271" spans="1:20">
      <c r="A2271" s="241">
        <v>44001</v>
      </c>
      <c r="B2271" t="s">
        <v>10757</v>
      </c>
      <c r="C2271" t="s">
        <v>488</v>
      </c>
      <c r="D2271" t="s">
        <v>1665</v>
      </c>
      <c r="E2271" t="s">
        <v>294</v>
      </c>
      <c r="F2271" t="s">
        <v>2627</v>
      </c>
      <c r="G2271" t="s">
        <v>6442</v>
      </c>
      <c r="H2271" t="s">
        <v>489</v>
      </c>
      <c r="I2271" t="s">
        <v>10758</v>
      </c>
      <c r="J2271" t="s">
        <v>10759</v>
      </c>
      <c r="K2271" t="s">
        <v>7269</v>
      </c>
      <c r="L2271">
        <v>0.89</v>
      </c>
      <c r="M2271" t="s">
        <v>10760</v>
      </c>
      <c r="N2271" t="s">
        <v>10761</v>
      </c>
      <c r="O2271" t="s">
        <v>10762</v>
      </c>
      <c r="P2271" t="s">
        <v>485</v>
      </c>
      <c r="Q2271" t="s">
        <v>10678</v>
      </c>
      <c r="R2271" t="s">
        <v>10679</v>
      </c>
      <c r="S2271" t="s">
        <v>10678</v>
      </c>
      <c r="T2271" t="s">
        <v>10679</v>
      </c>
    </row>
    <row r="2272" spans="1:20">
      <c r="A2272" s="241">
        <v>44001</v>
      </c>
      <c r="B2272" t="s">
        <v>10763</v>
      </c>
      <c r="C2272" t="s">
        <v>2448</v>
      </c>
      <c r="D2272" t="s">
        <v>2644</v>
      </c>
      <c r="E2272" t="s">
        <v>206</v>
      </c>
      <c r="F2272" t="s">
        <v>3680</v>
      </c>
      <c r="G2272" t="s">
        <v>1648</v>
      </c>
      <c r="H2272" t="s">
        <v>1207</v>
      </c>
      <c r="I2272" t="s">
        <v>6586</v>
      </c>
      <c r="J2272" t="s">
        <v>7275</v>
      </c>
      <c r="K2272" t="s">
        <v>4161</v>
      </c>
      <c r="L2272">
        <v>0.89</v>
      </c>
      <c r="M2272" t="s">
        <v>10764</v>
      </c>
      <c r="N2272" t="s">
        <v>10765</v>
      </c>
      <c r="O2272" t="s">
        <v>10766</v>
      </c>
      <c r="P2272" t="s">
        <v>485</v>
      </c>
      <c r="Q2272" t="s">
        <v>10678</v>
      </c>
      <c r="R2272" t="s">
        <v>10679</v>
      </c>
      <c r="S2272" t="s">
        <v>10678</v>
      </c>
      <c r="T2272" t="s">
        <v>10679</v>
      </c>
    </row>
    <row r="2273" spans="1:20">
      <c r="A2273" s="241">
        <v>44001</v>
      </c>
      <c r="B2273" t="s">
        <v>10767</v>
      </c>
      <c r="C2273" t="s">
        <v>2811</v>
      </c>
      <c r="D2273" t="s">
        <v>1665</v>
      </c>
      <c r="E2273" t="s">
        <v>224</v>
      </c>
      <c r="F2273" t="s">
        <v>766</v>
      </c>
      <c r="G2273" t="s">
        <v>990</v>
      </c>
      <c r="H2273" t="s">
        <v>1969</v>
      </c>
      <c r="I2273" t="s">
        <v>4627</v>
      </c>
      <c r="J2273" t="s">
        <v>6823</v>
      </c>
      <c r="K2273" t="s">
        <v>1989</v>
      </c>
      <c r="L2273">
        <v>0.89</v>
      </c>
      <c r="M2273" t="s">
        <v>10768</v>
      </c>
      <c r="N2273" t="s">
        <v>10769</v>
      </c>
      <c r="O2273" t="s">
        <v>10770</v>
      </c>
      <c r="P2273" t="s">
        <v>485</v>
      </c>
      <c r="Q2273" t="s">
        <v>10678</v>
      </c>
      <c r="R2273" t="s">
        <v>10679</v>
      </c>
      <c r="S2273" t="s">
        <v>10678</v>
      </c>
      <c r="T2273" t="s">
        <v>10679</v>
      </c>
    </row>
    <row r="2274" spans="1:20">
      <c r="A2274" s="241">
        <v>44001</v>
      </c>
      <c r="B2274" t="s">
        <v>10771</v>
      </c>
      <c r="C2274" t="s">
        <v>224</v>
      </c>
      <c r="D2274" t="s">
        <v>2549</v>
      </c>
      <c r="E2274" t="s">
        <v>597</v>
      </c>
      <c r="F2274" t="s">
        <v>10772</v>
      </c>
      <c r="G2274" t="s">
        <v>10773</v>
      </c>
      <c r="H2274" t="s">
        <v>2266</v>
      </c>
      <c r="I2274" t="s">
        <v>10774</v>
      </c>
      <c r="J2274" t="s">
        <v>10775</v>
      </c>
      <c r="K2274" t="s">
        <v>7700</v>
      </c>
      <c r="L2274">
        <v>0.87</v>
      </c>
      <c r="M2274" t="s">
        <v>10776</v>
      </c>
      <c r="N2274" t="s">
        <v>10777</v>
      </c>
      <c r="O2274" t="s">
        <v>10778</v>
      </c>
      <c r="P2274" t="s">
        <v>485</v>
      </c>
      <c r="Q2274" t="s">
        <v>10678</v>
      </c>
      <c r="R2274" t="s">
        <v>10679</v>
      </c>
      <c r="S2274" t="s">
        <v>10678</v>
      </c>
      <c r="T2274" t="s">
        <v>10679</v>
      </c>
    </row>
    <row r="2275" spans="1:20">
      <c r="A2275" s="241">
        <v>44001</v>
      </c>
      <c r="B2275" t="s">
        <v>10779</v>
      </c>
      <c r="C2275" t="s">
        <v>631</v>
      </c>
      <c r="D2275" t="s">
        <v>208</v>
      </c>
      <c r="E2275" t="s">
        <v>2544</v>
      </c>
      <c r="F2275" t="s">
        <v>608</v>
      </c>
      <c r="G2275" t="s">
        <v>2034</v>
      </c>
      <c r="H2275" t="s">
        <v>3999</v>
      </c>
      <c r="I2275" t="s">
        <v>2029</v>
      </c>
      <c r="J2275" t="s">
        <v>514</v>
      </c>
      <c r="K2275" t="s">
        <v>2277</v>
      </c>
      <c r="L2275">
        <v>0.86</v>
      </c>
      <c r="M2275" t="s">
        <v>10780</v>
      </c>
      <c r="N2275" t="s">
        <v>10781</v>
      </c>
      <c r="O2275" t="s">
        <v>10782</v>
      </c>
      <c r="P2275" t="s">
        <v>485</v>
      </c>
      <c r="Q2275" t="s">
        <v>10678</v>
      </c>
      <c r="R2275" t="s">
        <v>10679</v>
      </c>
      <c r="S2275" t="s">
        <v>10678</v>
      </c>
      <c r="T2275" t="s">
        <v>10679</v>
      </c>
    </row>
    <row r="2276" spans="1:20">
      <c r="A2276" s="241">
        <v>44001</v>
      </c>
      <c r="B2276" t="s">
        <v>10783</v>
      </c>
      <c r="C2276" t="s">
        <v>1139</v>
      </c>
      <c r="D2276" t="s">
        <v>382</v>
      </c>
      <c r="E2276" t="s">
        <v>1049</v>
      </c>
      <c r="F2276" t="s">
        <v>2010</v>
      </c>
      <c r="G2276" t="s">
        <v>2043</v>
      </c>
      <c r="H2276" t="s">
        <v>541</v>
      </c>
      <c r="I2276" t="s">
        <v>1010</v>
      </c>
      <c r="J2276" t="s">
        <v>1687</v>
      </c>
      <c r="K2276" t="s">
        <v>781</v>
      </c>
      <c r="L2276">
        <v>0.86</v>
      </c>
      <c r="M2276" t="s">
        <v>10784</v>
      </c>
      <c r="N2276" t="s">
        <v>10785</v>
      </c>
      <c r="O2276" t="s">
        <v>10786</v>
      </c>
      <c r="P2276" t="s">
        <v>485</v>
      </c>
      <c r="Q2276" t="s">
        <v>10678</v>
      </c>
      <c r="R2276" t="s">
        <v>10679</v>
      </c>
      <c r="S2276" t="s">
        <v>10678</v>
      </c>
      <c r="T2276" t="s">
        <v>10679</v>
      </c>
    </row>
    <row r="2277" spans="1:20">
      <c r="A2277" s="241">
        <v>44001</v>
      </c>
      <c r="B2277" t="s">
        <v>10787</v>
      </c>
      <c r="C2277" t="s">
        <v>1079</v>
      </c>
      <c r="D2277" t="s">
        <v>1079</v>
      </c>
      <c r="E2277" t="s">
        <v>2769</v>
      </c>
      <c r="F2277" t="s">
        <v>822</v>
      </c>
      <c r="G2277" t="s">
        <v>2686</v>
      </c>
      <c r="H2277" t="s">
        <v>776</v>
      </c>
      <c r="I2277" t="s">
        <v>532</v>
      </c>
      <c r="J2277" t="s">
        <v>2681</v>
      </c>
      <c r="K2277" t="s">
        <v>1003</v>
      </c>
      <c r="L2277">
        <v>0.86</v>
      </c>
      <c r="M2277" t="s">
        <v>10788</v>
      </c>
      <c r="N2277" t="s">
        <v>10789</v>
      </c>
      <c r="O2277" t="s">
        <v>10790</v>
      </c>
      <c r="P2277" t="s">
        <v>485</v>
      </c>
      <c r="Q2277" t="s">
        <v>10678</v>
      </c>
      <c r="R2277" t="s">
        <v>10679</v>
      </c>
      <c r="S2277" t="s">
        <v>10678</v>
      </c>
      <c r="T2277" t="s">
        <v>10679</v>
      </c>
    </row>
    <row r="2278" spans="1:20">
      <c r="A2278" s="241">
        <v>44001</v>
      </c>
      <c r="B2278" t="s">
        <v>10791</v>
      </c>
      <c r="C2278" t="s">
        <v>1079</v>
      </c>
      <c r="D2278" t="s">
        <v>443</v>
      </c>
      <c r="E2278" t="s">
        <v>2544</v>
      </c>
      <c r="F2278" t="s">
        <v>576</v>
      </c>
      <c r="G2278" t="s">
        <v>240</v>
      </c>
      <c r="H2278" t="s">
        <v>1426</v>
      </c>
      <c r="I2278" t="s">
        <v>816</v>
      </c>
      <c r="J2278" t="s">
        <v>2881</v>
      </c>
      <c r="K2278" t="s">
        <v>1234</v>
      </c>
      <c r="L2278">
        <v>0.86</v>
      </c>
      <c r="M2278" t="s">
        <v>10792</v>
      </c>
      <c r="N2278" t="s">
        <v>10793</v>
      </c>
      <c r="O2278" t="s">
        <v>10794</v>
      </c>
      <c r="P2278" t="s">
        <v>485</v>
      </c>
      <c r="Q2278" t="s">
        <v>10678</v>
      </c>
      <c r="R2278" t="s">
        <v>10679</v>
      </c>
      <c r="S2278" t="s">
        <v>10678</v>
      </c>
      <c r="T2278" t="s">
        <v>10679</v>
      </c>
    </row>
    <row r="2279" spans="1:20">
      <c r="A2279" s="241">
        <v>44001</v>
      </c>
      <c r="B2279" t="s">
        <v>10795</v>
      </c>
      <c r="C2279" t="s">
        <v>645</v>
      </c>
      <c r="D2279" t="s">
        <v>343</v>
      </c>
      <c r="E2279" t="s">
        <v>646</v>
      </c>
      <c r="F2279" t="s">
        <v>576</v>
      </c>
      <c r="G2279" t="s">
        <v>2075</v>
      </c>
      <c r="H2279" t="s">
        <v>2324</v>
      </c>
      <c r="I2279" t="s">
        <v>1747</v>
      </c>
      <c r="J2279" t="s">
        <v>1240</v>
      </c>
      <c r="K2279" t="s">
        <v>1399</v>
      </c>
      <c r="L2279">
        <v>0.86</v>
      </c>
      <c r="M2279" t="s">
        <v>10796</v>
      </c>
      <c r="N2279" t="s">
        <v>10797</v>
      </c>
      <c r="O2279" t="s">
        <v>10798</v>
      </c>
      <c r="P2279" t="s">
        <v>485</v>
      </c>
      <c r="Q2279" t="s">
        <v>10678</v>
      </c>
      <c r="R2279" t="s">
        <v>10679</v>
      </c>
      <c r="S2279" t="s">
        <v>10678</v>
      </c>
      <c r="T2279" t="s">
        <v>10679</v>
      </c>
    </row>
    <row r="2280" spans="1:20">
      <c r="A2280" s="241">
        <v>44001</v>
      </c>
      <c r="B2280" t="s">
        <v>10799</v>
      </c>
      <c r="C2280" t="s">
        <v>392</v>
      </c>
      <c r="D2280" t="s">
        <v>392</v>
      </c>
      <c r="E2280" t="s">
        <v>2731</v>
      </c>
      <c r="F2280" t="s">
        <v>584</v>
      </c>
      <c r="G2280" t="s">
        <v>558</v>
      </c>
      <c r="H2280" t="s">
        <v>1038</v>
      </c>
      <c r="I2280" t="s">
        <v>816</v>
      </c>
      <c r="J2280" t="s">
        <v>1240</v>
      </c>
      <c r="K2280" t="s">
        <v>1406</v>
      </c>
      <c r="L2280">
        <v>0.86</v>
      </c>
      <c r="M2280" t="s">
        <v>10800</v>
      </c>
      <c r="N2280" t="s">
        <v>10801</v>
      </c>
      <c r="O2280" t="s">
        <v>10802</v>
      </c>
      <c r="P2280" t="s">
        <v>485</v>
      </c>
      <c r="Q2280" t="s">
        <v>10678</v>
      </c>
      <c r="R2280" t="s">
        <v>10679</v>
      </c>
      <c r="S2280" t="s">
        <v>10678</v>
      </c>
      <c r="T2280" t="s">
        <v>10679</v>
      </c>
    </row>
    <row r="2281" spans="1:20">
      <c r="A2281" s="241">
        <v>44001</v>
      </c>
      <c r="B2281" t="s">
        <v>10803</v>
      </c>
      <c r="C2281" t="s">
        <v>671</v>
      </c>
      <c r="D2281" t="s">
        <v>443</v>
      </c>
      <c r="E2281" t="s">
        <v>2880</v>
      </c>
      <c r="F2281" t="s">
        <v>356</v>
      </c>
      <c r="G2281" t="s">
        <v>240</v>
      </c>
      <c r="H2281" t="s">
        <v>2910</v>
      </c>
      <c r="I2281" t="s">
        <v>242</v>
      </c>
      <c r="J2281" t="s">
        <v>807</v>
      </c>
      <c r="K2281" t="s">
        <v>515</v>
      </c>
      <c r="L2281">
        <v>0.86</v>
      </c>
      <c r="M2281" t="s">
        <v>10804</v>
      </c>
      <c r="N2281" t="s">
        <v>10805</v>
      </c>
      <c r="O2281" t="s">
        <v>10806</v>
      </c>
      <c r="P2281" t="s">
        <v>485</v>
      </c>
      <c r="Q2281" t="s">
        <v>10678</v>
      </c>
      <c r="R2281" t="s">
        <v>10679</v>
      </c>
      <c r="S2281" t="s">
        <v>10678</v>
      </c>
      <c r="T2281" t="s">
        <v>10679</v>
      </c>
    </row>
    <row r="2282" spans="1:20">
      <c r="A2282" s="241">
        <v>44001</v>
      </c>
      <c r="B2282" t="s">
        <v>10807</v>
      </c>
      <c r="C2282" t="s">
        <v>1139</v>
      </c>
      <c r="D2282" t="s">
        <v>2478</v>
      </c>
      <c r="E2282" t="s">
        <v>2731</v>
      </c>
      <c r="F2282" t="s">
        <v>285</v>
      </c>
      <c r="G2282" t="s">
        <v>567</v>
      </c>
      <c r="H2282" t="s">
        <v>1257</v>
      </c>
      <c r="I2282" t="s">
        <v>254</v>
      </c>
      <c r="J2282" t="s">
        <v>1245</v>
      </c>
      <c r="K2282" t="s">
        <v>1234</v>
      </c>
      <c r="L2282">
        <v>0.86</v>
      </c>
      <c r="M2282" t="s">
        <v>10808</v>
      </c>
      <c r="N2282" t="s">
        <v>10809</v>
      </c>
      <c r="O2282" t="s">
        <v>10810</v>
      </c>
      <c r="P2282" t="s">
        <v>485</v>
      </c>
      <c r="Q2282" t="s">
        <v>10678</v>
      </c>
      <c r="R2282" t="s">
        <v>10679</v>
      </c>
      <c r="S2282" t="s">
        <v>10678</v>
      </c>
      <c r="T2282" t="s">
        <v>10679</v>
      </c>
    </row>
    <row r="2283" spans="1:20">
      <c r="A2283" s="241">
        <v>44001</v>
      </c>
      <c r="B2283" t="s">
        <v>10811</v>
      </c>
      <c r="C2283" t="s">
        <v>671</v>
      </c>
      <c r="D2283" t="s">
        <v>382</v>
      </c>
      <c r="E2283" t="s">
        <v>2544</v>
      </c>
      <c r="F2283" t="s">
        <v>1467</v>
      </c>
      <c r="G2283" t="s">
        <v>1781</v>
      </c>
      <c r="H2283" t="s">
        <v>3554</v>
      </c>
      <c r="I2283" t="s">
        <v>577</v>
      </c>
      <c r="J2283" t="s">
        <v>825</v>
      </c>
      <c r="K2283" t="s">
        <v>1012</v>
      </c>
      <c r="L2283">
        <v>0.86</v>
      </c>
      <c r="M2283" t="s">
        <v>10812</v>
      </c>
      <c r="N2283" t="s">
        <v>10813</v>
      </c>
      <c r="O2283" t="s">
        <v>10814</v>
      </c>
      <c r="P2283" t="s">
        <v>485</v>
      </c>
      <c r="Q2283" t="s">
        <v>10678</v>
      </c>
      <c r="R2283" t="s">
        <v>10679</v>
      </c>
      <c r="S2283" t="s">
        <v>10678</v>
      </c>
      <c r="T2283" t="s">
        <v>10679</v>
      </c>
    </row>
    <row r="2284" spans="1:20">
      <c r="A2284" s="241">
        <v>44001</v>
      </c>
      <c r="B2284" t="s">
        <v>10815</v>
      </c>
      <c r="C2284" t="s">
        <v>2549</v>
      </c>
      <c r="D2284" t="s">
        <v>392</v>
      </c>
      <c r="E2284" t="s">
        <v>1121</v>
      </c>
      <c r="F2284" t="s">
        <v>682</v>
      </c>
      <c r="G2284" t="s">
        <v>1775</v>
      </c>
      <c r="H2284" t="s">
        <v>209</v>
      </c>
      <c r="I2284" t="s">
        <v>838</v>
      </c>
      <c r="J2284" t="s">
        <v>578</v>
      </c>
      <c r="K2284" t="s">
        <v>534</v>
      </c>
      <c r="L2284">
        <v>0.86</v>
      </c>
      <c r="M2284" t="s">
        <v>10816</v>
      </c>
      <c r="N2284" t="s">
        <v>10817</v>
      </c>
      <c r="O2284" t="s">
        <v>10818</v>
      </c>
      <c r="P2284" t="s">
        <v>485</v>
      </c>
      <c r="Q2284" t="s">
        <v>10678</v>
      </c>
      <c r="R2284" t="s">
        <v>10679</v>
      </c>
      <c r="S2284" t="s">
        <v>10678</v>
      </c>
      <c r="T2284" t="s">
        <v>10679</v>
      </c>
    </row>
    <row r="2285" spans="1:20">
      <c r="A2285" s="241">
        <v>44001</v>
      </c>
      <c r="B2285" t="s">
        <v>10819</v>
      </c>
      <c r="C2285" t="s">
        <v>631</v>
      </c>
      <c r="D2285" t="s">
        <v>382</v>
      </c>
      <c r="E2285" t="s">
        <v>2769</v>
      </c>
      <c r="F2285" t="s">
        <v>848</v>
      </c>
      <c r="G2285" t="s">
        <v>1068</v>
      </c>
      <c r="H2285" t="s">
        <v>1231</v>
      </c>
      <c r="I2285" t="s">
        <v>1062</v>
      </c>
      <c r="J2285" t="s">
        <v>578</v>
      </c>
      <c r="K2285" t="s">
        <v>524</v>
      </c>
      <c r="L2285">
        <v>0.86</v>
      </c>
      <c r="M2285" t="s">
        <v>10820</v>
      </c>
      <c r="N2285" t="s">
        <v>10821</v>
      </c>
      <c r="O2285" t="s">
        <v>10822</v>
      </c>
      <c r="P2285" t="s">
        <v>485</v>
      </c>
      <c r="Q2285" t="s">
        <v>10678</v>
      </c>
      <c r="R2285" t="s">
        <v>10679</v>
      </c>
      <c r="S2285" t="s">
        <v>10678</v>
      </c>
      <c r="T2285" t="s">
        <v>10679</v>
      </c>
    </row>
    <row r="2286" spans="1:20">
      <c r="A2286" s="241">
        <v>44001</v>
      </c>
      <c r="B2286" t="s">
        <v>10823</v>
      </c>
      <c r="C2286" t="s">
        <v>671</v>
      </c>
      <c r="D2286" t="s">
        <v>208</v>
      </c>
      <c r="E2286" t="s">
        <v>2584</v>
      </c>
      <c r="F2286" t="s">
        <v>926</v>
      </c>
      <c r="G2286" t="s">
        <v>591</v>
      </c>
      <c r="H2286" t="s">
        <v>868</v>
      </c>
      <c r="I2286" t="s">
        <v>308</v>
      </c>
      <c r="J2286" t="s">
        <v>298</v>
      </c>
      <c r="K2286" t="s">
        <v>231</v>
      </c>
      <c r="L2286">
        <v>0.86</v>
      </c>
      <c r="M2286" t="s">
        <v>10824</v>
      </c>
      <c r="N2286" t="s">
        <v>10825</v>
      </c>
      <c r="O2286" t="s">
        <v>10826</v>
      </c>
      <c r="P2286" t="s">
        <v>485</v>
      </c>
      <c r="Q2286" t="s">
        <v>10678</v>
      </c>
      <c r="R2286" t="s">
        <v>10679</v>
      </c>
      <c r="S2286" t="s">
        <v>10678</v>
      </c>
      <c r="T2286" t="s">
        <v>10679</v>
      </c>
    </row>
    <row r="2287" spans="1:20">
      <c r="A2287" s="241">
        <v>44001</v>
      </c>
      <c r="B2287" t="s">
        <v>10827</v>
      </c>
      <c r="C2287" t="s">
        <v>712</v>
      </c>
      <c r="D2287" t="s">
        <v>2549</v>
      </c>
      <c r="E2287" t="s">
        <v>1314</v>
      </c>
      <c r="F2287" t="s">
        <v>426</v>
      </c>
      <c r="G2287" t="s">
        <v>843</v>
      </c>
      <c r="H2287" t="s">
        <v>1478</v>
      </c>
      <c r="I2287" t="s">
        <v>609</v>
      </c>
      <c r="J2287" t="s">
        <v>850</v>
      </c>
      <c r="K2287" t="s">
        <v>231</v>
      </c>
      <c r="L2287">
        <v>0.86</v>
      </c>
      <c r="M2287" t="s">
        <v>10828</v>
      </c>
      <c r="N2287" t="s">
        <v>10829</v>
      </c>
      <c r="O2287" t="s">
        <v>10830</v>
      </c>
      <c r="P2287" t="s">
        <v>485</v>
      </c>
      <c r="Q2287" t="s">
        <v>10678</v>
      </c>
      <c r="R2287" t="s">
        <v>10679</v>
      </c>
      <c r="S2287" t="s">
        <v>10678</v>
      </c>
      <c r="T2287" t="s">
        <v>10679</v>
      </c>
    </row>
    <row r="2288" spans="1:20">
      <c r="A2288" s="241">
        <v>44001</v>
      </c>
      <c r="B2288" t="s">
        <v>10831</v>
      </c>
      <c r="C2288" t="s">
        <v>2478</v>
      </c>
      <c r="D2288" t="s">
        <v>382</v>
      </c>
      <c r="E2288" t="s">
        <v>632</v>
      </c>
      <c r="F2288" t="s">
        <v>1109</v>
      </c>
      <c r="G2288" t="s">
        <v>3284</v>
      </c>
      <c r="H2288" t="s">
        <v>813</v>
      </c>
      <c r="I2288" t="s">
        <v>1811</v>
      </c>
      <c r="J2288" t="s">
        <v>601</v>
      </c>
      <c r="K2288" t="s">
        <v>231</v>
      </c>
      <c r="L2288">
        <v>0.86</v>
      </c>
      <c r="M2288" t="s">
        <v>10832</v>
      </c>
      <c r="N2288" t="s">
        <v>10833</v>
      </c>
      <c r="O2288" t="s">
        <v>10834</v>
      </c>
      <c r="P2288" t="s">
        <v>485</v>
      </c>
      <c r="Q2288" t="s">
        <v>10678</v>
      </c>
      <c r="R2288" t="s">
        <v>10679</v>
      </c>
      <c r="S2288" t="s">
        <v>10678</v>
      </c>
      <c r="T2288" t="s">
        <v>10679</v>
      </c>
    </row>
    <row r="2289" spans="1:20">
      <c r="A2289" s="241">
        <v>44001</v>
      </c>
      <c r="B2289" t="s">
        <v>10835</v>
      </c>
      <c r="C2289" t="s">
        <v>1079</v>
      </c>
      <c r="D2289" t="s">
        <v>2535</v>
      </c>
      <c r="E2289" t="s">
        <v>1314</v>
      </c>
      <c r="F2289" t="s">
        <v>706</v>
      </c>
      <c r="G2289" t="s">
        <v>1477</v>
      </c>
      <c r="H2289" t="s">
        <v>1818</v>
      </c>
      <c r="I2289" t="s">
        <v>1082</v>
      </c>
      <c r="J2289" t="s">
        <v>309</v>
      </c>
      <c r="K2289" t="s">
        <v>244</v>
      </c>
      <c r="L2289">
        <v>0.86</v>
      </c>
      <c r="M2289" t="s">
        <v>10836</v>
      </c>
      <c r="N2289" t="s">
        <v>10837</v>
      </c>
      <c r="O2289" t="s">
        <v>10838</v>
      </c>
      <c r="P2289" t="s">
        <v>485</v>
      </c>
      <c r="Q2289" t="s">
        <v>10678</v>
      </c>
      <c r="R2289" t="s">
        <v>10679</v>
      </c>
      <c r="S2289" t="s">
        <v>10678</v>
      </c>
      <c r="T2289" t="s">
        <v>10679</v>
      </c>
    </row>
    <row r="2290" spans="1:20">
      <c r="A2290" s="241">
        <v>44001</v>
      </c>
      <c r="B2290" t="s">
        <v>10839</v>
      </c>
      <c r="C2290" t="s">
        <v>712</v>
      </c>
      <c r="D2290" t="s">
        <v>392</v>
      </c>
      <c r="E2290" t="s">
        <v>2888</v>
      </c>
      <c r="F2290" t="s">
        <v>897</v>
      </c>
      <c r="G2290" t="s">
        <v>345</v>
      </c>
      <c r="H2290" t="s">
        <v>335</v>
      </c>
      <c r="I2290" t="s">
        <v>1842</v>
      </c>
      <c r="J2290" t="s">
        <v>318</v>
      </c>
      <c r="K2290" t="s">
        <v>571</v>
      </c>
      <c r="L2290">
        <v>0.86</v>
      </c>
      <c r="M2290" t="s">
        <v>10840</v>
      </c>
      <c r="N2290" t="s">
        <v>10841</v>
      </c>
      <c r="O2290" t="s">
        <v>10842</v>
      </c>
      <c r="P2290" t="s">
        <v>485</v>
      </c>
      <c r="Q2290" t="s">
        <v>10678</v>
      </c>
      <c r="R2290" t="s">
        <v>10679</v>
      </c>
      <c r="S2290" t="s">
        <v>10678</v>
      </c>
      <c r="T2290" t="s">
        <v>10679</v>
      </c>
    </row>
    <row r="2291" spans="1:20">
      <c r="A2291" s="241">
        <v>44001</v>
      </c>
      <c r="B2291" t="s">
        <v>10843</v>
      </c>
      <c r="C2291" t="s">
        <v>615</v>
      </c>
      <c r="D2291" t="s">
        <v>556</v>
      </c>
      <c r="E2291" t="s">
        <v>2893</v>
      </c>
      <c r="F2291" t="s">
        <v>333</v>
      </c>
      <c r="G2291" t="s">
        <v>1832</v>
      </c>
      <c r="H2291" t="s">
        <v>566</v>
      </c>
      <c r="I2291" t="s">
        <v>1501</v>
      </c>
      <c r="J2291" t="s">
        <v>318</v>
      </c>
      <c r="K2291" t="s">
        <v>579</v>
      </c>
      <c r="L2291">
        <v>0.86</v>
      </c>
      <c r="M2291" t="s">
        <v>10844</v>
      </c>
      <c r="N2291" t="s">
        <v>10845</v>
      </c>
      <c r="O2291" t="s">
        <v>10846</v>
      </c>
      <c r="P2291" t="s">
        <v>485</v>
      </c>
      <c r="Q2291" t="s">
        <v>10678</v>
      </c>
      <c r="R2291" t="s">
        <v>10679</v>
      </c>
      <c r="S2291" t="s">
        <v>10678</v>
      </c>
      <c r="T2291" t="s">
        <v>10679</v>
      </c>
    </row>
    <row r="2292" spans="1:20">
      <c r="A2292" s="241">
        <v>44001</v>
      </c>
      <c r="B2292" t="s">
        <v>10847</v>
      </c>
      <c r="C2292" t="s">
        <v>671</v>
      </c>
      <c r="D2292" t="s">
        <v>556</v>
      </c>
      <c r="E2292" t="s">
        <v>2731</v>
      </c>
      <c r="F2292" t="s">
        <v>454</v>
      </c>
      <c r="G2292" t="s">
        <v>1292</v>
      </c>
      <c r="H2292" t="s">
        <v>275</v>
      </c>
      <c r="I2292" t="s">
        <v>1097</v>
      </c>
      <c r="J2292" t="s">
        <v>1495</v>
      </c>
      <c r="K2292" t="s">
        <v>571</v>
      </c>
      <c r="L2292">
        <v>0.86</v>
      </c>
      <c r="M2292" t="s">
        <v>10848</v>
      </c>
      <c r="N2292" t="s">
        <v>10849</v>
      </c>
      <c r="O2292" t="s">
        <v>10850</v>
      </c>
      <c r="P2292" t="s">
        <v>485</v>
      </c>
      <c r="Q2292" t="s">
        <v>10678</v>
      </c>
      <c r="R2292" t="s">
        <v>10679</v>
      </c>
      <c r="S2292" t="s">
        <v>10678</v>
      </c>
      <c r="T2292" t="s">
        <v>10679</v>
      </c>
    </row>
    <row r="2293" spans="1:20">
      <c r="A2293" s="241">
        <v>44001</v>
      </c>
      <c r="B2293" t="s">
        <v>10851</v>
      </c>
      <c r="C2293" t="s">
        <v>1079</v>
      </c>
      <c r="D2293" t="s">
        <v>1139</v>
      </c>
      <c r="E2293" t="s">
        <v>2888</v>
      </c>
      <c r="F2293" t="s">
        <v>364</v>
      </c>
      <c r="G2293" t="s">
        <v>2764</v>
      </c>
      <c r="H2293" t="s">
        <v>1769</v>
      </c>
      <c r="I2293" t="s">
        <v>882</v>
      </c>
      <c r="J2293" t="s">
        <v>326</v>
      </c>
      <c r="K2293" t="s">
        <v>244</v>
      </c>
      <c r="L2293">
        <v>0.86</v>
      </c>
      <c r="M2293" t="s">
        <v>10852</v>
      </c>
      <c r="N2293" t="s">
        <v>10853</v>
      </c>
      <c r="O2293" t="s">
        <v>10854</v>
      </c>
      <c r="P2293" t="s">
        <v>485</v>
      </c>
      <c r="Q2293" t="s">
        <v>10678</v>
      </c>
      <c r="R2293" t="s">
        <v>10679</v>
      </c>
      <c r="S2293" t="s">
        <v>10678</v>
      </c>
      <c r="T2293" t="s">
        <v>10679</v>
      </c>
    </row>
    <row r="2294" spans="1:20">
      <c r="A2294" s="241">
        <v>44001</v>
      </c>
      <c r="B2294" t="s">
        <v>10855</v>
      </c>
      <c r="C2294" t="s">
        <v>392</v>
      </c>
      <c r="D2294" t="s">
        <v>679</v>
      </c>
      <c r="E2294" t="s">
        <v>2893</v>
      </c>
      <c r="F2294" t="s">
        <v>647</v>
      </c>
      <c r="G2294" t="s">
        <v>1562</v>
      </c>
      <c r="H2294" t="s">
        <v>576</v>
      </c>
      <c r="I2294" t="s">
        <v>1518</v>
      </c>
      <c r="J2294" t="s">
        <v>640</v>
      </c>
      <c r="K2294" t="s">
        <v>579</v>
      </c>
      <c r="L2294">
        <v>0.86</v>
      </c>
      <c r="M2294" t="s">
        <v>10856</v>
      </c>
      <c r="N2294" t="s">
        <v>10857</v>
      </c>
      <c r="O2294" t="s">
        <v>10858</v>
      </c>
      <c r="P2294" t="s">
        <v>485</v>
      </c>
      <c r="Q2294" t="s">
        <v>10678</v>
      </c>
      <c r="R2294" t="s">
        <v>10679</v>
      </c>
      <c r="S2294" t="s">
        <v>10678</v>
      </c>
      <c r="T2294" t="s">
        <v>10679</v>
      </c>
    </row>
    <row r="2295" spans="1:20">
      <c r="A2295" s="241">
        <v>44001</v>
      </c>
      <c r="B2295" t="s">
        <v>10859</v>
      </c>
      <c r="C2295" t="s">
        <v>679</v>
      </c>
      <c r="D2295" t="s">
        <v>382</v>
      </c>
      <c r="E2295" t="s">
        <v>2731</v>
      </c>
      <c r="F2295" t="s">
        <v>344</v>
      </c>
      <c r="G2295" t="s">
        <v>1517</v>
      </c>
      <c r="H2295" t="s">
        <v>1262</v>
      </c>
      <c r="I2295" t="s">
        <v>1518</v>
      </c>
      <c r="J2295" t="s">
        <v>640</v>
      </c>
      <c r="K2295" t="s">
        <v>244</v>
      </c>
      <c r="L2295">
        <v>0.86</v>
      </c>
      <c r="M2295" t="s">
        <v>10860</v>
      </c>
      <c r="N2295" t="s">
        <v>10861</v>
      </c>
      <c r="O2295" t="s">
        <v>10862</v>
      </c>
      <c r="P2295" t="s">
        <v>485</v>
      </c>
      <c r="Q2295" t="s">
        <v>10678</v>
      </c>
      <c r="R2295" t="s">
        <v>10679</v>
      </c>
      <c r="S2295" t="s">
        <v>10678</v>
      </c>
      <c r="T2295" t="s">
        <v>10679</v>
      </c>
    </row>
    <row r="2296" spans="1:20">
      <c r="A2296" s="241">
        <v>44001</v>
      </c>
      <c r="B2296" t="s">
        <v>10863</v>
      </c>
      <c r="C2296" t="s">
        <v>1139</v>
      </c>
      <c r="D2296" t="s">
        <v>443</v>
      </c>
      <c r="E2296" t="s">
        <v>632</v>
      </c>
      <c r="F2296" t="s">
        <v>1561</v>
      </c>
      <c r="G2296" t="s">
        <v>663</v>
      </c>
      <c r="H2296" t="s">
        <v>1262</v>
      </c>
      <c r="I2296" t="s">
        <v>1523</v>
      </c>
      <c r="J2296" t="s">
        <v>650</v>
      </c>
      <c r="K2296" t="s">
        <v>299</v>
      </c>
      <c r="L2296">
        <v>0.86</v>
      </c>
      <c r="M2296" t="s">
        <v>10864</v>
      </c>
      <c r="N2296" t="s">
        <v>10865</v>
      </c>
      <c r="O2296" t="s">
        <v>10866</v>
      </c>
      <c r="P2296" t="s">
        <v>485</v>
      </c>
      <c r="Q2296" t="s">
        <v>10678</v>
      </c>
      <c r="R2296" t="s">
        <v>10679</v>
      </c>
      <c r="S2296" t="s">
        <v>10678</v>
      </c>
      <c r="T2296" t="s">
        <v>10679</v>
      </c>
    </row>
    <row r="2297" spans="1:20">
      <c r="A2297" s="241">
        <v>44001</v>
      </c>
      <c r="B2297" t="s">
        <v>10867</v>
      </c>
      <c r="C2297" t="s">
        <v>671</v>
      </c>
      <c r="D2297" t="s">
        <v>392</v>
      </c>
      <c r="E2297" t="s">
        <v>2731</v>
      </c>
      <c r="F2297" t="s">
        <v>1882</v>
      </c>
      <c r="G2297" t="s">
        <v>1590</v>
      </c>
      <c r="H2297" t="s">
        <v>385</v>
      </c>
      <c r="I2297" t="s">
        <v>376</v>
      </c>
      <c r="J2297" t="s">
        <v>657</v>
      </c>
      <c r="K2297" t="s">
        <v>256</v>
      </c>
      <c r="L2297">
        <v>0.86</v>
      </c>
      <c r="M2297" t="s">
        <v>10868</v>
      </c>
      <c r="N2297" t="s">
        <v>10869</v>
      </c>
      <c r="O2297" t="s">
        <v>10870</v>
      </c>
      <c r="P2297" t="s">
        <v>485</v>
      </c>
      <c r="Q2297" t="s">
        <v>10678</v>
      </c>
      <c r="R2297" t="s">
        <v>10679</v>
      </c>
      <c r="S2297" t="s">
        <v>10678</v>
      </c>
      <c r="T2297" t="s">
        <v>10679</v>
      </c>
    </row>
    <row r="2298" spans="1:20">
      <c r="A2298" s="241">
        <v>44001</v>
      </c>
      <c r="B2298" t="s">
        <v>10871</v>
      </c>
      <c r="C2298" t="s">
        <v>712</v>
      </c>
      <c r="D2298" t="s">
        <v>2549</v>
      </c>
      <c r="E2298" t="s">
        <v>2893</v>
      </c>
      <c r="F2298" t="s">
        <v>917</v>
      </c>
      <c r="G2298" t="s">
        <v>1115</v>
      </c>
      <c r="H2298" t="s">
        <v>295</v>
      </c>
      <c r="I2298" t="s">
        <v>386</v>
      </c>
      <c r="J2298" t="s">
        <v>377</v>
      </c>
      <c r="K2298" t="s">
        <v>280</v>
      </c>
      <c r="L2298">
        <v>0.86</v>
      </c>
      <c r="M2298" t="s">
        <v>10872</v>
      </c>
      <c r="N2298" t="s">
        <v>10873</v>
      </c>
      <c r="O2298" t="s">
        <v>10874</v>
      </c>
      <c r="P2298" t="s">
        <v>485</v>
      </c>
      <c r="Q2298" t="s">
        <v>10678</v>
      </c>
      <c r="R2298" t="s">
        <v>10679</v>
      </c>
      <c r="S2298" t="s">
        <v>10678</v>
      </c>
      <c r="T2298" t="s">
        <v>10679</v>
      </c>
    </row>
    <row r="2299" spans="1:20">
      <c r="A2299" s="241">
        <v>44001</v>
      </c>
      <c r="B2299" t="s">
        <v>10875</v>
      </c>
      <c r="C2299" t="s">
        <v>671</v>
      </c>
      <c r="D2299" t="s">
        <v>645</v>
      </c>
      <c r="E2299" t="s">
        <v>632</v>
      </c>
      <c r="F2299" t="s">
        <v>1541</v>
      </c>
      <c r="G2299" t="s">
        <v>1590</v>
      </c>
      <c r="H2299" t="s">
        <v>1080</v>
      </c>
      <c r="I2299" t="s">
        <v>1547</v>
      </c>
      <c r="J2299" t="s">
        <v>665</v>
      </c>
      <c r="K2299" t="s">
        <v>338</v>
      </c>
      <c r="L2299">
        <v>0.86</v>
      </c>
      <c r="M2299" t="s">
        <v>10876</v>
      </c>
      <c r="N2299" t="s">
        <v>10877</v>
      </c>
      <c r="O2299" t="s">
        <v>10878</v>
      </c>
      <c r="P2299" t="s">
        <v>485</v>
      </c>
      <c r="Q2299" t="s">
        <v>10678</v>
      </c>
      <c r="R2299" t="s">
        <v>10679</v>
      </c>
      <c r="S2299" t="s">
        <v>10678</v>
      </c>
      <c r="T2299" t="s">
        <v>10679</v>
      </c>
    </row>
    <row r="2300" spans="1:20">
      <c r="A2300" s="241">
        <v>44001</v>
      </c>
      <c r="B2300" t="s">
        <v>10879</v>
      </c>
      <c r="C2300" t="s">
        <v>625</v>
      </c>
      <c r="D2300" t="s">
        <v>392</v>
      </c>
      <c r="E2300" t="s">
        <v>1121</v>
      </c>
      <c r="F2300" t="s">
        <v>917</v>
      </c>
      <c r="G2300" t="s">
        <v>918</v>
      </c>
      <c r="H2300" t="s">
        <v>295</v>
      </c>
      <c r="I2300" t="s">
        <v>396</v>
      </c>
      <c r="J2300" t="s">
        <v>912</v>
      </c>
      <c r="K2300" t="s">
        <v>327</v>
      </c>
      <c r="L2300">
        <v>0.86</v>
      </c>
      <c r="M2300" t="s">
        <v>10880</v>
      </c>
      <c r="N2300" t="s">
        <v>10881</v>
      </c>
      <c r="O2300" t="s">
        <v>10882</v>
      </c>
      <c r="P2300" t="s">
        <v>485</v>
      </c>
      <c r="Q2300" t="s">
        <v>10678</v>
      </c>
      <c r="R2300" t="s">
        <v>10679</v>
      </c>
      <c r="S2300" t="s">
        <v>10678</v>
      </c>
      <c r="T2300" t="s">
        <v>10679</v>
      </c>
    </row>
    <row r="2301" spans="1:20">
      <c r="A2301" s="241">
        <v>44001</v>
      </c>
      <c r="B2301" t="s">
        <v>10883</v>
      </c>
      <c r="C2301" t="s">
        <v>442</v>
      </c>
      <c r="D2301" t="s">
        <v>382</v>
      </c>
      <c r="E2301" t="s">
        <v>597</v>
      </c>
      <c r="F2301" t="s">
        <v>403</v>
      </c>
      <c r="G2301" t="s">
        <v>918</v>
      </c>
      <c r="H2301" t="s">
        <v>305</v>
      </c>
      <c r="I2301" t="s">
        <v>396</v>
      </c>
      <c r="J2301" t="s">
        <v>912</v>
      </c>
      <c r="K2301" t="s">
        <v>327</v>
      </c>
      <c r="L2301">
        <v>0.86</v>
      </c>
      <c r="M2301" t="s">
        <v>10884</v>
      </c>
      <c r="N2301" t="s">
        <v>10885</v>
      </c>
      <c r="O2301" t="s">
        <v>10886</v>
      </c>
      <c r="P2301" t="s">
        <v>485</v>
      </c>
      <c r="Q2301" t="s">
        <v>10678</v>
      </c>
      <c r="R2301" t="s">
        <v>10679</v>
      </c>
      <c r="S2301" t="s">
        <v>10678</v>
      </c>
      <c r="T2301" t="s">
        <v>10679</v>
      </c>
    </row>
    <row r="2302" spans="1:20">
      <c r="A2302" s="241">
        <v>44001</v>
      </c>
      <c r="B2302" t="s">
        <v>10887</v>
      </c>
      <c r="C2302" t="s">
        <v>671</v>
      </c>
      <c r="D2302" t="s">
        <v>2535</v>
      </c>
      <c r="E2302" t="s">
        <v>238</v>
      </c>
      <c r="F2302" t="s">
        <v>1604</v>
      </c>
      <c r="G2302" t="s">
        <v>1936</v>
      </c>
      <c r="H2302" t="s">
        <v>323</v>
      </c>
      <c r="I2302" t="s">
        <v>932</v>
      </c>
      <c r="J2302" t="s">
        <v>407</v>
      </c>
      <c r="K2302" t="s">
        <v>700</v>
      </c>
      <c r="L2302">
        <v>0.86</v>
      </c>
      <c r="M2302" t="s">
        <v>10888</v>
      </c>
      <c r="N2302" t="s">
        <v>10889</v>
      </c>
      <c r="O2302" t="s">
        <v>10890</v>
      </c>
      <c r="P2302" t="s">
        <v>485</v>
      </c>
      <c r="Q2302" t="s">
        <v>10678</v>
      </c>
      <c r="R2302" t="s">
        <v>10679</v>
      </c>
      <c r="S2302" t="s">
        <v>10678</v>
      </c>
      <c r="T2302" t="s">
        <v>10679</v>
      </c>
    </row>
    <row r="2303" spans="1:20">
      <c r="A2303" s="241">
        <v>44001</v>
      </c>
      <c r="B2303" t="s">
        <v>10891</v>
      </c>
      <c r="C2303" t="s">
        <v>671</v>
      </c>
      <c r="D2303" t="s">
        <v>631</v>
      </c>
      <c r="E2303" t="s">
        <v>632</v>
      </c>
      <c r="F2303" t="s">
        <v>403</v>
      </c>
      <c r="G2303" t="s">
        <v>434</v>
      </c>
      <c r="H2303" t="s">
        <v>333</v>
      </c>
      <c r="I2303" t="s">
        <v>427</v>
      </c>
      <c r="J2303" t="s">
        <v>1304</v>
      </c>
      <c r="K2303" t="s">
        <v>359</v>
      </c>
      <c r="L2303">
        <v>0.86</v>
      </c>
      <c r="M2303" t="s">
        <v>10892</v>
      </c>
      <c r="N2303" t="s">
        <v>10893</v>
      </c>
      <c r="O2303" t="s">
        <v>10894</v>
      </c>
      <c r="P2303" t="s">
        <v>485</v>
      </c>
      <c r="Q2303" t="s">
        <v>10678</v>
      </c>
      <c r="R2303" t="s">
        <v>10679</v>
      </c>
      <c r="S2303" t="s">
        <v>10678</v>
      </c>
      <c r="T2303" t="s">
        <v>10679</v>
      </c>
    </row>
    <row r="2304" spans="1:20">
      <c r="A2304" s="241">
        <v>44001</v>
      </c>
      <c r="B2304" t="s">
        <v>10895</v>
      </c>
      <c r="C2304" t="s">
        <v>2535</v>
      </c>
      <c r="D2304" t="s">
        <v>2478</v>
      </c>
      <c r="E2304" t="s">
        <v>2893</v>
      </c>
      <c r="F2304" t="s">
        <v>1338</v>
      </c>
      <c r="G2304" t="s">
        <v>1324</v>
      </c>
      <c r="H2304" t="s">
        <v>639</v>
      </c>
      <c r="I2304" t="s">
        <v>416</v>
      </c>
      <c r="J2304" t="s">
        <v>407</v>
      </c>
      <c r="K2304" t="s">
        <v>327</v>
      </c>
      <c r="L2304">
        <v>0.86</v>
      </c>
      <c r="M2304" t="s">
        <v>10896</v>
      </c>
      <c r="N2304" t="s">
        <v>10897</v>
      </c>
      <c r="O2304" t="s">
        <v>10898</v>
      </c>
      <c r="P2304" t="s">
        <v>485</v>
      </c>
      <c r="Q2304" t="s">
        <v>10678</v>
      </c>
      <c r="R2304" t="s">
        <v>10679</v>
      </c>
      <c r="S2304" t="s">
        <v>10678</v>
      </c>
      <c r="T2304" t="s">
        <v>10679</v>
      </c>
    </row>
    <row r="2305" spans="1:20">
      <c r="A2305" s="241">
        <v>44001</v>
      </c>
      <c r="B2305" t="s">
        <v>10899</v>
      </c>
      <c r="C2305" t="s">
        <v>443</v>
      </c>
      <c r="D2305" t="s">
        <v>392</v>
      </c>
      <c r="E2305" t="s">
        <v>606</v>
      </c>
      <c r="F2305" t="s">
        <v>444</v>
      </c>
      <c r="G2305" t="s">
        <v>1297</v>
      </c>
      <c r="H2305" t="s">
        <v>639</v>
      </c>
      <c r="I2305" t="s">
        <v>1923</v>
      </c>
      <c r="J2305" t="s">
        <v>919</v>
      </c>
      <c r="K2305" t="s">
        <v>651</v>
      </c>
      <c r="L2305">
        <v>0.86</v>
      </c>
      <c r="M2305" t="s">
        <v>10900</v>
      </c>
      <c r="N2305" t="s">
        <v>10901</v>
      </c>
      <c r="O2305" t="s">
        <v>10902</v>
      </c>
      <c r="P2305" t="s">
        <v>485</v>
      </c>
      <c r="Q2305" t="s">
        <v>10678</v>
      </c>
      <c r="R2305" t="s">
        <v>10679</v>
      </c>
      <c r="S2305" t="s">
        <v>10678</v>
      </c>
      <c r="T2305" t="s">
        <v>10679</v>
      </c>
    </row>
    <row r="2306" spans="1:20">
      <c r="A2306" s="241">
        <v>44001</v>
      </c>
      <c r="B2306" t="s">
        <v>10903</v>
      </c>
      <c r="C2306" t="s">
        <v>2535</v>
      </c>
      <c r="D2306" t="s">
        <v>343</v>
      </c>
      <c r="E2306" t="s">
        <v>1049</v>
      </c>
      <c r="F2306" t="s">
        <v>1625</v>
      </c>
      <c r="G2306" t="s">
        <v>946</v>
      </c>
      <c r="H2306" t="s">
        <v>1536</v>
      </c>
      <c r="I2306" t="s">
        <v>446</v>
      </c>
      <c r="J2306" t="s">
        <v>940</v>
      </c>
      <c r="K2306" t="s">
        <v>651</v>
      </c>
      <c r="L2306">
        <v>0.86</v>
      </c>
      <c r="M2306" t="s">
        <v>10904</v>
      </c>
      <c r="N2306" t="s">
        <v>10905</v>
      </c>
      <c r="O2306" t="s">
        <v>10906</v>
      </c>
      <c r="P2306" t="s">
        <v>485</v>
      </c>
      <c r="Q2306" t="s">
        <v>10678</v>
      </c>
      <c r="R2306" t="s">
        <v>10679</v>
      </c>
      <c r="S2306" t="s">
        <v>10678</v>
      </c>
      <c r="T2306" t="s">
        <v>10679</v>
      </c>
    </row>
    <row r="2307" spans="1:20">
      <c r="A2307" s="241">
        <v>44001</v>
      </c>
      <c r="B2307" t="s">
        <v>10907</v>
      </c>
      <c r="C2307" t="s">
        <v>1079</v>
      </c>
      <c r="D2307" t="s">
        <v>343</v>
      </c>
      <c r="E2307" t="s">
        <v>2893</v>
      </c>
      <c r="F2307" t="s">
        <v>3408</v>
      </c>
      <c r="G2307" t="s">
        <v>728</v>
      </c>
      <c r="H2307" t="s">
        <v>3103</v>
      </c>
      <c r="I2307" t="s">
        <v>721</v>
      </c>
      <c r="J2307" t="s">
        <v>437</v>
      </c>
      <c r="K2307" t="s">
        <v>327</v>
      </c>
      <c r="L2307">
        <v>0.86</v>
      </c>
      <c r="M2307" t="s">
        <v>10908</v>
      </c>
      <c r="N2307" t="s">
        <v>10909</v>
      </c>
      <c r="O2307" t="s">
        <v>10910</v>
      </c>
      <c r="P2307" t="s">
        <v>485</v>
      </c>
      <c r="Q2307" t="s">
        <v>10678</v>
      </c>
      <c r="R2307" t="s">
        <v>10679</v>
      </c>
      <c r="S2307" t="s">
        <v>10678</v>
      </c>
      <c r="T2307" t="s">
        <v>10679</v>
      </c>
    </row>
    <row r="2308" spans="1:20">
      <c r="A2308" s="241">
        <v>44001</v>
      </c>
      <c r="B2308" t="s">
        <v>10911</v>
      </c>
      <c r="C2308" t="s">
        <v>1139</v>
      </c>
      <c r="D2308" t="s">
        <v>274</v>
      </c>
      <c r="E2308" t="s">
        <v>304</v>
      </c>
      <c r="F2308" t="s">
        <v>1625</v>
      </c>
      <c r="G2308" t="s">
        <v>2419</v>
      </c>
      <c r="H2308" t="s">
        <v>4895</v>
      </c>
      <c r="I2308" t="s">
        <v>10912</v>
      </c>
      <c r="J2308" t="s">
        <v>10913</v>
      </c>
      <c r="K2308" t="s">
        <v>10914</v>
      </c>
      <c r="L2308">
        <v>0.87</v>
      </c>
      <c r="M2308" t="s">
        <v>10915</v>
      </c>
      <c r="N2308" t="s">
        <v>10916</v>
      </c>
      <c r="O2308" t="s">
        <v>10917</v>
      </c>
      <c r="P2308" t="s">
        <v>485</v>
      </c>
      <c r="Q2308" t="s">
        <v>10678</v>
      </c>
      <c r="R2308" t="s">
        <v>10679</v>
      </c>
      <c r="S2308" t="s">
        <v>10678</v>
      </c>
      <c r="T2308" t="s">
        <v>10679</v>
      </c>
    </row>
    <row r="2309" spans="1:20">
      <c r="A2309" s="241">
        <v>44001</v>
      </c>
      <c r="B2309" t="s">
        <v>10918</v>
      </c>
      <c r="C2309" t="s">
        <v>1176</v>
      </c>
      <c r="D2309" t="s">
        <v>2821</v>
      </c>
      <c r="E2309" t="s">
        <v>207</v>
      </c>
      <c r="F2309" t="s">
        <v>1640</v>
      </c>
      <c r="G2309" t="s">
        <v>5467</v>
      </c>
      <c r="H2309" t="s">
        <v>466</v>
      </c>
      <c r="I2309" t="s">
        <v>8725</v>
      </c>
      <c r="J2309" t="s">
        <v>3505</v>
      </c>
      <c r="K2309" t="s">
        <v>10919</v>
      </c>
      <c r="L2309">
        <v>0.89</v>
      </c>
      <c r="M2309" t="s">
        <v>10920</v>
      </c>
      <c r="N2309" t="s">
        <v>10921</v>
      </c>
      <c r="O2309" t="s">
        <v>10922</v>
      </c>
      <c r="P2309" t="s">
        <v>485</v>
      </c>
      <c r="Q2309" t="s">
        <v>10678</v>
      </c>
      <c r="R2309" t="s">
        <v>10679</v>
      </c>
      <c r="S2309" t="s">
        <v>10678</v>
      </c>
      <c r="T2309" t="s">
        <v>10679</v>
      </c>
    </row>
    <row r="2310" spans="1:20">
      <c r="A2310" s="241">
        <v>44001</v>
      </c>
      <c r="B2310" t="s">
        <v>10923</v>
      </c>
      <c r="C2310" t="s">
        <v>2811</v>
      </c>
      <c r="D2310" t="s">
        <v>2821</v>
      </c>
      <c r="E2310" t="s">
        <v>207</v>
      </c>
      <c r="F2310" t="s">
        <v>4354</v>
      </c>
      <c r="G2310" t="s">
        <v>3689</v>
      </c>
      <c r="H2310" t="s">
        <v>478</v>
      </c>
      <c r="I2310" t="s">
        <v>6586</v>
      </c>
      <c r="J2310" t="s">
        <v>7275</v>
      </c>
      <c r="K2310" t="s">
        <v>4161</v>
      </c>
      <c r="L2310">
        <v>0.89</v>
      </c>
      <c r="M2310" t="s">
        <v>10924</v>
      </c>
      <c r="N2310" t="s">
        <v>10925</v>
      </c>
      <c r="O2310" t="s">
        <v>10926</v>
      </c>
      <c r="P2310" t="s">
        <v>485</v>
      </c>
      <c r="Q2310" t="s">
        <v>10678</v>
      </c>
      <c r="R2310" t="s">
        <v>10679</v>
      </c>
      <c r="S2310" t="s">
        <v>10678</v>
      </c>
      <c r="T2310" t="s">
        <v>10679</v>
      </c>
    </row>
    <row r="2311" spans="1:20">
      <c r="A2311" s="241">
        <v>44001</v>
      </c>
      <c r="B2311" t="s">
        <v>10927</v>
      </c>
      <c r="C2311" t="s">
        <v>1666</v>
      </c>
      <c r="D2311" t="s">
        <v>1666</v>
      </c>
      <c r="E2311" t="s">
        <v>261</v>
      </c>
      <c r="F2311" t="s">
        <v>3120</v>
      </c>
      <c r="G2311" t="s">
        <v>8734</v>
      </c>
      <c r="H2311" t="s">
        <v>6943</v>
      </c>
      <c r="I2311" t="s">
        <v>10928</v>
      </c>
      <c r="J2311" t="s">
        <v>10929</v>
      </c>
      <c r="K2311" t="s">
        <v>3511</v>
      </c>
      <c r="L2311">
        <v>0.89</v>
      </c>
      <c r="M2311" t="s">
        <v>10930</v>
      </c>
      <c r="N2311" t="s">
        <v>10931</v>
      </c>
      <c r="O2311" t="s">
        <v>10932</v>
      </c>
      <c r="P2311" t="s">
        <v>485</v>
      </c>
      <c r="Q2311" t="s">
        <v>10678</v>
      </c>
      <c r="R2311" t="s">
        <v>10679</v>
      </c>
      <c r="S2311" t="s">
        <v>10678</v>
      </c>
      <c r="T2311" t="s">
        <v>10679</v>
      </c>
    </row>
    <row r="2312" spans="1:20">
      <c r="A2312" s="241">
        <v>44001</v>
      </c>
      <c r="B2312" t="s">
        <v>10933</v>
      </c>
      <c r="C2312" t="s">
        <v>5481</v>
      </c>
      <c r="D2312" t="s">
        <v>679</v>
      </c>
      <c r="E2312" t="s">
        <v>2535</v>
      </c>
      <c r="F2312" t="s">
        <v>8813</v>
      </c>
      <c r="G2312" t="s">
        <v>10934</v>
      </c>
      <c r="H2312" t="s">
        <v>9480</v>
      </c>
      <c r="I2312" t="s">
        <v>10935</v>
      </c>
      <c r="J2312" t="s">
        <v>10936</v>
      </c>
      <c r="K2312" t="s">
        <v>10937</v>
      </c>
      <c r="L2312">
        <v>0.88</v>
      </c>
      <c r="M2312" t="s">
        <v>10938</v>
      </c>
      <c r="N2312" t="s">
        <v>10939</v>
      </c>
      <c r="O2312" t="s">
        <v>10940</v>
      </c>
      <c r="P2312" t="s">
        <v>485</v>
      </c>
      <c r="Q2312" t="s">
        <v>10678</v>
      </c>
      <c r="R2312" t="s">
        <v>10679</v>
      </c>
      <c r="S2312" t="s">
        <v>10678</v>
      </c>
      <c r="T2312" t="s">
        <v>10679</v>
      </c>
    </row>
    <row r="2313" spans="1:20">
      <c r="A2313" s="241">
        <v>44001</v>
      </c>
      <c r="B2313" t="s">
        <v>10941</v>
      </c>
      <c r="C2313" t="s">
        <v>712</v>
      </c>
      <c r="D2313" t="s">
        <v>208</v>
      </c>
      <c r="E2313" t="s">
        <v>2769</v>
      </c>
      <c r="F2313" t="s">
        <v>209</v>
      </c>
      <c r="G2313" t="s">
        <v>511</v>
      </c>
      <c r="H2313" t="s">
        <v>2663</v>
      </c>
      <c r="I2313" t="s">
        <v>1391</v>
      </c>
      <c r="J2313" t="s">
        <v>2018</v>
      </c>
      <c r="K2313" t="s">
        <v>781</v>
      </c>
      <c r="L2313">
        <v>0.86</v>
      </c>
      <c r="M2313" t="s">
        <v>10942</v>
      </c>
      <c r="N2313" t="s">
        <v>10943</v>
      </c>
      <c r="O2313" t="s">
        <v>10944</v>
      </c>
      <c r="P2313" t="s">
        <v>485</v>
      </c>
      <c r="Q2313" t="s">
        <v>10678</v>
      </c>
      <c r="R2313" t="s">
        <v>10679</v>
      </c>
      <c r="S2313" t="s">
        <v>10678</v>
      </c>
      <c r="T2313" t="s">
        <v>10679</v>
      </c>
    </row>
    <row r="2314" spans="1:20">
      <c r="A2314" s="241">
        <v>44001</v>
      </c>
      <c r="B2314" t="s">
        <v>10945</v>
      </c>
      <c r="C2314" t="s">
        <v>2478</v>
      </c>
      <c r="D2314" t="s">
        <v>645</v>
      </c>
      <c r="E2314" t="s">
        <v>3054</v>
      </c>
      <c r="F2314" t="s">
        <v>209</v>
      </c>
      <c r="G2314" t="s">
        <v>2053</v>
      </c>
      <c r="H2314" t="s">
        <v>1225</v>
      </c>
      <c r="I2314" t="s">
        <v>522</v>
      </c>
      <c r="J2314" t="s">
        <v>514</v>
      </c>
      <c r="K2314" t="s">
        <v>2277</v>
      </c>
      <c r="L2314">
        <v>0.86</v>
      </c>
      <c r="M2314" t="s">
        <v>10946</v>
      </c>
      <c r="N2314" t="s">
        <v>10947</v>
      </c>
      <c r="O2314" t="s">
        <v>10948</v>
      </c>
      <c r="P2314" t="s">
        <v>485</v>
      </c>
      <c r="Q2314" t="s">
        <v>10678</v>
      </c>
      <c r="R2314" t="s">
        <v>10679</v>
      </c>
      <c r="S2314" t="s">
        <v>10678</v>
      </c>
      <c r="T2314" t="s">
        <v>10679</v>
      </c>
    </row>
    <row r="2315" spans="1:20">
      <c r="A2315" s="241">
        <v>44001</v>
      </c>
      <c r="B2315" t="s">
        <v>10949</v>
      </c>
      <c r="C2315" t="s">
        <v>2478</v>
      </c>
      <c r="D2315" t="s">
        <v>392</v>
      </c>
      <c r="E2315" t="s">
        <v>2893</v>
      </c>
      <c r="F2315" t="s">
        <v>316</v>
      </c>
      <c r="G2315" t="s">
        <v>2080</v>
      </c>
      <c r="H2315" t="s">
        <v>1404</v>
      </c>
      <c r="I2315" t="s">
        <v>793</v>
      </c>
      <c r="J2315" t="s">
        <v>1020</v>
      </c>
      <c r="K2315" t="s">
        <v>781</v>
      </c>
      <c r="L2315">
        <v>0.86</v>
      </c>
      <c r="M2315" t="s">
        <v>10950</v>
      </c>
      <c r="N2315" t="s">
        <v>10951</v>
      </c>
      <c r="O2315" t="s">
        <v>10952</v>
      </c>
      <c r="P2315" t="s">
        <v>485</v>
      </c>
      <c r="Q2315" t="s">
        <v>10678</v>
      </c>
      <c r="R2315" t="s">
        <v>10679</v>
      </c>
      <c r="S2315" t="s">
        <v>10678</v>
      </c>
      <c r="T2315" t="s">
        <v>10679</v>
      </c>
    </row>
    <row r="2316" spans="1:20">
      <c r="A2316" s="241">
        <v>44001</v>
      </c>
      <c r="B2316" t="s">
        <v>10953</v>
      </c>
      <c r="C2316" t="s">
        <v>1139</v>
      </c>
      <c r="D2316" t="s">
        <v>208</v>
      </c>
      <c r="E2316" t="s">
        <v>2731</v>
      </c>
      <c r="F2316" t="s">
        <v>608</v>
      </c>
      <c r="G2316" t="s">
        <v>1420</v>
      </c>
      <c r="H2316" t="s">
        <v>1213</v>
      </c>
      <c r="I2316" t="s">
        <v>532</v>
      </c>
      <c r="J2316" t="s">
        <v>2681</v>
      </c>
      <c r="K2316" t="s">
        <v>2277</v>
      </c>
      <c r="L2316">
        <v>0.86</v>
      </c>
      <c r="M2316" t="s">
        <v>10954</v>
      </c>
      <c r="N2316" t="s">
        <v>10955</v>
      </c>
      <c r="O2316" t="s">
        <v>10956</v>
      </c>
      <c r="P2316" t="s">
        <v>485</v>
      </c>
      <c r="Q2316" t="s">
        <v>10678</v>
      </c>
      <c r="R2316" t="s">
        <v>10679</v>
      </c>
      <c r="S2316" t="s">
        <v>10678</v>
      </c>
      <c r="T2316" t="s">
        <v>10679</v>
      </c>
    </row>
    <row r="2317" spans="1:20">
      <c r="A2317" s="241">
        <v>44001</v>
      </c>
      <c r="B2317" t="s">
        <v>10957</v>
      </c>
      <c r="C2317" t="s">
        <v>1079</v>
      </c>
      <c r="D2317" t="s">
        <v>443</v>
      </c>
      <c r="E2317" t="s">
        <v>2584</v>
      </c>
      <c r="F2317" t="s">
        <v>1255</v>
      </c>
      <c r="G2317" t="s">
        <v>2053</v>
      </c>
      <c r="H2317" t="s">
        <v>1426</v>
      </c>
      <c r="I2317" t="s">
        <v>542</v>
      </c>
      <c r="J2317" t="s">
        <v>1233</v>
      </c>
      <c r="K2317" t="s">
        <v>1406</v>
      </c>
      <c r="L2317">
        <v>0.86</v>
      </c>
      <c r="M2317" t="s">
        <v>10958</v>
      </c>
      <c r="N2317" t="s">
        <v>10959</v>
      </c>
      <c r="O2317" t="s">
        <v>10960</v>
      </c>
      <c r="P2317" t="s">
        <v>485</v>
      </c>
      <c r="Q2317" t="s">
        <v>10678</v>
      </c>
      <c r="R2317" t="s">
        <v>10679</v>
      </c>
      <c r="S2317" t="s">
        <v>10678</v>
      </c>
      <c r="T2317" t="s">
        <v>10679</v>
      </c>
    </row>
    <row r="2318" spans="1:20">
      <c r="A2318" s="241">
        <v>44001</v>
      </c>
      <c r="B2318" t="s">
        <v>10961</v>
      </c>
      <c r="C2318" t="s">
        <v>2549</v>
      </c>
      <c r="D2318" t="s">
        <v>2535</v>
      </c>
      <c r="E2318" t="s">
        <v>1049</v>
      </c>
      <c r="F2318" t="s">
        <v>316</v>
      </c>
      <c r="G2318" t="s">
        <v>2314</v>
      </c>
      <c r="H2318" t="s">
        <v>1051</v>
      </c>
      <c r="I2318" t="s">
        <v>550</v>
      </c>
      <c r="J2318" t="s">
        <v>1026</v>
      </c>
      <c r="K2318" t="s">
        <v>2277</v>
      </c>
      <c r="L2318">
        <v>0.86</v>
      </c>
      <c r="M2318" t="s">
        <v>10962</v>
      </c>
      <c r="N2318" t="s">
        <v>10963</v>
      </c>
      <c r="O2318" t="s">
        <v>10964</v>
      </c>
      <c r="P2318" t="s">
        <v>485</v>
      </c>
      <c r="Q2318" t="s">
        <v>10678</v>
      </c>
      <c r="R2318" t="s">
        <v>10679</v>
      </c>
      <c r="S2318" t="s">
        <v>10678</v>
      </c>
      <c r="T2318" t="s">
        <v>10679</v>
      </c>
    </row>
    <row r="2319" spans="1:20">
      <c r="A2319" s="241">
        <v>44001</v>
      </c>
      <c r="B2319" t="s">
        <v>10965</v>
      </c>
      <c r="C2319" t="s">
        <v>2535</v>
      </c>
      <c r="D2319" t="s">
        <v>1139</v>
      </c>
      <c r="E2319" t="s">
        <v>2893</v>
      </c>
      <c r="F2319" t="s">
        <v>1255</v>
      </c>
      <c r="G2319" t="s">
        <v>252</v>
      </c>
      <c r="H2319" t="s">
        <v>1051</v>
      </c>
      <c r="I2319" t="s">
        <v>1747</v>
      </c>
      <c r="J2319" t="s">
        <v>551</v>
      </c>
      <c r="K2319" t="s">
        <v>1406</v>
      </c>
      <c r="L2319">
        <v>0.86</v>
      </c>
      <c r="M2319" t="s">
        <v>10966</v>
      </c>
      <c r="N2319" t="s">
        <v>10967</v>
      </c>
      <c r="O2319" t="s">
        <v>10968</v>
      </c>
      <c r="P2319" t="s">
        <v>485</v>
      </c>
      <c r="Q2319" t="s">
        <v>10678</v>
      </c>
      <c r="R2319" t="s">
        <v>10679</v>
      </c>
      <c r="S2319" t="s">
        <v>10678</v>
      </c>
      <c r="T2319" t="s">
        <v>10679</v>
      </c>
    </row>
    <row r="2320" spans="1:20">
      <c r="A2320" s="241">
        <v>44001</v>
      </c>
      <c r="B2320" t="s">
        <v>10969</v>
      </c>
      <c r="C2320" t="s">
        <v>2478</v>
      </c>
      <c r="D2320" t="s">
        <v>392</v>
      </c>
      <c r="E2320" t="s">
        <v>1314</v>
      </c>
      <c r="F2320" t="s">
        <v>566</v>
      </c>
      <c r="G2320" t="s">
        <v>1044</v>
      </c>
      <c r="H2320" t="s">
        <v>253</v>
      </c>
      <c r="I2320" t="s">
        <v>806</v>
      </c>
      <c r="J2320" t="s">
        <v>1039</v>
      </c>
      <c r="K2320" t="s">
        <v>515</v>
      </c>
      <c r="L2320">
        <v>0.86</v>
      </c>
      <c r="M2320" t="s">
        <v>10970</v>
      </c>
      <c r="N2320" t="s">
        <v>10971</v>
      </c>
      <c r="O2320" t="s">
        <v>10972</v>
      </c>
      <c r="P2320" t="s">
        <v>485</v>
      </c>
      <c r="Q2320" t="s">
        <v>10678</v>
      </c>
      <c r="R2320" t="s">
        <v>10679</v>
      </c>
      <c r="S2320" t="s">
        <v>10678</v>
      </c>
      <c r="T2320" t="s">
        <v>10679</v>
      </c>
    </row>
    <row r="2321" spans="1:20">
      <c r="A2321" s="241">
        <v>44001</v>
      </c>
      <c r="B2321" t="s">
        <v>10973</v>
      </c>
      <c r="C2321" t="s">
        <v>2549</v>
      </c>
      <c r="D2321" t="s">
        <v>392</v>
      </c>
      <c r="E2321" t="s">
        <v>2584</v>
      </c>
      <c r="F2321" t="s">
        <v>584</v>
      </c>
      <c r="G2321" t="s">
        <v>1447</v>
      </c>
      <c r="H2321" t="s">
        <v>1388</v>
      </c>
      <c r="I2321" t="s">
        <v>1250</v>
      </c>
      <c r="J2321" t="s">
        <v>807</v>
      </c>
      <c r="K2321" t="s">
        <v>1012</v>
      </c>
      <c r="L2321">
        <v>0.86</v>
      </c>
      <c r="M2321" t="s">
        <v>10974</v>
      </c>
      <c r="N2321" t="s">
        <v>10975</v>
      </c>
      <c r="O2321" t="s">
        <v>10976</v>
      </c>
      <c r="P2321" t="s">
        <v>485</v>
      </c>
      <c r="Q2321" t="s">
        <v>10678</v>
      </c>
      <c r="R2321" t="s">
        <v>10679</v>
      </c>
      <c r="S2321" t="s">
        <v>10678</v>
      </c>
      <c r="T2321" t="s">
        <v>10679</v>
      </c>
    </row>
    <row r="2322" spans="1:20">
      <c r="A2322" s="241">
        <v>44001</v>
      </c>
      <c r="B2322" t="s">
        <v>10977</v>
      </c>
      <c r="C2322" t="s">
        <v>392</v>
      </c>
      <c r="D2322" t="s">
        <v>343</v>
      </c>
      <c r="E2322" t="s">
        <v>2584</v>
      </c>
      <c r="F2322" t="s">
        <v>314</v>
      </c>
      <c r="G2322" t="s">
        <v>227</v>
      </c>
      <c r="H2322" t="s">
        <v>253</v>
      </c>
      <c r="I2322" t="s">
        <v>577</v>
      </c>
      <c r="J2322" t="s">
        <v>230</v>
      </c>
      <c r="K2322" t="s">
        <v>1399</v>
      </c>
      <c r="L2322">
        <v>0.86</v>
      </c>
      <c r="M2322" t="s">
        <v>10978</v>
      </c>
      <c r="N2322" t="s">
        <v>10979</v>
      </c>
      <c r="O2322" t="s">
        <v>10980</v>
      </c>
      <c r="P2322" t="s">
        <v>485</v>
      </c>
      <c r="Q2322" t="s">
        <v>10678</v>
      </c>
      <c r="R2322" t="s">
        <v>10679</v>
      </c>
      <c r="S2322" t="s">
        <v>10678</v>
      </c>
      <c r="T2322" t="s">
        <v>10679</v>
      </c>
    </row>
    <row r="2323" spans="1:20">
      <c r="A2323" s="241">
        <v>44001</v>
      </c>
      <c r="B2323" t="s">
        <v>10981</v>
      </c>
      <c r="C2323" t="s">
        <v>1079</v>
      </c>
      <c r="D2323" t="s">
        <v>208</v>
      </c>
      <c r="E2323" t="s">
        <v>3054</v>
      </c>
      <c r="F2323" t="s">
        <v>616</v>
      </c>
      <c r="G2323" t="s">
        <v>296</v>
      </c>
      <c r="H2323" t="s">
        <v>1704</v>
      </c>
      <c r="I2323" t="s">
        <v>2329</v>
      </c>
      <c r="J2323" t="s">
        <v>825</v>
      </c>
      <c r="K2323" t="s">
        <v>1012</v>
      </c>
      <c r="L2323">
        <v>0.86</v>
      </c>
      <c r="M2323" t="s">
        <v>10982</v>
      </c>
      <c r="N2323" t="s">
        <v>10983</v>
      </c>
      <c r="O2323" t="s">
        <v>10984</v>
      </c>
      <c r="P2323" t="s">
        <v>485</v>
      </c>
      <c r="Q2323" t="s">
        <v>10678</v>
      </c>
      <c r="R2323" t="s">
        <v>10679</v>
      </c>
      <c r="S2323" t="s">
        <v>10678</v>
      </c>
      <c r="T2323" t="s">
        <v>10679</v>
      </c>
    </row>
    <row r="2324" spans="1:20">
      <c r="A2324" s="241">
        <v>44001</v>
      </c>
      <c r="B2324" t="s">
        <v>10985</v>
      </c>
      <c r="C2324" t="s">
        <v>392</v>
      </c>
      <c r="D2324" t="s">
        <v>208</v>
      </c>
      <c r="E2324" t="s">
        <v>2893</v>
      </c>
      <c r="F2324" t="s">
        <v>1291</v>
      </c>
      <c r="G2324" t="s">
        <v>607</v>
      </c>
      <c r="H2324" t="s">
        <v>1057</v>
      </c>
      <c r="I2324" t="s">
        <v>1062</v>
      </c>
      <c r="J2324" t="s">
        <v>578</v>
      </c>
      <c r="K2324" t="s">
        <v>1012</v>
      </c>
      <c r="L2324">
        <v>0.86</v>
      </c>
      <c r="M2324" t="s">
        <v>10986</v>
      </c>
      <c r="N2324" t="s">
        <v>10987</v>
      </c>
      <c r="O2324" t="s">
        <v>10988</v>
      </c>
      <c r="P2324" t="s">
        <v>485</v>
      </c>
      <c r="Q2324" t="s">
        <v>10678</v>
      </c>
      <c r="R2324" t="s">
        <v>10679</v>
      </c>
      <c r="S2324" t="s">
        <v>10678</v>
      </c>
      <c r="T2324" t="s">
        <v>10679</v>
      </c>
    </row>
    <row r="2325" spans="1:20">
      <c r="A2325" s="241">
        <v>44001</v>
      </c>
      <c r="B2325" t="s">
        <v>10989</v>
      </c>
      <c r="C2325" t="s">
        <v>1139</v>
      </c>
      <c r="D2325" t="s">
        <v>556</v>
      </c>
      <c r="E2325" t="s">
        <v>2544</v>
      </c>
      <c r="F2325" t="s">
        <v>926</v>
      </c>
      <c r="G2325" t="s">
        <v>2343</v>
      </c>
      <c r="H2325" t="s">
        <v>2927</v>
      </c>
      <c r="I2325" t="s">
        <v>1468</v>
      </c>
      <c r="J2325" t="s">
        <v>1063</v>
      </c>
      <c r="K2325" t="s">
        <v>1032</v>
      </c>
      <c r="L2325">
        <v>0.86</v>
      </c>
      <c r="M2325" t="s">
        <v>10990</v>
      </c>
      <c r="N2325" t="s">
        <v>10991</v>
      </c>
      <c r="O2325" t="s">
        <v>10992</v>
      </c>
      <c r="P2325" t="s">
        <v>485</v>
      </c>
      <c r="Q2325" t="s">
        <v>10678</v>
      </c>
      <c r="R2325" t="s">
        <v>10679</v>
      </c>
      <c r="S2325" t="s">
        <v>10678</v>
      </c>
      <c r="T2325" t="s">
        <v>10679</v>
      </c>
    </row>
    <row r="2326" spans="1:20">
      <c r="A2326" s="241">
        <v>44001</v>
      </c>
      <c r="B2326" t="s">
        <v>10993</v>
      </c>
      <c r="C2326" t="s">
        <v>631</v>
      </c>
      <c r="D2326" t="s">
        <v>250</v>
      </c>
      <c r="E2326" t="s">
        <v>2893</v>
      </c>
      <c r="F2326" t="s">
        <v>1147</v>
      </c>
      <c r="G2326" t="s">
        <v>306</v>
      </c>
      <c r="H2326" t="s">
        <v>1069</v>
      </c>
      <c r="I2326" t="s">
        <v>288</v>
      </c>
      <c r="J2326" t="s">
        <v>267</v>
      </c>
      <c r="K2326" t="s">
        <v>1012</v>
      </c>
      <c r="L2326">
        <v>0.86</v>
      </c>
      <c r="M2326" t="s">
        <v>10994</v>
      </c>
      <c r="N2326" t="s">
        <v>10995</v>
      </c>
      <c r="O2326" t="s">
        <v>10996</v>
      </c>
      <c r="P2326" t="s">
        <v>485</v>
      </c>
      <c r="Q2326" t="s">
        <v>10678</v>
      </c>
      <c r="R2326" t="s">
        <v>10679</v>
      </c>
      <c r="S2326" t="s">
        <v>10678</v>
      </c>
      <c r="T2326" t="s">
        <v>10679</v>
      </c>
    </row>
    <row r="2327" spans="1:20">
      <c r="A2327" s="241">
        <v>44001</v>
      </c>
      <c r="B2327" t="s">
        <v>10997</v>
      </c>
      <c r="C2327" t="s">
        <v>679</v>
      </c>
      <c r="D2327" t="s">
        <v>250</v>
      </c>
      <c r="E2327" t="s">
        <v>2880</v>
      </c>
      <c r="F2327" t="s">
        <v>1291</v>
      </c>
      <c r="G2327" t="s">
        <v>1081</v>
      </c>
      <c r="H2327" t="s">
        <v>862</v>
      </c>
      <c r="I2327" t="s">
        <v>288</v>
      </c>
      <c r="J2327" t="s">
        <v>1063</v>
      </c>
      <c r="K2327" t="s">
        <v>515</v>
      </c>
      <c r="L2327">
        <v>0.86</v>
      </c>
      <c r="M2327" t="s">
        <v>10998</v>
      </c>
      <c r="N2327" t="s">
        <v>10999</v>
      </c>
      <c r="O2327" t="s">
        <v>11000</v>
      </c>
      <c r="P2327" t="s">
        <v>485</v>
      </c>
      <c r="Q2327" t="s">
        <v>10678</v>
      </c>
      <c r="R2327" t="s">
        <v>10679</v>
      </c>
      <c r="S2327" t="s">
        <v>10678</v>
      </c>
      <c r="T2327" t="s">
        <v>10679</v>
      </c>
    </row>
    <row r="2328" spans="1:20">
      <c r="A2328" s="241">
        <v>44001</v>
      </c>
      <c r="B2328" t="s">
        <v>11001</v>
      </c>
      <c r="C2328" t="s">
        <v>2549</v>
      </c>
      <c r="D2328" t="s">
        <v>382</v>
      </c>
      <c r="E2328" t="s">
        <v>2932</v>
      </c>
      <c r="F2328" t="s">
        <v>445</v>
      </c>
      <c r="G2328" t="s">
        <v>3284</v>
      </c>
      <c r="H2328" t="s">
        <v>868</v>
      </c>
      <c r="I2328" t="s">
        <v>1811</v>
      </c>
      <c r="J2328" t="s">
        <v>298</v>
      </c>
      <c r="K2328" t="s">
        <v>515</v>
      </c>
      <c r="L2328">
        <v>0.86</v>
      </c>
      <c r="M2328" t="s">
        <v>11002</v>
      </c>
      <c r="N2328" t="s">
        <v>11003</v>
      </c>
      <c r="O2328" t="s">
        <v>11004</v>
      </c>
      <c r="P2328" t="s">
        <v>485</v>
      </c>
      <c r="Q2328" t="s">
        <v>10678</v>
      </c>
      <c r="R2328" t="s">
        <v>10679</v>
      </c>
      <c r="S2328" t="s">
        <v>10678</v>
      </c>
      <c r="T2328" t="s">
        <v>10679</v>
      </c>
    </row>
    <row r="2329" spans="1:20">
      <c r="A2329" s="241">
        <v>44001</v>
      </c>
      <c r="B2329" t="s">
        <v>11005</v>
      </c>
      <c r="C2329" t="s">
        <v>2478</v>
      </c>
      <c r="D2329" t="s">
        <v>332</v>
      </c>
      <c r="E2329" t="s">
        <v>2880</v>
      </c>
      <c r="F2329" t="s">
        <v>1493</v>
      </c>
      <c r="G2329" t="s">
        <v>875</v>
      </c>
      <c r="H2329" t="s">
        <v>566</v>
      </c>
      <c r="I2329" t="s">
        <v>869</v>
      </c>
      <c r="J2329" t="s">
        <v>309</v>
      </c>
      <c r="K2329" t="s">
        <v>524</v>
      </c>
      <c r="L2329">
        <v>0.86</v>
      </c>
      <c r="M2329" t="s">
        <v>11006</v>
      </c>
      <c r="N2329" t="s">
        <v>11007</v>
      </c>
      <c r="O2329" t="s">
        <v>11008</v>
      </c>
      <c r="P2329" t="s">
        <v>485</v>
      </c>
      <c r="Q2329" t="s">
        <v>10678</v>
      </c>
      <c r="R2329" t="s">
        <v>10679</v>
      </c>
      <c r="S2329" t="s">
        <v>10678</v>
      </c>
      <c r="T2329" t="s">
        <v>10679</v>
      </c>
    </row>
    <row r="2330" spans="1:20">
      <c r="A2330" s="241">
        <v>44001</v>
      </c>
      <c r="B2330" t="s">
        <v>11009</v>
      </c>
      <c r="C2330" t="s">
        <v>392</v>
      </c>
      <c r="D2330" t="s">
        <v>2549</v>
      </c>
      <c r="E2330" t="s">
        <v>2880</v>
      </c>
      <c r="F2330" t="s">
        <v>426</v>
      </c>
      <c r="G2330" t="s">
        <v>843</v>
      </c>
      <c r="H2330" t="s">
        <v>316</v>
      </c>
      <c r="I2330" t="s">
        <v>609</v>
      </c>
      <c r="J2330" t="s">
        <v>850</v>
      </c>
      <c r="K2330" t="s">
        <v>571</v>
      </c>
      <c r="L2330">
        <v>0.86</v>
      </c>
      <c r="M2330" t="s">
        <v>11010</v>
      </c>
      <c r="N2330" t="s">
        <v>11011</v>
      </c>
      <c r="O2330" t="s">
        <v>11012</v>
      </c>
      <c r="P2330" t="s">
        <v>485</v>
      </c>
      <c r="Q2330" t="s">
        <v>10678</v>
      </c>
      <c r="R2330" t="s">
        <v>10679</v>
      </c>
      <c r="S2330" t="s">
        <v>10678</v>
      </c>
      <c r="T2330" t="s">
        <v>10679</v>
      </c>
    </row>
    <row r="2331" spans="1:20">
      <c r="A2331" s="241">
        <v>44001</v>
      </c>
      <c r="B2331" t="s">
        <v>11013</v>
      </c>
      <c r="C2331" t="s">
        <v>2478</v>
      </c>
      <c r="D2331" t="s">
        <v>556</v>
      </c>
      <c r="E2331" t="s">
        <v>2584</v>
      </c>
      <c r="F2331" t="s">
        <v>323</v>
      </c>
      <c r="G2331" t="s">
        <v>324</v>
      </c>
      <c r="H2331" t="s">
        <v>263</v>
      </c>
      <c r="I2331" t="s">
        <v>1501</v>
      </c>
      <c r="J2331" t="s">
        <v>1484</v>
      </c>
      <c r="K2331" t="s">
        <v>534</v>
      </c>
      <c r="L2331">
        <v>0.86</v>
      </c>
      <c r="M2331" t="s">
        <v>11014</v>
      </c>
      <c r="N2331" t="s">
        <v>11015</v>
      </c>
      <c r="O2331" t="s">
        <v>11016</v>
      </c>
      <c r="P2331" t="s">
        <v>485</v>
      </c>
      <c r="Q2331" t="s">
        <v>10678</v>
      </c>
      <c r="R2331" t="s">
        <v>10679</v>
      </c>
      <c r="S2331" t="s">
        <v>10678</v>
      </c>
      <c r="T2331" t="s">
        <v>10679</v>
      </c>
    </row>
    <row r="2332" spans="1:20">
      <c r="A2332" s="241">
        <v>44001</v>
      </c>
      <c r="B2332" t="s">
        <v>11017</v>
      </c>
      <c r="C2332" t="s">
        <v>2535</v>
      </c>
      <c r="D2332" t="s">
        <v>443</v>
      </c>
      <c r="E2332" t="s">
        <v>2893</v>
      </c>
      <c r="F2332" t="s">
        <v>333</v>
      </c>
      <c r="G2332" t="s">
        <v>1517</v>
      </c>
      <c r="H2332" t="s">
        <v>1050</v>
      </c>
      <c r="I2332" t="s">
        <v>325</v>
      </c>
      <c r="J2332" t="s">
        <v>1827</v>
      </c>
      <c r="K2332" t="s">
        <v>244</v>
      </c>
      <c r="L2332">
        <v>0.86</v>
      </c>
      <c r="M2332" t="s">
        <v>11018</v>
      </c>
      <c r="N2332" t="s">
        <v>11019</v>
      </c>
      <c r="O2332" t="s">
        <v>11020</v>
      </c>
      <c r="P2332" t="s">
        <v>485</v>
      </c>
      <c r="Q2332" t="s">
        <v>10678</v>
      </c>
      <c r="R2332" t="s">
        <v>10679</v>
      </c>
      <c r="S2332" t="s">
        <v>10678</v>
      </c>
      <c r="T2332" t="s">
        <v>10679</v>
      </c>
    </row>
    <row r="2333" spans="1:20">
      <c r="A2333" s="241">
        <v>44001</v>
      </c>
      <c r="B2333" t="s">
        <v>11021</v>
      </c>
      <c r="C2333" t="s">
        <v>343</v>
      </c>
      <c r="D2333" t="s">
        <v>2535</v>
      </c>
      <c r="E2333" t="s">
        <v>2584</v>
      </c>
      <c r="F2333" t="s">
        <v>333</v>
      </c>
      <c r="G2333" t="s">
        <v>345</v>
      </c>
      <c r="H2333" t="s">
        <v>584</v>
      </c>
      <c r="I2333" t="s">
        <v>1842</v>
      </c>
      <c r="J2333" t="s">
        <v>620</v>
      </c>
      <c r="K2333" t="s">
        <v>534</v>
      </c>
      <c r="L2333">
        <v>0.86</v>
      </c>
      <c r="M2333" t="s">
        <v>11022</v>
      </c>
      <c r="N2333" t="s">
        <v>11023</v>
      </c>
      <c r="O2333" t="s">
        <v>11024</v>
      </c>
      <c r="P2333" t="s">
        <v>485</v>
      </c>
      <c r="Q2333" t="s">
        <v>10678</v>
      </c>
      <c r="R2333" t="s">
        <v>10679</v>
      </c>
      <c r="S2333" t="s">
        <v>10678</v>
      </c>
      <c r="T2333" t="s">
        <v>10679</v>
      </c>
    </row>
    <row r="2334" spans="1:20">
      <c r="A2334" s="241">
        <v>44001</v>
      </c>
      <c r="B2334" t="s">
        <v>11025</v>
      </c>
      <c r="C2334" t="s">
        <v>343</v>
      </c>
      <c r="D2334" t="s">
        <v>402</v>
      </c>
      <c r="E2334" t="s">
        <v>2544</v>
      </c>
      <c r="F2334" t="s">
        <v>1127</v>
      </c>
      <c r="G2334" t="s">
        <v>1104</v>
      </c>
      <c r="H2334" t="s">
        <v>366</v>
      </c>
      <c r="I2334" t="s">
        <v>888</v>
      </c>
      <c r="J2334" t="s">
        <v>337</v>
      </c>
      <c r="K2334" t="s">
        <v>244</v>
      </c>
      <c r="L2334">
        <v>0.86</v>
      </c>
      <c r="M2334" t="s">
        <v>11026</v>
      </c>
      <c r="N2334" t="s">
        <v>11027</v>
      </c>
      <c r="O2334" t="s">
        <v>11028</v>
      </c>
      <c r="P2334" t="s">
        <v>485</v>
      </c>
      <c r="Q2334" t="s">
        <v>10678</v>
      </c>
      <c r="R2334" t="s">
        <v>10679</v>
      </c>
      <c r="S2334" t="s">
        <v>10678</v>
      </c>
      <c r="T2334" t="s">
        <v>10679</v>
      </c>
    </row>
    <row r="2335" spans="1:20">
      <c r="A2335" s="241">
        <v>44001</v>
      </c>
      <c r="B2335" t="s">
        <v>11029</v>
      </c>
      <c r="C2335" t="s">
        <v>402</v>
      </c>
      <c r="D2335" t="s">
        <v>2535</v>
      </c>
      <c r="E2335" t="s">
        <v>2769</v>
      </c>
      <c r="F2335" t="s">
        <v>1536</v>
      </c>
      <c r="G2335" t="s">
        <v>365</v>
      </c>
      <c r="H2335" t="s">
        <v>1262</v>
      </c>
      <c r="I2335" t="s">
        <v>882</v>
      </c>
      <c r="J2335" t="s">
        <v>1506</v>
      </c>
      <c r="K2335" t="s">
        <v>571</v>
      </c>
      <c r="L2335">
        <v>0.86</v>
      </c>
      <c r="M2335" t="s">
        <v>11030</v>
      </c>
      <c r="N2335" t="s">
        <v>11031</v>
      </c>
      <c r="O2335" t="s">
        <v>11032</v>
      </c>
      <c r="P2335" t="s">
        <v>485</v>
      </c>
      <c r="Q2335" t="s">
        <v>10678</v>
      </c>
      <c r="R2335" t="s">
        <v>10679</v>
      </c>
      <c r="S2335" t="s">
        <v>10678</v>
      </c>
      <c r="T2335" t="s">
        <v>10679</v>
      </c>
    </row>
    <row r="2336" spans="1:20">
      <c r="A2336" s="241">
        <v>44001</v>
      </c>
      <c r="B2336" t="s">
        <v>11033</v>
      </c>
      <c r="C2336" t="s">
        <v>208</v>
      </c>
      <c r="D2336" t="s">
        <v>382</v>
      </c>
      <c r="E2336" t="s">
        <v>2584</v>
      </c>
      <c r="F2336" t="s">
        <v>672</v>
      </c>
      <c r="G2336" t="s">
        <v>1562</v>
      </c>
      <c r="H2336" t="s">
        <v>385</v>
      </c>
      <c r="I2336" t="s">
        <v>656</v>
      </c>
      <c r="J2336" t="s">
        <v>650</v>
      </c>
      <c r="K2336" t="s">
        <v>244</v>
      </c>
      <c r="L2336">
        <v>0.86</v>
      </c>
      <c r="M2336" t="s">
        <v>11034</v>
      </c>
      <c r="N2336" t="s">
        <v>11035</v>
      </c>
      <c r="O2336" t="s">
        <v>11036</v>
      </c>
      <c r="P2336" t="s">
        <v>485</v>
      </c>
      <c r="Q2336" t="s">
        <v>10678</v>
      </c>
      <c r="R2336" t="s">
        <v>10679</v>
      </c>
      <c r="S2336" t="s">
        <v>10678</v>
      </c>
      <c r="T2336" t="s">
        <v>10679</v>
      </c>
    </row>
    <row r="2337" spans="1:20">
      <c r="A2337" s="241">
        <v>44001</v>
      </c>
      <c r="B2337" t="s">
        <v>11037</v>
      </c>
      <c r="C2337" t="s">
        <v>1139</v>
      </c>
      <c r="D2337" t="s">
        <v>556</v>
      </c>
      <c r="E2337" t="s">
        <v>2584</v>
      </c>
      <c r="F2337" t="s">
        <v>909</v>
      </c>
      <c r="G2337" t="s">
        <v>663</v>
      </c>
      <c r="H2337" t="s">
        <v>598</v>
      </c>
      <c r="I2337" t="s">
        <v>656</v>
      </c>
      <c r="J2337" t="s">
        <v>650</v>
      </c>
      <c r="K2337" t="s">
        <v>579</v>
      </c>
      <c r="L2337">
        <v>0.86</v>
      </c>
      <c r="M2337" t="s">
        <v>11038</v>
      </c>
      <c r="N2337" t="s">
        <v>11039</v>
      </c>
      <c r="O2337" t="s">
        <v>11040</v>
      </c>
      <c r="P2337" t="s">
        <v>485</v>
      </c>
      <c r="Q2337" t="s">
        <v>10678</v>
      </c>
      <c r="R2337" t="s">
        <v>10679</v>
      </c>
      <c r="S2337" t="s">
        <v>10678</v>
      </c>
      <c r="T2337" t="s">
        <v>10679</v>
      </c>
    </row>
    <row r="2338" spans="1:20">
      <c r="A2338" s="241">
        <v>44001</v>
      </c>
      <c r="B2338" t="s">
        <v>11041</v>
      </c>
      <c r="C2338" t="s">
        <v>1079</v>
      </c>
      <c r="D2338" t="s">
        <v>343</v>
      </c>
      <c r="E2338" t="s">
        <v>2893</v>
      </c>
      <c r="F2338" t="s">
        <v>904</v>
      </c>
      <c r="G2338" t="s">
        <v>384</v>
      </c>
      <c r="H2338" t="s">
        <v>616</v>
      </c>
      <c r="I2338" t="s">
        <v>376</v>
      </c>
      <c r="J2338" t="s">
        <v>1116</v>
      </c>
      <c r="K2338" t="s">
        <v>579</v>
      </c>
      <c r="L2338">
        <v>0.86</v>
      </c>
      <c r="M2338" t="s">
        <v>11042</v>
      </c>
      <c r="N2338" t="s">
        <v>11043</v>
      </c>
      <c r="O2338" t="s">
        <v>11044</v>
      </c>
      <c r="P2338" t="s">
        <v>485</v>
      </c>
      <c r="Q2338" t="s">
        <v>10678</v>
      </c>
      <c r="R2338" t="s">
        <v>10679</v>
      </c>
      <c r="S2338" t="s">
        <v>10678</v>
      </c>
      <c r="T2338" t="s">
        <v>10679</v>
      </c>
    </row>
    <row r="2339" spans="1:20">
      <c r="A2339" s="241">
        <v>44001</v>
      </c>
      <c r="B2339" t="s">
        <v>11045</v>
      </c>
      <c r="C2339" t="s">
        <v>1139</v>
      </c>
      <c r="D2339" t="s">
        <v>382</v>
      </c>
      <c r="E2339" t="s">
        <v>2584</v>
      </c>
      <c r="F2339" t="s">
        <v>917</v>
      </c>
      <c r="G2339" t="s">
        <v>1122</v>
      </c>
      <c r="H2339" t="s">
        <v>682</v>
      </c>
      <c r="I2339" t="s">
        <v>674</v>
      </c>
      <c r="J2339" t="s">
        <v>665</v>
      </c>
      <c r="K2339" t="s">
        <v>268</v>
      </c>
      <c r="L2339">
        <v>0.86</v>
      </c>
      <c r="M2339" t="s">
        <v>11046</v>
      </c>
      <c r="N2339" t="s">
        <v>11047</v>
      </c>
      <c r="O2339" t="s">
        <v>11048</v>
      </c>
      <c r="P2339" t="s">
        <v>485</v>
      </c>
      <c r="Q2339" t="s">
        <v>10678</v>
      </c>
      <c r="R2339" t="s">
        <v>10679</v>
      </c>
      <c r="S2339" t="s">
        <v>10678</v>
      </c>
      <c r="T2339" t="s">
        <v>10679</v>
      </c>
    </row>
    <row r="2340" spans="1:20">
      <c r="A2340" s="241">
        <v>44001</v>
      </c>
      <c r="B2340" t="s">
        <v>11049</v>
      </c>
      <c r="C2340" t="s">
        <v>402</v>
      </c>
      <c r="D2340" t="s">
        <v>208</v>
      </c>
      <c r="E2340" t="s">
        <v>1314</v>
      </c>
      <c r="F2340" t="s">
        <v>1315</v>
      </c>
      <c r="G2340" t="s">
        <v>1122</v>
      </c>
      <c r="H2340" t="s">
        <v>1147</v>
      </c>
      <c r="I2340" t="s">
        <v>386</v>
      </c>
      <c r="J2340" t="s">
        <v>368</v>
      </c>
      <c r="K2340" t="s">
        <v>268</v>
      </c>
      <c r="L2340">
        <v>0.86</v>
      </c>
      <c r="M2340" t="s">
        <v>11050</v>
      </c>
      <c r="N2340" t="s">
        <v>11051</v>
      </c>
      <c r="O2340" t="s">
        <v>11052</v>
      </c>
      <c r="P2340" t="s">
        <v>485</v>
      </c>
      <c r="Q2340" t="s">
        <v>10678</v>
      </c>
      <c r="R2340" t="s">
        <v>10679</v>
      </c>
      <c r="S2340" t="s">
        <v>10678</v>
      </c>
      <c r="T2340" t="s">
        <v>10679</v>
      </c>
    </row>
    <row r="2341" spans="1:20">
      <c r="A2341" s="241">
        <v>44001</v>
      </c>
      <c r="B2341" t="s">
        <v>11053</v>
      </c>
      <c r="C2341" t="s">
        <v>392</v>
      </c>
      <c r="D2341" t="s">
        <v>443</v>
      </c>
      <c r="E2341" t="s">
        <v>2893</v>
      </c>
      <c r="F2341" t="s">
        <v>924</v>
      </c>
      <c r="G2341" t="s">
        <v>1122</v>
      </c>
      <c r="H2341" t="s">
        <v>706</v>
      </c>
      <c r="I2341" t="s">
        <v>683</v>
      </c>
      <c r="J2341" t="s">
        <v>368</v>
      </c>
      <c r="K2341" t="s">
        <v>579</v>
      </c>
      <c r="L2341">
        <v>0.86</v>
      </c>
      <c r="M2341" t="s">
        <v>11054</v>
      </c>
      <c r="N2341" t="s">
        <v>11055</v>
      </c>
      <c r="O2341" t="s">
        <v>11056</v>
      </c>
      <c r="P2341" t="s">
        <v>485</v>
      </c>
      <c r="Q2341" t="s">
        <v>10678</v>
      </c>
      <c r="R2341" t="s">
        <v>10679</v>
      </c>
      <c r="S2341" t="s">
        <v>10678</v>
      </c>
      <c r="T2341" t="s">
        <v>10679</v>
      </c>
    </row>
    <row r="2342" spans="1:20">
      <c r="A2342" s="241">
        <v>44001</v>
      </c>
      <c r="B2342" t="s">
        <v>11057</v>
      </c>
      <c r="C2342" t="s">
        <v>556</v>
      </c>
      <c r="D2342" t="s">
        <v>2535</v>
      </c>
      <c r="E2342" t="s">
        <v>680</v>
      </c>
      <c r="F2342" t="s">
        <v>444</v>
      </c>
      <c r="G2342" t="s">
        <v>1610</v>
      </c>
      <c r="H2342" t="s">
        <v>415</v>
      </c>
      <c r="I2342" t="s">
        <v>1140</v>
      </c>
      <c r="J2342" t="s">
        <v>1141</v>
      </c>
      <c r="K2342" t="s">
        <v>327</v>
      </c>
      <c r="L2342">
        <v>0.86</v>
      </c>
      <c r="M2342" t="s">
        <v>11058</v>
      </c>
      <c r="N2342" t="s">
        <v>11059</v>
      </c>
      <c r="O2342" t="s">
        <v>11060</v>
      </c>
      <c r="P2342" t="s">
        <v>485</v>
      </c>
      <c r="Q2342" t="s">
        <v>10678</v>
      </c>
      <c r="R2342" t="s">
        <v>10679</v>
      </c>
      <c r="S2342" t="s">
        <v>10678</v>
      </c>
      <c r="T2342" t="s">
        <v>10679</v>
      </c>
    </row>
    <row r="2343" spans="1:20">
      <c r="A2343" s="241">
        <v>44001</v>
      </c>
      <c r="B2343" t="s">
        <v>11061</v>
      </c>
      <c r="C2343" t="s">
        <v>625</v>
      </c>
      <c r="D2343" t="s">
        <v>208</v>
      </c>
      <c r="E2343" t="s">
        <v>1102</v>
      </c>
      <c r="F2343" t="s">
        <v>1604</v>
      </c>
      <c r="G2343" t="s">
        <v>2393</v>
      </c>
      <c r="H2343" t="s">
        <v>323</v>
      </c>
      <c r="I2343" t="s">
        <v>406</v>
      </c>
      <c r="J2343" t="s">
        <v>691</v>
      </c>
      <c r="K2343" t="s">
        <v>256</v>
      </c>
      <c r="L2343">
        <v>0.86</v>
      </c>
      <c r="M2343" t="s">
        <v>11062</v>
      </c>
      <c r="N2343" t="s">
        <v>11063</v>
      </c>
      <c r="O2343" t="s">
        <v>11064</v>
      </c>
      <c r="P2343" t="s">
        <v>485</v>
      </c>
      <c r="Q2343" t="s">
        <v>10678</v>
      </c>
      <c r="R2343" t="s">
        <v>10679</v>
      </c>
      <c r="S2343" t="s">
        <v>10678</v>
      </c>
      <c r="T2343" t="s">
        <v>10679</v>
      </c>
    </row>
    <row r="2344" spans="1:20">
      <c r="A2344" s="241">
        <v>44001</v>
      </c>
      <c r="B2344" t="s">
        <v>11065</v>
      </c>
      <c r="C2344" t="s">
        <v>2478</v>
      </c>
      <c r="D2344" t="s">
        <v>208</v>
      </c>
      <c r="E2344" t="s">
        <v>2584</v>
      </c>
      <c r="F2344" t="s">
        <v>1604</v>
      </c>
      <c r="G2344" t="s">
        <v>404</v>
      </c>
      <c r="H2344" t="s">
        <v>729</v>
      </c>
      <c r="I2344" t="s">
        <v>406</v>
      </c>
      <c r="J2344" t="s">
        <v>1141</v>
      </c>
      <c r="K2344" t="s">
        <v>651</v>
      </c>
      <c r="L2344">
        <v>0.86</v>
      </c>
      <c r="M2344" t="s">
        <v>11066</v>
      </c>
      <c r="N2344" t="s">
        <v>11067</v>
      </c>
      <c r="O2344" t="s">
        <v>11068</v>
      </c>
      <c r="P2344" t="s">
        <v>485</v>
      </c>
      <c r="Q2344" t="s">
        <v>10678</v>
      </c>
      <c r="R2344" t="s">
        <v>10679</v>
      </c>
      <c r="S2344" t="s">
        <v>10678</v>
      </c>
      <c r="T2344" t="s">
        <v>10679</v>
      </c>
    </row>
    <row r="2345" spans="1:20">
      <c r="A2345" s="241">
        <v>44001</v>
      </c>
      <c r="B2345" t="s">
        <v>11069</v>
      </c>
      <c r="C2345" t="s">
        <v>2478</v>
      </c>
      <c r="D2345" t="s">
        <v>382</v>
      </c>
      <c r="E2345" t="s">
        <v>2544</v>
      </c>
      <c r="F2345" t="s">
        <v>2227</v>
      </c>
      <c r="G2345" t="s">
        <v>404</v>
      </c>
      <c r="H2345" t="s">
        <v>647</v>
      </c>
      <c r="I2345" t="s">
        <v>932</v>
      </c>
      <c r="J2345" t="s">
        <v>919</v>
      </c>
      <c r="K2345" t="s">
        <v>327</v>
      </c>
      <c r="L2345">
        <v>0.86</v>
      </c>
      <c r="M2345" t="s">
        <v>11070</v>
      </c>
      <c r="N2345" t="s">
        <v>11071</v>
      </c>
      <c r="O2345" t="s">
        <v>11072</v>
      </c>
      <c r="P2345" t="s">
        <v>485</v>
      </c>
      <c r="Q2345" t="s">
        <v>10678</v>
      </c>
      <c r="R2345" t="s">
        <v>10679</v>
      </c>
      <c r="S2345" t="s">
        <v>10678</v>
      </c>
      <c r="T2345" t="s">
        <v>10679</v>
      </c>
    </row>
    <row r="2346" spans="1:20">
      <c r="A2346" s="241">
        <v>44001</v>
      </c>
      <c r="B2346" t="s">
        <v>11073</v>
      </c>
      <c r="C2346" t="s">
        <v>625</v>
      </c>
      <c r="D2346" t="s">
        <v>2549</v>
      </c>
      <c r="E2346" t="s">
        <v>2544</v>
      </c>
      <c r="F2346" t="s">
        <v>1630</v>
      </c>
      <c r="G2346" t="s">
        <v>910</v>
      </c>
      <c r="H2346" t="s">
        <v>647</v>
      </c>
      <c r="I2346" t="s">
        <v>416</v>
      </c>
      <c r="J2346" t="s">
        <v>1304</v>
      </c>
      <c r="K2346" t="s">
        <v>666</v>
      </c>
      <c r="L2346">
        <v>0.86</v>
      </c>
      <c r="M2346" t="s">
        <v>11074</v>
      </c>
      <c r="N2346" t="s">
        <v>11075</v>
      </c>
      <c r="O2346" t="s">
        <v>11076</v>
      </c>
      <c r="P2346" t="s">
        <v>485</v>
      </c>
      <c r="Q2346" t="s">
        <v>10678</v>
      </c>
      <c r="R2346" t="s">
        <v>10679</v>
      </c>
      <c r="S2346" t="s">
        <v>10678</v>
      </c>
      <c r="T2346" t="s">
        <v>10679</v>
      </c>
    </row>
    <row r="2347" spans="1:20">
      <c r="A2347" s="241">
        <v>44001</v>
      </c>
      <c r="B2347" t="s">
        <v>11077</v>
      </c>
      <c r="C2347" t="s">
        <v>1079</v>
      </c>
      <c r="D2347" t="s">
        <v>2549</v>
      </c>
      <c r="E2347" t="s">
        <v>2584</v>
      </c>
      <c r="F2347" t="s">
        <v>937</v>
      </c>
      <c r="G2347" t="s">
        <v>434</v>
      </c>
      <c r="H2347" t="s">
        <v>2410</v>
      </c>
      <c r="I2347" t="s">
        <v>436</v>
      </c>
      <c r="J2347" t="s">
        <v>1304</v>
      </c>
      <c r="K2347" t="s">
        <v>327</v>
      </c>
      <c r="L2347">
        <v>0.86</v>
      </c>
      <c r="M2347" t="s">
        <v>11078</v>
      </c>
      <c r="N2347" t="s">
        <v>11079</v>
      </c>
      <c r="O2347" t="s">
        <v>11080</v>
      </c>
      <c r="P2347" t="s">
        <v>485</v>
      </c>
      <c r="Q2347" t="s">
        <v>10678</v>
      </c>
      <c r="R2347" t="s">
        <v>10679</v>
      </c>
      <c r="S2347" t="s">
        <v>10678</v>
      </c>
      <c r="T2347" t="s">
        <v>10679</v>
      </c>
    </row>
    <row r="2348" spans="1:20">
      <c r="A2348" s="241">
        <v>44001</v>
      </c>
      <c r="B2348" t="s">
        <v>11081</v>
      </c>
      <c r="C2348" t="s">
        <v>2478</v>
      </c>
      <c r="D2348" t="s">
        <v>2535</v>
      </c>
      <c r="E2348" t="s">
        <v>2584</v>
      </c>
      <c r="F2348" t="s">
        <v>1156</v>
      </c>
      <c r="G2348" t="s">
        <v>925</v>
      </c>
      <c r="H2348" t="s">
        <v>1536</v>
      </c>
      <c r="I2348" t="s">
        <v>427</v>
      </c>
      <c r="J2348" t="s">
        <v>407</v>
      </c>
      <c r="K2348" t="s">
        <v>349</v>
      </c>
      <c r="L2348">
        <v>0.86</v>
      </c>
      <c r="M2348" t="s">
        <v>11082</v>
      </c>
      <c r="N2348" t="s">
        <v>11083</v>
      </c>
      <c r="O2348" t="s">
        <v>11084</v>
      </c>
      <c r="P2348" t="s">
        <v>485</v>
      </c>
      <c r="Q2348" t="s">
        <v>10678</v>
      </c>
      <c r="R2348" t="s">
        <v>10679</v>
      </c>
      <c r="S2348" t="s">
        <v>10678</v>
      </c>
      <c r="T2348" t="s">
        <v>10679</v>
      </c>
    </row>
    <row r="2349" spans="1:20">
      <c r="A2349" s="241">
        <v>44001</v>
      </c>
      <c r="B2349" t="s">
        <v>11085</v>
      </c>
      <c r="C2349" t="s">
        <v>679</v>
      </c>
      <c r="D2349" t="s">
        <v>392</v>
      </c>
      <c r="E2349" t="s">
        <v>632</v>
      </c>
      <c r="F2349" t="s">
        <v>1945</v>
      </c>
      <c r="G2349" t="s">
        <v>434</v>
      </c>
      <c r="H2349" t="s">
        <v>454</v>
      </c>
      <c r="I2349" t="s">
        <v>1165</v>
      </c>
      <c r="J2349" t="s">
        <v>940</v>
      </c>
      <c r="K2349" t="s">
        <v>327</v>
      </c>
      <c r="L2349">
        <v>0.86</v>
      </c>
      <c r="M2349" t="s">
        <v>11086</v>
      </c>
      <c r="N2349" t="s">
        <v>11087</v>
      </c>
      <c r="O2349" t="s">
        <v>11088</v>
      </c>
      <c r="P2349" t="s">
        <v>485</v>
      </c>
      <c r="Q2349" t="s">
        <v>10678</v>
      </c>
      <c r="R2349" t="s">
        <v>10679</v>
      </c>
      <c r="S2349" t="s">
        <v>10678</v>
      </c>
      <c r="T2349" t="s">
        <v>10679</v>
      </c>
    </row>
    <row r="2350" spans="1:20">
      <c r="A2350" s="241">
        <v>44001</v>
      </c>
      <c r="B2350" t="s">
        <v>11089</v>
      </c>
      <c r="C2350" t="s">
        <v>1139</v>
      </c>
      <c r="D2350" t="s">
        <v>402</v>
      </c>
      <c r="E2350" t="s">
        <v>632</v>
      </c>
      <c r="F2350" t="s">
        <v>8716</v>
      </c>
      <c r="G2350" t="s">
        <v>414</v>
      </c>
      <c r="H2350" t="s">
        <v>639</v>
      </c>
      <c r="I2350" t="s">
        <v>939</v>
      </c>
      <c r="J2350" t="s">
        <v>417</v>
      </c>
      <c r="K2350" t="s">
        <v>666</v>
      </c>
      <c r="L2350">
        <v>0.86</v>
      </c>
      <c r="M2350" t="s">
        <v>11090</v>
      </c>
      <c r="N2350" t="s">
        <v>11091</v>
      </c>
      <c r="O2350" t="s">
        <v>11092</v>
      </c>
      <c r="P2350" t="s">
        <v>485</v>
      </c>
      <c r="Q2350" t="s">
        <v>10678</v>
      </c>
      <c r="R2350" t="s">
        <v>10679</v>
      </c>
      <c r="S2350" t="s">
        <v>10678</v>
      </c>
      <c r="T2350" t="s">
        <v>10679</v>
      </c>
    </row>
    <row r="2351" spans="1:20">
      <c r="A2351" s="241">
        <v>44001</v>
      </c>
      <c r="B2351" t="s">
        <v>11093</v>
      </c>
      <c r="C2351" t="s">
        <v>2549</v>
      </c>
      <c r="D2351" t="s">
        <v>392</v>
      </c>
      <c r="E2351" t="s">
        <v>2731</v>
      </c>
      <c r="F2351" t="s">
        <v>3661</v>
      </c>
      <c r="G2351" t="s">
        <v>1157</v>
      </c>
      <c r="H2351" t="s">
        <v>364</v>
      </c>
      <c r="I2351" t="s">
        <v>721</v>
      </c>
      <c r="J2351" t="s">
        <v>1159</v>
      </c>
      <c r="K2351" t="s">
        <v>700</v>
      </c>
      <c r="L2351">
        <v>0.86</v>
      </c>
      <c r="M2351" t="s">
        <v>11094</v>
      </c>
      <c r="N2351" t="s">
        <v>11095</v>
      </c>
      <c r="O2351" t="s">
        <v>11096</v>
      </c>
      <c r="P2351" t="s">
        <v>485</v>
      </c>
      <c r="Q2351" t="s">
        <v>10678</v>
      </c>
      <c r="R2351" t="s">
        <v>10679</v>
      </c>
      <c r="S2351" t="s">
        <v>10678</v>
      </c>
      <c r="T2351" t="s">
        <v>10679</v>
      </c>
    </row>
    <row r="2352" spans="1:20">
      <c r="A2352" s="241">
        <v>44001</v>
      </c>
      <c r="B2352" t="s">
        <v>11097</v>
      </c>
      <c r="C2352" t="s">
        <v>3831</v>
      </c>
      <c r="D2352" t="s">
        <v>2821</v>
      </c>
      <c r="E2352" t="s">
        <v>510</v>
      </c>
      <c r="F2352" t="s">
        <v>6457</v>
      </c>
      <c r="G2352" t="s">
        <v>10603</v>
      </c>
      <c r="H2352" t="s">
        <v>739</v>
      </c>
      <c r="I2352" t="s">
        <v>3963</v>
      </c>
      <c r="J2352" t="s">
        <v>11098</v>
      </c>
      <c r="K2352" t="s">
        <v>7555</v>
      </c>
      <c r="L2352">
        <v>0.89</v>
      </c>
      <c r="M2352" t="s">
        <v>11099</v>
      </c>
      <c r="N2352" t="s">
        <v>11100</v>
      </c>
      <c r="O2352" t="s">
        <v>11101</v>
      </c>
      <c r="P2352" t="s">
        <v>485</v>
      </c>
      <c r="Q2352" t="s">
        <v>10678</v>
      </c>
      <c r="R2352" t="s">
        <v>10679</v>
      </c>
      <c r="S2352" t="s">
        <v>10678</v>
      </c>
      <c r="T2352" t="s">
        <v>10679</v>
      </c>
    </row>
    <row r="2353" spans="1:20">
      <c r="A2353" s="241">
        <v>44001</v>
      </c>
      <c r="B2353" t="s">
        <v>11102</v>
      </c>
      <c r="C2353" t="s">
        <v>2636</v>
      </c>
      <c r="D2353" t="s">
        <v>3679</v>
      </c>
      <c r="E2353" t="s">
        <v>625</v>
      </c>
      <c r="F2353" t="s">
        <v>3680</v>
      </c>
      <c r="G2353" t="s">
        <v>477</v>
      </c>
      <c r="H2353" t="s">
        <v>1969</v>
      </c>
      <c r="I2353" t="s">
        <v>5796</v>
      </c>
      <c r="J2353" t="s">
        <v>10357</v>
      </c>
      <c r="K2353" t="s">
        <v>4358</v>
      </c>
      <c r="L2353">
        <v>0.89</v>
      </c>
      <c r="M2353" t="s">
        <v>11103</v>
      </c>
      <c r="N2353" t="s">
        <v>11104</v>
      </c>
      <c r="O2353" t="s">
        <v>11105</v>
      </c>
      <c r="P2353" t="s">
        <v>485</v>
      </c>
      <c r="Q2353" t="s">
        <v>10678</v>
      </c>
      <c r="R2353" t="s">
        <v>10679</v>
      </c>
      <c r="S2353" t="s">
        <v>10678</v>
      </c>
      <c r="T2353" t="s">
        <v>10679</v>
      </c>
    </row>
    <row r="2354" spans="1:20">
      <c r="A2354" s="241">
        <v>44001</v>
      </c>
      <c r="B2354" t="s">
        <v>11106</v>
      </c>
      <c r="C2354" t="s">
        <v>488</v>
      </c>
      <c r="D2354" t="s">
        <v>3831</v>
      </c>
      <c r="E2354" t="s">
        <v>645</v>
      </c>
      <c r="F2354" t="s">
        <v>3688</v>
      </c>
      <c r="G2354" t="s">
        <v>981</v>
      </c>
      <c r="H2354" t="s">
        <v>2822</v>
      </c>
      <c r="I2354" t="s">
        <v>2257</v>
      </c>
      <c r="J2354" t="s">
        <v>3979</v>
      </c>
      <c r="K2354" t="s">
        <v>3131</v>
      </c>
      <c r="L2354">
        <v>0.89</v>
      </c>
      <c r="M2354" t="s">
        <v>11107</v>
      </c>
      <c r="N2354" t="s">
        <v>11108</v>
      </c>
      <c r="O2354" t="s">
        <v>11109</v>
      </c>
      <c r="P2354" t="s">
        <v>485</v>
      </c>
      <c r="Q2354" t="s">
        <v>10678</v>
      </c>
      <c r="R2354" t="s">
        <v>10679</v>
      </c>
      <c r="S2354" t="s">
        <v>10678</v>
      </c>
      <c r="T2354" t="s">
        <v>10679</v>
      </c>
    </row>
    <row r="2355" spans="1:20">
      <c r="A2355" s="241">
        <v>44001</v>
      </c>
      <c r="B2355" t="s">
        <v>11110</v>
      </c>
      <c r="C2355" t="s">
        <v>488</v>
      </c>
      <c r="D2355" t="s">
        <v>274</v>
      </c>
      <c r="E2355" t="s">
        <v>382</v>
      </c>
      <c r="F2355" t="s">
        <v>4363</v>
      </c>
      <c r="G2355" t="s">
        <v>11111</v>
      </c>
      <c r="H2355" t="s">
        <v>11112</v>
      </c>
      <c r="I2355" t="s">
        <v>11113</v>
      </c>
      <c r="J2355" t="s">
        <v>9013</v>
      </c>
      <c r="K2355" t="s">
        <v>11114</v>
      </c>
      <c r="L2355">
        <v>0.88</v>
      </c>
      <c r="M2355" t="s">
        <v>11115</v>
      </c>
      <c r="N2355" t="s">
        <v>11116</v>
      </c>
      <c r="O2355" t="s">
        <v>11117</v>
      </c>
      <c r="P2355" t="s">
        <v>485</v>
      </c>
      <c r="Q2355" t="s">
        <v>10678</v>
      </c>
      <c r="R2355" t="s">
        <v>10679</v>
      </c>
      <c r="S2355" t="s">
        <v>10678</v>
      </c>
      <c r="T2355" t="s">
        <v>10679</v>
      </c>
    </row>
    <row r="2356" spans="1:20">
      <c r="A2356" s="241">
        <v>44001</v>
      </c>
      <c r="B2356" t="s">
        <v>11118</v>
      </c>
      <c r="C2356" t="s">
        <v>645</v>
      </c>
      <c r="D2356" t="s">
        <v>556</v>
      </c>
      <c r="E2356" t="s">
        <v>1102</v>
      </c>
      <c r="F2356" t="s">
        <v>837</v>
      </c>
      <c r="G2356" t="s">
        <v>2455</v>
      </c>
      <c r="H2356" t="s">
        <v>6129</v>
      </c>
      <c r="I2356" t="s">
        <v>6337</v>
      </c>
      <c r="J2356" t="s">
        <v>1002</v>
      </c>
      <c r="K2356" t="s">
        <v>4177</v>
      </c>
      <c r="L2356">
        <v>0.86</v>
      </c>
      <c r="M2356" t="s">
        <v>11119</v>
      </c>
      <c r="N2356" t="s">
        <v>11120</v>
      </c>
      <c r="O2356" t="s">
        <v>11121</v>
      </c>
      <c r="P2356" t="s">
        <v>485</v>
      </c>
      <c r="Q2356" t="s">
        <v>10678</v>
      </c>
      <c r="R2356" t="s">
        <v>10679</v>
      </c>
      <c r="S2356" t="s">
        <v>10678</v>
      </c>
      <c r="T2356" t="s">
        <v>10679</v>
      </c>
    </row>
    <row r="2357" spans="1:20">
      <c r="A2357" s="241">
        <v>44001</v>
      </c>
      <c r="B2357" t="s">
        <v>11122</v>
      </c>
      <c r="C2357" t="s">
        <v>1139</v>
      </c>
      <c r="D2357" t="s">
        <v>424</v>
      </c>
      <c r="E2357" t="s">
        <v>1049</v>
      </c>
      <c r="F2357" t="s">
        <v>529</v>
      </c>
      <c r="G2357" t="s">
        <v>2023</v>
      </c>
      <c r="H2357" t="s">
        <v>1018</v>
      </c>
      <c r="I2357" t="s">
        <v>1391</v>
      </c>
      <c r="J2357" t="s">
        <v>1681</v>
      </c>
      <c r="K2357" t="s">
        <v>3171</v>
      </c>
      <c r="L2357">
        <v>0.86</v>
      </c>
      <c r="M2357" t="s">
        <v>11123</v>
      </c>
      <c r="N2357" t="s">
        <v>11124</v>
      </c>
      <c r="O2357" t="s">
        <v>11125</v>
      </c>
      <c r="P2357" t="s">
        <v>485</v>
      </c>
      <c r="Q2357" t="s">
        <v>10678</v>
      </c>
      <c r="R2357" t="s">
        <v>10679</v>
      </c>
      <c r="S2357" t="s">
        <v>10678</v>
      </c>
      <c r="T2357" t="s">
        <v>10679</v>
      </c>
    </row>
    <row r="2358" spans="1:20">
      <c r="A2358" s="241">
        <v>44001</v>
      </c>
      <c r="B2358" t="s">
        <v>11126</v>
      </c>
      <c r="C2358" t="s">
        <v>2535</v>
      </c>
      <c r="D2358" t="s">
        <v>2535</v>
      </c>
      <c r="E2358" t="s">
        <v>2584</v>
      </c>
      <c r="F2358" t="s">
        <v>346</v>
      </c>
      <c r="G2358" t="s">
        <v>1008</v>
      </c>
      <c r="H2358" t="s">
        <v>1225</v>
      </c>
      <c r="I2358" t="s">
        <v>1019</v>
      </c>
      <c r="J2358" t="s">
        <v>1405</v>
      </c>
      <c r="K2358" t="s">
        <v>1406</v>
      </c>
      <c r="L2358">
        <v>0.86</v>
      </c>
      <c r="M2358" t="s">
        <v>11127</v>
      </c>
      <c r="N2358" t="s">
        <v>11128</v>
      </c>
      <c r="O2358" t="s">
        <v>11129</v>
      </c>
      <c r="P2358" t="s">
        <v>485</v>
      </c>
      <c r="Q2358" t="s">
        <v>10678</v>
      </c>
      <c r="R2358" t="s">
        <v>10679</v>
      </c>
      <c r="S2358" t="s">
        <v>10678</v>
      </c>
      <c r="T2358" t="s">
        <v>10679</v>
      </c>
    </row>
    <row r="2359" spans="1:20">
      <c r="A2359" s="241">
        <v>44001</v>
      </c>
      <c r="B2359" t="s">
        <v>11130</v>
      </c>
      <c r="C2359" t="s">
        <v>2478</v>
      </c>
      <c r="D2359" t="s">
        <v>2535</v>
      </c>
      <c r="E2359" t="s">
        <v>2731</v>
      </c>
      <c r="F2359" t="s">
        <v>600</v>
      </c>
      <c r="G2359" t="s">
        <v>1398</v>
      </c>
      <c r="H2359" t="s">
        <v>541</v>
      </c>
      <c r="I2359" t="s">
        <v>522</v>
      </c>
      <c r="J2359" t="s">
        <v>1011</v>
      </c>
      <c r="K2359" t="s">
        <v>1003</v>
      </c>
      <c r="L2359">
        <v>0.86</v>
      </c>
      <c r="M2359" t="s">
        <v>11131</v>
      </c>
      <c r="N2359" t="s">
        <v>11132</v>
      </c>
      <c r="O2359" t="s">
        <v>11133</v>
      </c>
      <c r="P2359" t="s">
        <v>485</v>
      </c>
      <c r="Q2359" t="s">
        <v>10678</v>
      </c>
      <c r="R2359" t="s">
        <v>10679</v>
      </c>
      <c r="S2359" t="s">
        <v>10678</v>
      </c>
      <c r="T2359" t="s">
        <v>10679</v>
      </c>
    </row>
    <row r="2360" spans="1:20">
      <c r="A2360" s="241">
        <v>44001</v>
      </c>
      <c r="B2360" t="s">
        <v>11134</v>
      </c>
      <c r="C2360" t="s">
        <v>2535</v>
      </c>
      <c r="D2360" t="s">
        <v>443</v>
      </c>
      <c r="E2360" t="s">
        <v>2893</v>
      </c>
      <c r="F2360" t="s">
        <v>316</v>
      </c>
      <c r="G2360" t="s">
        <v>2080</v>
      </c>
      <c r="H2360" t="s">
        <v>2861</v>
      </c>
      <c r="I2360" t="s">
        <v>793</v>
      </c>
      <c r="J2360" t="s">
        <v>2681</v>
      </c>
      <c r="K2360" t="s">
        <v>1406</v>
      </c>
      <c r="L2360">
        <v>0.86</v>
      </c>
      <c r="M2360" t="s">
        <v>11135</v>
      </c>
      <c r="N2360" t="s">
        <v>11136</v>
      </c>
      <c r="O2360" t="s">
        <v>11137</v>
      </c>
      <c r="P2360" t="s">
        <v>485</v>
      </c>
      <c r="Q2360" t="s">
        <v>10678</v>
      </c>
      <c r="R2360" t="s">
        <v>10679</v>
      </c>
      <c r="S2360" t="s">
        <v>10678</v>
      </c>
      <c r="T2360" t="s">
        <v>10679</v>
      </c>
    </row>
    <row r="2361" spans="1:20">
      <c r="A2361" s="241">
        <v>44001</v>
      </c>
      <c r="B2361" t="s">
        <v>11138</v>
      </c>
      <c r="C2361" t="s">
        <v>2535</v>
      </c>
      <c r="D2361" t="s">
        <v>392</v>
      </c>
      <c r="E2361" t="s">
        <v>2769</v>
      </c>
      <c r="F2361" t="s">
        <v>239</v>
      </c>
      <c r="G2361" t="s">
        <v>792</v>
      </c>
      <c r="H2361" t="s">
        <v>1426</v>
      </c>
      <c r="I2361" t="s">
        <v>1232</v>
      </c>
      <c r="J2361" t="s">
        <v>1710</v>
      </c>
      <c r="K2361" t="s">
        <v>1406</v>
      </c>
      <c r="L2361">
        <v>0.86</v>
      </c>
      <c r="M2361" t="s">
        <v>11139</v>
      </c>
      <c r="N2361" t="s">
        <v>11140</v>
      </c>
      <c r="O2361" t="s">
        <v>11141</v>
      </c>
      <c r="P2361" t="s">
        <v>485</v>
      </c>
      <c r="Q2361" t="s">
        <v>10678</v>
      </c>
      <c r="R2361" t="s">
        <v>10679</v>
      </c>
      <c r="S2361" t="s">
        <v>10678</v>
      </c>
      <c r="T2361" t="s">
        <v>10679</v>
      </c>
    </row>
    <row r="2362" spans="1:20">
      <c r="A2362" s="241">
        <v>44001</v>
      </c>
      <c r="B2362" t="s">
        <v>11142</v>
      </c>
      <c r="C2362" t="s">
        <v>631</v>
      </c>
      <c r="D2362" t="s">
        <v>2549</v>
      </c>
      <c r="E2362" t="s">
        <v>646</v>
      </c>
      <c r="F2362" t="s">
        <v>346</v>
      </c>
      <c r="G2362" t="s">
        <v>2080</v>
      </c>
      <c r="H2362" t="s">
        <v>776</v>
      </c>
      <c r="I2362" t="s">
        <v>542</v>
      </c>
      <c r="J2362" t="s">
        <v>1710</v>
      </c>
      <c r="K2362" t="s">
        <v>2277</v>
      </c>
      <c r="L2362">
        <v>0.86</v>
      </c>
      <c r="M2362" t="s">
        <v>11143</v>
      </c>
      <c r="N2362" t="s">
        <v>11144</v>
      </c>
      <c r="O2362" t="s">
        <v>11145</v>
      </c>
      <c r="P2362" t="s">
        <v>485</v>
      </c>
      <c r="Q2362" t="s">
        <v>10678</v>
      </c>
      <c r="R2362" t="s">
        <v>10679</v>
      </c>
      <c r="S2362" t="s">
        <v>10678</v>
      </c>
      <c r="T2362" t="s">
        <v>10679</v>
      </c>
    </row>
    <row r="2363" spans="1:20">
      <c r="A2363" s="241">
        <v>44001</v>
      </c>
      <c r="B2363" t="s">
        <v>11146</v>
      </c>
      <c r="C2363" t="s">
        <v>2478</v>
      </c>
      <c r="D2363" t="s">
        <v>392</v>
      </c>
      <c r="E2363" t="s">
        <v>2584</v>
      </c>
      <c r="F2363" t="s">
        <v>239</v>
      </c>
      <c r="G2363" t="s">
        <v>1411</v>
      </c>
      <c r="H2363" t="s">
        <v>2324</v>
      </c>
      <c r="I2363" t="s">
        <v>550</v>
      </c>
      <c r="J2363" t="s">
        <v>2044</v>
      </c>
      <c r="K2363" t="s">
        <v>1234</v>
      </c>
      <c r="L2363">
        <v>0.86</v>
      </c>
      <c r="M2363" t="s">
        <v>11147</v>
      </c>
      <c r="N2363" t="s">
        <v>11148</v>
      </c>
      <c r="O2363" t="s">
        <v>11149</v>
      </c>
      <c r="P2363" t="s">
        <v>485</v>
      </c>
      <c r="Q2363" t="s">
        <v>10678</v>
      </c>
      <c r="R2363" t="s">
        <v>10679</v>
      </c>
      <c r="S2363" t="s">
        <v>10678</v>
      </c>
      <c r="T2363" t="s">
        <v>10679</v>
      </c>
    </row>
    <row r="2364" spans="1:20">
      <c r="A2364" s="241">
        <v>44001</v>
      </c>
      <c r="B2364" t="s">
        <v>11150</v>
      </c>
      <c r="C2364" t="s">
        <v>294</v>
      </c>
      <c r="D2364" t="s">
        <v>382</v>
      </c>
      <c r="E2364" t="s">
        <v>680</v>
      </c>
      <c r="F2364" t="s">
        <v>618</v>
      </c>
      <c r="G2364" t="s">
        <v>2085</v>
      </c>
      <c r="H2364" t="s">
        <v>1038</v>
      </c>
      <c r="I2364" t="s">
        <v>212</v>
      </c>
      <c r="J2364" t="s">
        <v>543</v>
      </c>
      <c r="K2364" t="s">
        <v>1003</v>
      </c>
      <c r="L2364">
        <v>0.86</v>
      </c>
      <c r="M2364" t="s">
        <v>11151</v>
      </c>
      <c r="N2364" t="s">
        <v>11152</v>
      </c>
      <c r="O2364" t="s">
        <v>11153</v>
      </c>
      <c r="P2364" t="s">
        <v>485</v>
      </c>
      <c r="Q2364" t="s">
        <v>10678</v>
      </c>
      <c r="R2364" t="s">
        <v>10679</v>
      </c>
      <c r="S2364" t="s">
        <v>10678</v>
      </c>
      <c r="T2364" t="s">
        <v>10679</v>
      </c>
    </row>
    <row r="2365" spans="1:20">
      <c r="A2365" s="241">
        <v>44001</v>
      </c>
      <c r="B2365" t="s">
        <v>11154</v>
      </c>
      <c r="C2365" t="s">
        <v>1079</v>
      </c>
      <c r="D2365" t="s">
        <v>712</v>
      </c>
      <c r="E2365" t="s">
        <v>3054</v>
      </c>
      <c r="F2365" t="s">
        <v>590</v>
      </c>
      <c r="G2365" t="s">
        <v>804</v>
      </c>
      <c r="H2365" t="s">
        <v>2324</v>
      </c>
      <c r="I2365" t="s">
        <v>242</v>
      </c>
      <c r="J2365" t="s">
        <v>807</v>
      </c>
      <c r="K2365" t="s">
        <v>524</v>
      </c>
      <c r="L2365">
        <v>0.86</v>
      </c>
      <c r="M2365" t="s">
        <v>11155</v>
      </c>
      <c r="N2365" t="s">
        <v>11156</v>
      </c>
      <c r="O2365" t="s">
        <v>11157</v>
      </c>
      <c r="P2365" t="s">
        <v>485</v>
      </c>
      <c r="Q2365" t="s">
        <v>10678</v>
      </c>
      <c r="R2365" t="s">
        <v>10679</v>
      </c>
      <c r="S2365" t="s">
        <v>10678</v>
      </c>
      <c r="T2365" t="s">
        <v>10679</v>
      </c>
    </row>
    <row r="2366" spans="1:20">
      <c r="A2366" s="241">
        <v>44001</v>
      </c>
      <c r="B2366" t="s">
        <v>11158</v>
      </c>
      <c r="C2366" t="s">
        <v>2478</v>
      </c>
      <c r="D2366" t="s">
        <v>392</v>
      </c>
      <c r="E2366" t="s">
        <v>1102</v>
      </c>
      <c r="F2366" t="s">
        <v>616</v>
      </c>
      <c r="G2366" t="s">
        <v>210</v>
      </c>
      <c r="H2366" t="s">
        <v>1704</v>
      </c>
      <c r="I2366" t="s">
        <v>824</v>
      </c>
      <c r="J2366" t="s">
        <v>561</v>
      </c>
      <c r="K2366" t="s">
        <v>1234</v>
      </c>
      <c r="L2366">
        <v>0.86</v>
      </c>
      <c r="M2366" t="s">
        <v>11159</v>
      </c>
      <c r="N2366" t="s">
        <v>11160</v>
      </c>
      <c r="O2366" t="s">
        <v>11161</v>
      </c>
      <c r="P2366" t="s">
        <v>485</v>
      </c>
      <c r="Q2366" t="s">
        <v>10678</v>
      </c>
      <c r="R2366" t="s">
        <v>10679</v>
      </c>
      <c r="S2366" t="s">
        <v>10678</v>
      </c>
      <c r="T2366" t="s">
        <v>10679</v>
      </c>
    </row>
    <row r="2367" spans="1:20">
      <c r="A2367" s="241">
        <v>44001</v>
      </c>
      <c r="B2367" t="s">
        <v>11162</v>
      </c>
      <c r="C2367" t="s">
        <v>443</v>
      </c>
      <c r="D2367" t="s">
        <v>2549</v>
      </c>
      <c r="E2367" t="s">
        <v>606</v>
      </c>
      <c r="F2367" t="s">
        <v>1769</v>
      </c>
      <c r="G2367" t="s">
        <v>1447</v>
      </c>
      <c r="H2367" t="s">
        <v>1388</v>
      </c>
      <c r="I2367" t="s">
        <v>824</v>
      </c>
      <c r="J2367" t="s">
        <v>1245</v>
      </c>
      <c r="K2367" t="s">
        <v>1012</v>
      </c>
      <c r="L2367">
        <v>0.86</v>
      </c>
      <c r="M2367" t="s">
        <v>11163</v>
      </c>
      <c r="N2367" t="s">
        <v>11164</v>
      </c>
      <c r="O2367" t="s">
        <v>11165</v>
      </c>
      <c r="P2367" t="s">
        <v>485</v>
      </c>
      <c r="Q2367" t="s">
        <v>10678</v>
      </c>
      <c r="R2367" t="s">
        <v>10679</v>
      </c>
      <c r="S2367" t="s">
        <v>10678</v>
      </c>
      <c r="T2367" t="s">
        <v>10679</v>
      </c>
    </row>
    <row r="2368" spans="1:20">
      <c r="A2368" s="241">
        <v>44001</v>
      </c>
      <c r="B2368" t="s">
        <v>11166</v>
      </c>
      <c r="C2368" t="s">
        <v>1139</v>
      </c>
      <c r="D2368" t="s">
        <v>343</v>
      </c>
      <c r="E2368" t="s">
        <v>606</v>
      </c>
      <c r="F2368" t="s">
        <v>848</v>
      </c>
      <c r="G2368" t="s">
        <v>1740</v>
      </c>
      <c r="H2368" t="s">
        <v>265</v>
      </c>
      <c r="I2368" t="s">
        <v>569</v>
      </c>
      <c r="J2368" t="s">
        <v>230</v>
      </c>
      <c r="K2368" t="s">
        <v>524</v>
      </c>
      <c r="L2368">
        <v>0.86</v>
      </c>
      <c r="M2368" t="s">
        <v>11167</v>
      </c>
      <c r="N2368" t="s">
        <v>11168</v>
      </c>
      <c r="O2368" t="s">
        <v>11169</v>
      </c>
      <c r="P2368" t="s">
        <v>485</v>
      </c>
      <c r="Q2368" t="s">
        <v>10678</v>
      </c>
      <c r="R2368" t="s">
        <v>10679</v>
      </c>
      <c r="S2368" t="s">
        <v>10678</v>
      </c>
      <c r="T2368" t="s">
        <v>10679</v>
      </c>
    </row>
    <row r="2369" spans="1:20">
      <c r="A2369" s="241">
        <v>44001</v>
      </c>
      <c r="B2369" t="s">
        <v>11170</v>
      </c>
      <c r="C2369" t="s">
        <v>2535</v>
      </c>
      <c r="D2369" t="s">
        <v>343</v>
      </c>
      <c r="E2369" t="s">
        <v>1049</v>
      </c>
      <c r="F2369" t="s">
        <v>598</v>
      </c>
      <c r="G2369" t="s">
        <v>240</v>
      </c>
      <c r="H2369" t="s">
        <v>3554</v>
      </c>
      <c r="I2369" t="s">
        <v>824</v>
      </c>
      <c r="J2369" t="s">
        <v>561</v>
      </c>
      <c r="K2369" t="s">
        <v>1399</v>
      </c>
      <c r="L2369">
        <v>0.86</v>
      </c>
      <c r="M2369" t="s">
        <v>11171</v>
      </c>
      <c r="N2369" t="s">
        <v>11172</v>
      </c>
      <c r="O2369" t="s">
        <v>11173</v>
      </c>
      <c r="P2369" t="s">
        <v>485</v>
      </c>
      <c r="Q2369" t="s">
        <v>10678</v>
      </c>
      <c r="R2369" t="s">
        <v>10679</v>
      </c>
      <c r="S2369" t="s">
        <v>10678</v>
      </c>
      <c r="T2369" t="s">
        <v>10679</v>
      </c>
    </row>
    <row r="2370" spans="1:20">
      <c r="A2370" s="241">
        <v>44001</v>
      </c>
      <c r="B2370" t="s">
        <v>11174</v>
      </c>
      <c r="C2370" t="s">
        <v>2478</v>
      </c>
      <c r="D2370" t="s">
        <v>208</v>
      </c>
      <c r="E2370" t="s">
        <v>2584</v>
      </c>
      <c r="F2370" t="s">
        <v>285</v>
      </c>
      <c r="G2370" t="s">
        <v>227</v>
      </c>
      <c r="H2370" t="s">
        <v>539</v>
      </c>
      <c r="I2370" t="s">
        <v>577</v>
      </c>
      <c r="J2370" t="s">
        <v>825</v>
      </c>
      <c r="K2370" t="s">
        <v>1234</v>
      </c>
      <c r="L2370">
        <v>0.86</v>
      </c>
      <c r="M2370" t="s">
        <v>11175</v>
      </c>
      <c r="N2370" t="s">
        <v>11176</v>
      </c>
      <c r="O2370" t="s">
        <v>11177</v>
      </c>
      <c r="P2370" t="s">
        <v>485</v>
      </c>
      <c r="Q2370" t="s">
        <v>10678</v>
      </c>
      <c r="R2370" t="s">
        <v>10679</v>
      </c>
      <c r="S2370" t="s">
        <v>10678</v>
      </c>
      <c r="T2370" t="s">
        <v>10679</v>
      </c>
    </row>
    <row r="2371" spans="1:20">
      <c r="A2371" s="241">
        <v>44001</v>
      </c>
      <c r="B2371" t="s">
        <v>11178</v>
      </c>
      <c r="C2371" t="s">
        <v>2535</v>
      </c>
      <c r="D2371" t="s">
        <v>2478</v>
      </c>
      <c r="E2371" t="s">
        <v>1314</v>
      </c>
      <c r="F2371" t="s">
        <v>682</v>
      </c>
      <c r="G2371" t="s">
        <v>1781</v>
      </c>
      <c r="H2371" t="s">
        <v>2074</v>
      </c>
      <c r="I2371" t="s">
        <v>1468</v>
      </c>
      <c r="J2371" t="s">
        <v>1063</v>
      </c>
      <c r="K2371" t="s">
        <v>1032</v>
      </c>
      <c r="L2371">
        <v>0.86</v>
      </c>
      <c r="M2371" t="s">
        <v>11179</v>
      </c>
      <c r="N2371" t="s">
        <v>11180</v>
      </c>
      <c r="O2371" t="s">
        <v>11181</v>
      </c>
      <c r="P2371" t="s">
        <v>485</v>
      </c>
      <c r="Q2371" t="s">
        <v>10678</v>
      </c>
      <c r="R2371" t="s">
        <v>10679</v>
      </c>
      <c r="S2371" t="s">
        <v>10678</v>
      </c>
      <c r="T2371" t="s">
        <v>10679</v>
      </c>
    </row>
    <row r="2372" spans="1:20">
      <c r="A2372" s="241">
        <v>44001</v>
      </c>
      <c r="B2372" t="s">
        <v>11182</v>
      </c>
      <c r="C2372" t="s">
        <v>442</v>
      </c>
      <c r="D2372" t="s">
        <v>679</v>
      </c>
      <c r="E2372" t="s">
        <v>1102</v>
      </c>
      <c r="F2372" t="s">
        <v>835</v>
      </c>
      <c r="G2372" t="s">
        <v>599</v>
      </c>
      <c r="H2372" t="s">
        <v>307</v>
      </c>
      <c r="I2372" t="s">
        <v>278</v>
      </c>
      <c r="J2372" t="s">
        <v>1786</v>
      </c>
      <c r="K2372" t="s">
        <v>231</v>
      </c>
      <c r="L2372">
        <v>0.86</v>
      </c>
      <c r="M2372" t="s">
        <v>11183</v>
      </c>
      <c r="N2372" t="s">
        <v>11184</v>
      </c>
      <c r="O2372" t="s">
        <v>11185</v>
      </c>
      <c r="P2372" t="s">
        <v>485</v>
      </c>
      <c r="Q2372" t="s">
        <v>10678</v>
      </c>
      <c r="R2372" t="s">
        <v>10679</v>
      </c>
      <c r="S2372" t="s">
        <v>10678</v>
      </c>
      <c r="T2372" t="s">
        <v>10679</v>
      </c>
    </row>
    <row r="2373" spans="1:20">
      <c r="A2373" s="241">
        <v>44001</v>
      </c>
      <c r="B2373" t="s">
        <v>11186</v>
      </c>
      <c r="C2373" t="s">
        <v>614</v>
      </c>
      <c r="D2373" t="s">
        <v>2535</v>
      </c>
      <c r="E2373" t="s">
        <v>606</v>
      </c>
      <c r="F2373" t="s">
        <v>314</v>
      </c>
      <c r="G2373" t="s">
        <v>1447</v>
      </c>
      <c r="H2373" t="s">
        <v>600</v>
      </c>
      <c r="I2373" t="s">
        <v>849</v>
      </c>
      <c r="J2373" t="s">
        <v>1070</v>
      </c>
      <c r="K2373" t="s">
        <v>1032</v>
      </c>
      <c r="L2373">
        <v>0.86</v>
      </c>
      <c r="M2373" t="s">
        <v>11187</v>
      </c>
      <c r="N2373" t="s">
        <v>11188</v>
      </c>
      <c r="O2373" t="s">
        <v>11189</v>
      </c>
      <c r="P2373" t="s">
        <v>485</v>
      </c>
      <c r="Q2373" t="s">
        <v>10678</v>
      </c>
      <c r="R2373" t="s">
        <v>10679</v>
      </c>
      <c r="S2373" t="s">
        <v>10678</v>
      </c>
      <c r="T2373" t="s">
        <v>10679</v>
      </c>
    </row>
    <row r="2374" spans="1:20">
      <c r="A2374" s="241">
        <v>44001</v>
      </c>
      <c r="B2374" t="s">
        <v>11190</v>
      </c>
      <c r="C2374" t="s">
        <v>631</v>
      </c>
      <c r="D2374" t="s">
        <v>671</v>
      </c>
      <c r="E2374" t="s">
        <v>646</v>
      </c>
      <c r="F2374" t="s">
        <v>1103</v>
      </c>
      <c r="G2374" t="s">
        <v>286</v>
      </c>
      <c r="H2374" t="s">
        <v>608</v>
      </c>
      <c r="I2374" t="s">
        <v>863</v>
      </c>
      <c r="J2374" t="s">
        <v>601</v>
      </c>
      <c r="K2374" t="s">
        <v>579</v>
      </c>
      <c r="L2374">
        <v>0.86</v>
      </c>
      <c r="M2374" t="s">
        <v>11191</v>
      </c>
      <c r="N2374" t="s">
        <v>11192</v>
      </c>
      <c r="O2374" t="s">
        <v>11193</v>
      </c>
      <c r="P2374" t="s">
        <v>485</v>
      </c>
      <c r="Q2374" t="s">
        <v>10678</v>
      </c>
      <c r="R2374" t="s">
        <v>10679</v>
      </c>
      <c r="S2374" t="s">
        <v>10678</v>
      </c>
      <c r="T2374" t="s">
        <v>10679</v>
      </c>
    </row>
    <row r="2375" spans="1:20">
      <c r="A2375" s="241">
        <v>44001</v>
      </c>
      <c r="B2375" t="s">
        <v>11194</v>
      </c>
      <c r="C2375" t="s">
        <v>1079</v>
      </c>
      <c r="D2375" t="s">
        <v>556</v>
      </c>
      <c r="E2375" t="s">
        <v>556</v>
      </c>
      <c r="F2375" t="s">
        <v>2151</v>
      </c>
      <c r="G2375" t="s">
        <v>315</v>
      </c>
      <c r="H2375" t="s">
        <v>239</v>
      </c>
      <c r="I2375" t="s">
        <v>619</v>
      </c>
      <c r="J2375" t="s">
        <v>1812</v>
      </c>
      <c r="K2375" t="s">
        <v>244</v>
      </c>
      <c r="L2375">
        <v>0.86</v>
      </c>
      <c r="M2375" t="s">
        <v>11195</v>
      </c>
      <c r="N2375" t="s">
        <v>11196</v>
      </c>
      <c r="O2375" t="s">
        <v>11197</v>
      </c>
      <c r="P2375" t="s">
        <v>485</v>
      </c>
      <c r="Q2375" t="s">
        <v>10678</v>
      </c>
      <c r="R2375" t="s">
        <v>10679</v>
      </c>
      <c r="S2375" t="s">
        <v>10678</v>
      </c>
      <c r="T2375" t="s">
        <v>10679</v>
      </c>
    </row>
    <row r="2376" spans="1:20">
      <c r="A2376" s="241">
        <v>44001</v>
      </c>
      <c r="B2376" t="s">
        <v>11198</v>
      </c>
      <c r="C2376" t="s">
        <v>679</v>
      </c>
      <c r="D2376" t="s">
        <v>679</v>
      </c>
      <c r="E2376" t="s">
        <v>1121</v>
      </c>
      <c r="F2376" t="s">
        <v>383</v>
      </c>
      <c r="G2376" t="s">
        <v>1081</v>
      </c>
      <c r="H2376" t="s">
        <v>649</v>
      </c>
      <c r="I2376" t="s">
        <v>347</v>
      </c>
      <c r="J2376" t="s">
        <v>326</v>
      </c>
      <c r="K2376" t="s">
        <v>256</v>
      </c>
      <c r="L2376">
        <v>0.86</v>
      </c>
      <c r="M2376" t="s">
        <v>11199</v>
      </c>
      <c r="N2376" t="s">
        <v>11200</v>
      </c>
      <c r="O2376" t="s">
        <v>11201</v>
      </c>
      <c r="P2376" t="s">
        <v>485</v>
      </c>
      <c r="Q2376" t="s">
        <v>10678</v>
      </c>
      <c r="R2376" t="s">
        <v>10679</v>
      </c>
      <c r="S2376" t="s">
        <v>10678</v>
      </c>
      <c r="T2376" t="s">
        <v>10679</v>
      </c>
    </row>
    <row r="2377" spans="1:20">
      <c r="A2377" s="241">
        <v>44001</v>
      </c>
      <c r="B2377" t="s">
        <v>11202</v>
      </c>
      <c r="C2377" t="s">
        <v>645</v>
      </c>
      <c r="D2377" t="s">
        <v>645</v>
      </c>
      <c r="E2377" t="s">
        <v>1314</v>
      </c>
      <c r="F2377" t="s">
        <v>647</v>
      </c>
      <c r="G2377" t="s">
        <v>1512</v>
      </c>
      <c r="H2377" t="s">
        <v>590</v>
      </c>
      <c r="I2377" t="s">
        <v>1518</v>
      </c>
      <c r="J2377" t="s">
        <v>337</v>
      </c>
      <c r="K2377" t="s">
        <v>256</v>
      </c>
      <c r="L2377">
        <v>0.86</v>
      </c>
      <c r="M2377" t="s">
        <v>11203</v>
      </c>
      <c r="N2377" t="s">
        <v>11204</v>
      </c>
      <c r="O2377" t="s">
        <v>11205</v>
      </c>
      <c r="P2377" t="s">
        <v>485</v>
      </c>
      <c r="Q2377" t="s">
        <v>10678</v>
      </c>
      <c r="R2377" t="s">
        <v>10679</v>
      </c>
      <c r="S2377" t="s">
        <v>10678</v>
      </c>
      <c r="T2377" t="s">
        <v>10679</v>
      </c>
    </row>
    <row r="2378" spans="1:20">
      <c r="A2378" s="241">
        <v>44001</v>
      </c>
      <c r="B2378" t="s">
        <v>11206</v>
      </c>
      <c r="C2378" t="s">
        <v>645</v>
      </c>
      <c r="D2378" t="s">
        <v>392</v>
      </c>
      <c r="E2378" t="s">
        <v>597</v>
      </c>
      <c r="F2378" t="s">
        <v>909</v>
      </c>
      <c r="G2378" t="s">
        <v>1517</v>
      </c>
      <c r="H2378" t="s">
        <v>1056</v>
      </c>
      <c r="I2378" t="s">
        <v>1859</v>
      </c>
      <c r="J2378" t="s">
        <v>1868</v>
      </c>
      <c r="K2378" t="s">
        <v>338</v>
      </c>
      <c r="L2378">
        <v>0.86</v>
      </c>
      <c r="M2378" t="s">
        <v>11207</v>
      </c>
      <c r="N2378" t="s">
        <v>11208</v>
      </c>
      <c r="O2378" t="s">
        <v>11209</v>
      </c>
      <c r="P2378" t="s">
        <v>485</v>
      </c>
      <c r="Q2378" t="s">
        <v>10678</v>
      </c>
      <c r="R2378" t="s">
        <v>10679</v>
      </c>
      <c r="S2378" t="s">
        <v>10678</v>
      </c>
      <c r="T2378" t="s">
        <v>10679</v>
      </c>
    </row>
    <row r="2379" spans="1:20">
      <c r="A2379" s="241">
        <v>44001</v>
      </c>
      <c r="B2379" t="s">
        <v>11210</v>
      </c>
      <c r="C2379" t="s">
        <v>625</v>
      </c>
      <c r="D2379" t="s">
        <v>1139</v>
      </c>
      <c r="E2379" t="s">
        <v>2544</v>
      </c>
      <c r="F2379" t="s">
        <v>1882</v>
      </c>
      <c r="G2379" t="s">
        <v>2160</v>
      </c>
      <c r="H2379" t="s">
        <v>616</v>
      </c>
      <c r="I2379" t="s">
        <v>1523</v>
      </c>
      <c r="J2379" t="s">
        <v>358</v>
      </c>
      <c r="K2379" t="s">
        <v>338</v>
      </c>
      <c r="L2379">
        <v>0.86</v>
      </c>
      <c r="M2379" t="s">
        <v>11211</v>
      </c>
      <c r="N2379" t="s">
        <v>11212</v>
      </c>
      <c r="O2379" t="s">
        <v>11213</v>
      </c>
      <c r="P2379" t="s">
        <v>485</v>
      </c>
      <c r="Q2379" t="s">
        <v>10678</v>
      </c>
      <c r="R2379" t="s">
        <v>10679</v>
      </c>
      <c r="S2379" t="s">
        <v>10678</v>
      </c>
      <c r="T2379" t="s">
        <v>10679</v>
      </c>
    </row>
    <row r="2380" spans="1:20">
      <c r="A2380" s="241">
        <v>44001</v>
      </c>
      <c r="B2380" t="s">
        <v>11214</v>
      </c>
      <c r="C2380" t="s">
        <v>679</v>
      </c>
      <c r="D2380" t="s">
        <v>2478</v>
      </c>
      <c r="E2380" t="s">
        <v>1102</v>
      </c>
      <c r="F2380" t="s">
        <v>2574</v>
      </c>
      <c r="G2380" t="s">
        <v>673</v>
      </c>
      <c r="H2380" t="s">
        <v>855</v>
      </c>
      <c r="I2380" t="s">
        <v>674</v>
      </c>
      <c r="J2380" t="s">
        <v>368</v>
      </c>
      <c r="K2380" t="s">
        <v>338</v>
      </c>
      <c r="L2380">
        <v>0.86</v>
      </c>
      <c r="M2380" t="s">
        <v>11215</v>
      </c>
      <c r="N2380" t="s">
        <v>11216</v>
      </c>
      <c r="O2380" t="s">
        <v>11217</v>
      </c>
      <c r="P2380" t="s">
        <v>485</v>
      </c>
      <c r="Q2380" t="s">
        <v>10678</v>
      </c>
      <c r="R2380" t="s">
        <v>10679</v>
      </c>
      <c r="S2380" t="s">
        <v>10678</v>
      </c>
      <c r="T2380" t="s">
        <v>10679</v>
      </c>
    </row>
    <row r="2381" spans="1:20">
      <c r="A2381" s="241">
        <v>44001</v>
      </c>
      <c r="B2381" t="s">
        <v>11218</v>
      </c>
      <c r="C2381" t="s">
        <v>631</v>
      </c>
      <c r="D2381" t="s">
        <v>392</v>
      </c>
      <c r="E2381" t="s">
        <v>646</v>
      </c>
      <c r="F2381" t="s">
        <v>413</v>
      </c>
      <c r="G2381" t="s">
        <v>2393</v>
      </c>
      <c r="H2381" t="s">
        <v>1552</v>
      </c>
      <c r="I2381" t="s">
        <v>1134</v>
      </c>
      <c r="J2381" t="s">
        <v>387</v>
      </c>
      <c r="K2381" t="s">
        <v>280</v>
      </c>
      <c r="L2381">
        <v>0.86</v>
      </c>
      <c r="M2381" t="s">
        <v>11219</v>
      </c>
      <c r="N2381" t="s">
        <v>11220</v>
      </c>
      <c r="O2381" t="s">
        <v>11221</v>
      </c>
      <c r="P2381" t="s">
        <v>485</v>
      </c>
      <c r="Q2381" t="s">
        <v>10678</v>
      </c>
      <c r="R2381" t="s">
        <v>10679</v>
      </c>
      <c r="S2381" t="s">
        <v>10678</v>
      </c>
      <c r="T2381" t="s">
        <v>10679</v>
      </c>
    </row>
    <row r="2382" spans="1:20">
      <c r="A2382" s="241">
        <v>44001</v>
      </c>
      <c r="B2382" t="s">
        <v>11222</v>
      </c>
      <c r="C2382" t="s">
        <v>294</v>
      </c>
      <c r="D2382" t="s">
        <v>2549</v>
      </c>
      <c r="E2382" t="s">
        <v>2769</v>
      </c>
      <c r="F2382" t="s">
        <v>904</v>
      </c>
      <c r="G2382" t="s">
        <v>1936</v>
      </c>
      <c r="H2382" t="s">
        <v>305</v>
      </c>
      <c r="I2382" t="s">
        <v>911</v>
      </c>
      <c r="J2382" t="s">
        <v>1298</v>
      </c>
      <c r="K2382" t="s">
        <v>338</v>
      </c>
      <c r="L2382">
        <v>0.86</v>
      </c>
      <c r="M2382" t="s">
        <v>11223</v>
      </c>
      <c r="N2382" t="s">
        <v>11224</v>
      </c>
      <c r="O2382" t="s">
        <v>11225</v>
      </c>
      <c r="P2382" t="s">
        <v>485</v>
      </c>
      <c r="Q2382" t="s">
        <v>10678</v>
      </c>
      <c r="R2382" t="s">
        <v>10679</v>
      </c>
      <c r="S2382" t="s">
        <v>10678</v>
      </c>
      <c r="T2382" t="s">
        <v>10679</v>
      </c>
    </row>
    <row r="2383" spans="1:20">
      <c r="A2383" s="241">
        <v>44001</v>
      </c>
      <c r="B2383" t="s">
        <v>11226</v>
      </c>
      <c r="C2383" t="s">
        <v>2535</v>
      </c>
      <c r="D2383" t="s">
        <v>208</v>
      </c>
      <c r="E2383" t="s">
        <v>646</v>
      </c>
      <c r="F2383" t="s">
        <v>727</v>
      </c>
      <c r="G2383" t="s">
        <v>1568</v>
      </c>
      <c r="H2383" t="s">
        <v>1103</v>
      </c>
      <c r="I2383" t="s">
        <v>406</v>
      </c>
      <c r="J2383" t="s">
        <v>1141</v>
      </c>
      <c r="K2383" t="s">
        <v>651</v>
      </c>
      <c r="L2383">
        <v>0.86</v>
      </c>
      <c r="M2383" t="s">
        <v>11227</v>
      </c>
      <c r="N2383" t="s">
        <v>11228</v>
      </c>
      <c r="O2383" t="s">
        <v>11229</v>
      </c>
      <c r="P2383" t="s">
        <v>485</v>
      </c>
      <c r="Q2383" t="s">
        <v>10678</v>
      </c>
      <c r="R2383" t="s">
        <v>10679</v>
      </c>
      <c r="S2383" t="s">
        <v>10678</v>
      </c>
      <c r="T2383" t="s">
        <v>10679</v>
      </c>
    </row>
    <row r="2384" spans="1:20">
      <c r="A2384" s="241">
        <v>44001</v>
      </c>
      <c r="B2384" t="s">
        <v>11230</v>
      </c>
      <c r="C2384" t="s">
        <v>2478</v>
      </c>
      <c r="D2384" t="s">
        <v>402</v>
      </c>
      <c r="E2384" t="s">
        <v>2769</v>
      </c>
      <c r="F2384" t="s">
        <v>444</v>
      </c>
      <c r="G2384" t="s">
        <v>1946</v>
      </c>
      <c r="H2384" t="s">
        <v>445</v>
      </c>
      <c r="I2384" t="s">
        <v>427</v>
      </c>
      <c r="J2384" t="s">
        <v>919</v>
      </c>
      <c r="K2384" t="s">
        <v>338</v>
      </c>
      <c r="L2384">
        <v>0.86</v>
      </c>
      <c r="M2384" t="s">
        <v>11231</v>
      </c>
      <c r="N2384" t="s">
        <v>11232</v>
      </c>
      <c r="O2384" t="s">
        <v>11233</v>
      </c>
      <c r="P2384" t="s">
        <v>485</v>
      </c>
      <c r="Q2384" t="s">
        <v>10678</v>
      </c>
      <c r="R2384" t="s">
        <v>10679</v>
      </c>
      <c r="S2384" t="s">
        <v>10678</v>
      </c>
      <c r="T2384" t="s">
        <v>10679</v>
      </c>
    </row>
    <row r="2385" spans="1:20">
      <c r="A2385" s="241">
        <v>44001</v>
      </c>
      <c r="B2385" t="s">
        <v>11234</v>
      </c>
      <c r="C2385" t="s">
        <v>631</v>
      </c>
      <c r="D2385" t="s">
        <v>556</v>
      </c>
      <c r="E2385" t="s">
        <v>2544</v>
      </c>
      <c r="F2385" t="s">
        <v>718</v>
      </c>
      <c r="G2385" t="s">
        <v>931</v>
      </c>
      <c r="H2385" t="s">
        <v>897</v>
      </c>
      <c r="I2385" t="s">
        <v>939</v>
      </c>
      <c r="J2385" t="s">
        <v>1309</v>
      </c>
      <c r="K2385" t="s">
        <v>327</v>
      </c>
      <c r="L2385">
        <v>0.86</v>
      </c>
      <c r="M2385" t="s">
        <v>11235</v>
      </c>
      <c r="N2385" t="s">
        <v>11236</v>
      </c>
      <c r="O2385" t="s">
        <v>11237</v>
      </c>
      <c r="P2385" t="s">
        <v>485</v>
      </c>
      <c r="Q2385" t="s">
        <v>10678</v>
      </c>
      <c r="R2385" t="s">
        <v>10679</v>
      </c>
      <c r="S2385" t="s">
        <v>10678</v>
      </c>
      <c r="T2385" t="s">
        <v>10679</v>
      </c>
    </row>
    <row r="2386" spans="1:20">
      <c r="A2386" s="241">
        <v>44001</v>
      </c>
      <c r="B2386" t="s">
        <v>11238</v>
      </c>
      <c r="C2386" t="s">
        <v>208</v>
      </c>
      <c r="D2386" t="s">
        <v>382</v>
      </c>
      <c r="E2386" t="s">
        <v>2584</v>
      </c>
      <c r="F2386" t="s">
        <v>8716</v>
      </c>
      <c r="G2386" t="s">
        <v>1946</v>
      </c>
      <c r="H2386" t="s">
        <v>3103</v>
      </c>
      <c r="I2386" t="s">
        <v>721</v>
      </c>
      <c r="J2386" t="s">
        <v>437</v>
      </c>
      <c r="K2386" t="s">
        <v>327</v>
      </c>
      <c r="L2386">
        <v>0.86</v>
      </c>
      <c r="M2386" t="s">
        <v>11239</v>
      </c>
      <c r="N2386" t="s">
        <v>11240</v>
      </c>
      <c r="O2386" t="s">
        <v>11241</v>
      </c>
      <c r="P2386" t="s">
        <v>485</v>
      </c>
      <c r="Q2386" t="s">
        <v>10678</v>
      </c>
      <c r="R2386" t="s">
        <v>10679</v>
      </c>
      <c r="S2386" t="s">
        <v>10678</v>
      </c>
      <c r="T2386" t="s">
        <v>10679</v>
      </c>
    </row>
    <row r="2387" spans="1:20">
      <c r="A2387" s="241">
        <v>44001</v>
      </c>
      <c r="B2387" t="s">
        <v>11242</v>
      </c>
      <c r="C2387" t="s">
        <v>382</v>
      </c>
      <c r="D2387" t="s">
        <v>343</v>
      </c>
      <c r="E2387" t="s">
        <v>1102</v>
      </c>
      <c r="F2387" t="s">
        <v>1945</v>
      </c>
      <c r="G2387" t="s">
        <v>938</v>
      </c>
      <c r="H2387" t="s">
        <v>1882</v>
      </c>
      <c r="I2387" t="s">
        <v>1165</v>
      </c>
      <c r="J2387" t="s">
        <v>940</v>
      </c>
      <c r="K2387" t="s">
        <v>327</v>
      </c>
      <c r="L2387">
        <v>0.86</v>
      </c>
      <c r="M2387" t="s">
        <v>11243</v>
      </c>
      <c r="N2387" t="s">
        <v>11244</v>
      </c>
      <c r="O2387" t="s">
        <v>11245</v>
      </c>
      <c r="P2387" t="s">
        <v>485</v>
      </c>
      <c r="Q2387" t="s">
        <v>10678</v>
      </c>
      <c r="R2387" t="s">
        <v>10679</v>
      </c>
      <c r="S2387" t="s">
        <v>10678</v>
      </c>
      <c r="T2387" t="s">
        <v>10679</v>
      </c>
    </row>
    <row r="2388" spans="1:20">
      <c r="A2388" s="241">
        <v>44001</v>
      </c>
      <c r="B2388" t="s">
        <v>11246</v>
      </c>
      <c r="C2388" t="s">
        <v>1348</v>
      </c>
      <c r="D2388" t="s">
        <v>1377</v>
      </c>
      <c r="E2388" t="s">
        <v>625</v>
      </c>
      <c r="F2388" t="s">
        <v>5081</v>
      </c>
      <c r="G2388" t="s">
        <v>465</v>
      </c>
      <c r="H2388" t="s">
        <v>2239</v>
      </c>
      <c r="I2388" t="s">
        <v>6697</v>
      </c>
      <c r="J2388" t="s">
        <v>6698</v>
      </c>
      <c r="K2388" t="s">
        <v>2435</v>
      </c>
      <c r="L2388">
        <v>0.89</v>
      </c>
      <c r="M2388" t="s">
        <v>11247</v>
      </c>
      <c r="N2388" t="s">
        <v>11248</v>
      </c>
      <c r="O2388" t="s">
        <v>11249</v>
      </c>
      <c r="P2388" t="s">
        <v>485</v>
      </c>
      <c r="Q2388" t="s">
        <v>10678</v>
      </c>
      <c r="R2388" t="s">
        <v>10679</v>
      </c>
      <c r="S2388" t="s">
        <v>10678</v>
      </c>
      <c r="T2388" t="s">
        <v>10679</v>
      </c>
    </row>
    <row r="2389" spans="1:20">
      <c r="A2389" s="241">
        <v>44001</v>
      </c>
      <c r="B2389" t="s">
        <v>11250</v>
      </c>
      <c r="C2389" t="s">
        <v>3831</v>
      </c>
      <c r="D2389" t="s">
        <v>2636</v>
      </c>
      <c r="E2389" t="s">
        <v>237</v>
      </c>
      <c r="F2389" t="s">
        <v>4363</v>
      </c>
      <c r="G2389" t="s">
        <v>501</v>
      </c>
      <c r="H2389" t="s">
        <v>8222</v>
      </c>
      <c r="I2389" t="s">
        <v>1979</v>
      </c>
      <c r="J2389" t="s">
        <v>1988</v>
      </c>
      <c r="K2389" t="s">
        <v>3131</v>
      </c>
      <c r="L2389">
        <v>0.89</v>
      </c>
      <c r="M2389" t="s">
        <v>11251</v>
      </c>
      <c r="N2389" t="s">
        <v>11252</v>
      </c>
      <c r="O2389" t="s">
        <v>11253</v>
      </c>
      <c r="P2389" t="s">
        <v>485</v>
      </c>
      <c r="Q2389" t="s">
        <v>10678</v>
      </c>
      <c r="R2389" t="s">
        <v>10679</v>
      </c>
      <c r="S2389" t="s">
        <v>10678</v>
      </c>
      <c r="T2389" t="s">
        <v>10679</v>
      </c>
    </row>
    <row r="2390" spans="1:20">
      <c r="A2390" s="241">
        <v>44001</v>
      </c>
      <c r="B2390" t="s">
        <v>11254</v>
      </c>
      <c r="C2390" t="s">
        <v>2448</v>
      </c>
      <c r="D2390" t="s">
        <v>2626</v>
      </c>
      <c r="E2390" t="s">
        <v>294</v>
      </c>
      <c r="F2390" t="s">
        <v>6104</v>
      </c>
      <c r="G2390" t="s">
        <v>767</v>
      </c>
      <c r="H2390" t="s">
        <v>2449</v>
      </c>
      <c r="I2390" t="s">
        <v>7135</v>
      </c>
      <c r="J2390" t="s">
        <v>1659</v>
      </c>
      <c r="K2390" t="s">
        <v>3834</v>
      </c>
      <c r="L2390">
        <v>0.89</v>
      </c>
      <c r="M2390" t="s">
        <v>11255</v>
      </c>
      <c r="N2390" t="s">
        <v>11256</v>
      </c>
      <c r="O2390" t="s">
        <v>11257</v>
      </c>
      <c r="P2390" t="s">
        <v>485</v>
      </c>
      <c r="Q2390" t="s">
        <v>10678</v>
      </c>
      <c r="R2390" t="s">
        <v>10679</v>
      </c>
      <c r="S2390" t="s">
        <v>10678</v>
      </c>
      <c r="T2390" t="s">
        <v>10679</v>
      </c>
    </row>
    <row r="2391" spans="1:20">
      <c r="A2391" s="241">
        <v>44001</v>
      </c>
      <c r="B2391" t="s">
        <v>11258</v>
      </c>
      <c r="C2391" t="s">
        <v>1079</v>
      </c>
      <c r="D2391" t="s">
        <v>1079</v>
      </c>
      <c r="E2391" t="s">
        <v>2584</v>
      </c>
      <c r="F2391" t="s">
        <v>568</v>
      </c>
      <c r="G2391" t="s">
        <v>777</v>
      </c>
      <c r="H2391" t="s">
        <v>6714</v>
      </c>
      <c r="I2391" t="s">
        <v>4171</v>
      </c>
      <c r="J2391" t="s">
        <v>11259</v>
      </c>
      <c r="K2391" t="s">
        <v>3155</v>
      </c>
      <c r="L2391">
        <v>0.86</v>
      </c>
      <c r="M2391" t="s">
        <v>11260</v>
      </c>
      <c r="N2391" t="s">
        <v>11261</v>
      </c>
      <c r="O2391" t="s">
        <v>11262</v>
      </c>
      <c r="P2391" t="s">
        <v>485</v>
      </c>
      <c r="Q2391" t="s">
        <v>10678</v>
      </c>
      <c r="R2391" t="s">
        <v>10679</v>
      </c>
      <c r="S2391" t="s">
        <v>10678</v>
      </c>
      <c r="T2391" t="s">
        <v>10679</v>
      </c>
    </row>
    <row r="2392" spans="1:20">
      <c r="A2392" s="241">
        <v>44001</v>
      </c>
      <c r="B2392" t="s">
        <v>11263</v>
      </c>
      <c r="C2392" t="s">
        <v>712</v>
      </c>
      <c r="D2392" t="s">
        <v>382</v>
      </c>
      <c r="E2392" t="s">
        <v>1049</v>
      </c>
      <c r="F2392" t="s">
        <v>3554</v>
      </c>
      <c r="G2392" t="s">
        <v>7577</v>
      </c>
      <c r="H2392" t="s">
        <v>4660</v>
      </c>
      <c r="I2392" t="s">
        <v>3153</v>
      </c>
      <c r="J2392" t="s">
        <v>1681</v>
      </c>
      <c r="K2392" t="s">
        <v>781</v>
      </c>
      <c r="L2392">
        <v>0.87</v>
      </c>
      <c r="M2392" t="s">
        <v>11264</v>
      </c>
      <c r="N2392" t="s">
        <v>11265</v>
      </c>
      <c r="O2392" t="s">
        <v>11266</v>
      </c>
      <c r="P2392" t="s">
        <v>485</v>
      </c>
      <c r="Q2392" t="s">
        <v>10678</v>
      </c>
      <c r="R2392" t="s">
        <v>10679</v>
      </c>
      <c r="S2392" t="s">
        <v>10678</v>
      </c>
      <c r="T2392" t="s">
        <v>10679</v>
      </c>
    </row>
    <row r="2393" spans="1:20">
      <c r="A2393" s="241">
        <v>44001</v>
      </c>
      <c r="B2393" t="s">
        <v>11267</v>
      </c>
      <c r="C2393" t="s">
        <v>679</v>
      </c>
      <c r="D2393" t="s">
        <v>392</v>
      </c>
      <c r="E2393" t="s">
        <v>1102</v>
      </c>
      <c r="F2393" t="s">
        <v>2074</v>
      </c>
      <c r="G2393" t="s">
        <v>2686</v>
      </c>
      <c r="H2393" t="s">
        <v>1726</v>
      </c>
      <c r="I2393" t="s">
        <v>1232</v>
      </c>
      <c r="J2393" t="s">
        <v>1710</v>
      </c>
      <c r="K2393" t="s">
        <v>1406</v>
      </c>
      <c r="L2393">
        <v>0.86</v>
      </c>
      <c r="M2393" t="s">
        <v>11268</v>
      </c>
      <c r="N2393" t="s">
        <v>11269</v>
      </c>
      <c r="O2393" t="s">
        <v>11270</v>
      </c>
      <c r="P2393" t="s">
        <v>485</v>
      </c>
      <c r="Q2393" t="s">
        <v>10678</v>
      </c>
      <c r="R2393" t="s">
        <v>10679</v>
      </c>
      <c r="S2393" t="s">
        <v>10678</v>
      </c>
      <c r="T2393" t="s">
        <v>10679</v>
      </c>
    </row>
    <row r="2394" spans="1:20">
      <c r="A2394" s="241">
        <v>44001</v>
      </c>
      <c r="B2394" t="s">
        <v>11271</v>
      </c>
      <c r="C2394" t="s">
        <v>631</v>
      </c>
      <c r="D2394" t="s">
        <v>443</v>
      </c>
      <c r="E2394" t="s">
        <v>646</v>
      </c>
      <c r="F2394" t="s">
        <v>2074</v>
      </c>
      <c r="G2394" t="s">
        <v>1725</v>
      </c>
      <c r="H2394" t="s">
        <v>1726</v>
      </c>
      <c r="I2394" t="s">
        <v>1232</v>
      </c>
      <c r="J2394" t="s">
        <v>1710</v>
      </c>
      <c r="K2394" t="s">
        <v>1406</v>
      </c>
      <c r="L2394">
        <v>0.86</v>
      </c>
      <c r="M2394" t="s">
        <v>11272</v>
      </c>
      <c r="N2394" t="s">
        <v>11273</v>
      </c>
      <c r="O2394" t="s">
        <v>11274</v>
      </c>
      <c r="P2394" t="s">
        <v>485</v>
      </c>
      <c r="Q2394" t="s">
        <v>10678</v>
      </c>
      <c r="R2394" t="s">
        <v>10679</v>
      </c>
      <c r="S2394" t="s">
        <v>10678</v>
      </c>
      <c r="T2394" t="s">
        <v>10679</v>
      </c>
    </row>
    <row r="2395" spans="1:20">
      <c r="A2395" s="241">
        <v>44001</v>
      </c>
      <c r="B2395" t="s">
        <v>11275</v>
      </c>
      <c r="C2395" t="s">
        <v>679</v>
      </c>
      <c r="D2395" t="s">
        <v>1079</v>
      </c>
      <c r="E2395" t="s">
        <v>2544</v>
      </c>
      <c r="F2395" t="s">
        <v>566</v>
      </c>
      <c r="G2395" t="s">
        <v>2314</v>
      </c>
      <c r="H2395" t="s">
        <v>1017</v>
      </c>
      <c r="I2395" t="s">
        <v>816</v>
      </c>
      <c r="J2395" t="s">
        <v>213</v>
      </c>
      <c r="K2395" t="s">
        <v>1012</v>
      </c>
      <c r="L2395">
        <v>0.86</v>
      </c>
      <c r="M2395" t="s">
        <v>11276</v>
      </c>
      <c r="N2395" t="s">
        <v>11277</v>
      </c>
      <c r="O2395" t="s">
        <v>11278</v>
      </c>
      <c r="P2395" t="s">
        <v>485</v>
      </c>
      <c r="Q2395" t="s">
        <v>10678</v>
      </c>
      <c r="R2395" t="s">
        <v>10679</v>
      </c>
      <c r="S2395" t="s">
        <v>10678</v>
      </c>
      <c r="T2395" t="s">
        <v>10679</v>
      </c>
    </row>
    <row r="2396" spans="1:20">
      <c r="A2396" s="241">
        <v>44001</v>
      </c>
      <c r="B2396" t="s">
        <v>11279</v>
      </c>
      <c r="C2396" t="s">
        <v>614</v>
      </c>
      <c r="D2396" t="s">
        <v>2549</v>
      </c>
      <c r="E2396" t="s">
        <v>606</v>
      </c>
      <c r="F2396" t="s">
        <v>1769</v>
      </c>
      <c r="G2396" t="s">
        <v>548</v>
      </c>
      <c r="H2396" t="s">
        <v>1388</v>
      </c>
      <c r="I2396" t="s">
        <v>560</v>
      </c>
      <c r="J2396" t="s">
        <v>1039</v>
      </c>
      <c r="K2396" t="s">
        <v>524</v>
      </c>
      <c r="L2396">
        <v>0.86</v>
      </c>
      <c r="M2396" t="s">
        <v>11280</v>
      </c>
      <c r="N2396" t="s">
        <v>11281</v>
      </c>
      <c r="O2396" t="s">
        <v>11282</v>
      </c>
      <c r="P2396" t="s">
        <v>485</v>
      </c>
      <c r="Q2396" t="s">
        <v>10678</v>
      </c>
      <c r="R2396" t="s">
        <v>10679</v>
      </c>
      <c r="S2396" t="s">
        <v>10678</v>
      </c>
      <c r="T2396" t="s">
        <v>10679</v>
      </c>
    </row>
    <row r="2397" spans="1:20">
      <c r="A2397" s="241">
        <v>44001</v>
      </c>
      <c r="B2397" t="s">
        <v>11283</v>
      </c>
      <c r="C2397" t="s">
        <v>625</v>
      </c>
      <c r="D2397" t="s">
        <v>625</v>
      </c>
      <c r="E2397" t="s">
        <v>632</v>
      </c>
      <c r="F2397" t="s">
        <v>835</v>
      </c>
      <c r="G2397" t="s">
        <v>210</v>
      </c>
      <c r="H2397" t="s">
        <v>2315</v>
      </c>
      <c r="I2397" t="s">
        <v>1250</v>
      </c>
      <c r="J2397" t="s">
        <v>243</v>
      </c>
      <c r="K2397" t="s">
        <v>231</v>
      </c>
      <c r="L2397">
        <v>0.86</v>
      </c>
      <c r="M2397" t="s">
        <v>11284</v>
      </c>
      <c r="N2397" t="s">
        <v>11285</v>
      </c>
      <c r="O2397" t="s">
        <v>11286</v>
      </c>
      <c r="P2397" t="s">
        <v>485</v>
      </c>
      <c r="Q2397" t="s">
        <v>10678</v>
      </c>
      <c r="R2397" t="s">
        <v>10679</v>
      </c>
      <c r="S2397" t="s">
        <v>10678</v>
      </c>
      <c r="T2397" t="s">
        <v>10679</v>
      </c>
    </row>
    <row r="2398" spans="1:20">
      <c r="A2398" s="241">
        <v>44001</v>
      </c>
      <c r="B2398" t="s">
        <v>11287</v>
      </c>
      <c r="C2398" t="s">
        <v>631</v>
      </c>
      <c r="D2398" t="s">
        <v>392</v>
      </c>
      <c r="E2398" t="s">
        <v>1121</v>
      </c>
      <c r="F2398" t="s">
        <v>285</v>
      </c>
      <c r="G2398" t="s">
        <v>1256</v>
      </c>
      <c r="H2398" t="s">
        <v>1057</v>
      </c>
      <c r="I2398" t="s">
        <v>2329</v>
      </c>
      <c r="J2398" t="s">
        <v>255</v>
      </c>
      <c r="K2398" t="s">
        <v>571</v>
      </c>
      <c r="L2398">
        <v>0.86</v>
      </c>
      <c r="M2398" t="s">
        <v>11288</v>
      </c>
      <c r="N2398" t="s">
        <v>11289</v>
      </c>
      <c r="O2398" t="s">
        <v>11290</v>
      </c>
      <c r="P2398" t="s">
        <v>485</v>
      </c>
      <c r="Q2398" t="s">
        <v>10678</v>
      </c>
      <c r="R2398" t="s">
        <v>10679</v>
      </c>
      <c r="S2398" t="s">
        <v>10678</v>
      </c>
      <c r="T2398" t="s">
        <v>10679</v>
      </c>
    </row>
    <row r="2399" spans="1:20">
      <c r="A2399" s="241">
        <v>44001</v>
      </c>
      <c r="B2399" t="s">
        <v>11291</v>
      </c>
      <c r="C2399" t="s">
        <v>679</v>
      </c>
      <c r="D2399" t="s">
        <v>2535</v>
      </c>
      <c r="E2399" t="s">
        <v>606</v>
      </c>
      <c r="F2399" t="s">
        <v>305</v>
      </c>
      <c r="G2399" t="s">
        <v>836</v>
      </c>
      <c r="H2399" t="s">
        <v>1069</v>
      </c>
      <c r="I2399" t="s">
        <v>288</v>
      </c>
      <c r="J2399" t="s">
        <v>1063</v>
      </c>
      <c r="K2399" t="s">
        <v>515</v>
      </c>
      <c r="L2399">
        <v>0.86</v>
      </c>
      <c r="M2399" t="s">
        <v>11292</v>
      </c>
      <c r="N2399" t="s">
        <v>11293</v>
      </c>
      <c r="O2399" t="s">
        <v>11294</v>
      </c>
      <c r="P2399" t="s">
        <v>485</v>
      </c>
      <c r="Q2399" t="s">
        <v>10678</v>
      </c>
      <c r="R2399" t="s">
        <v>10679</v>
      </c>
      <c r="S2399" t="s">
        <v>10678</v>
      </c>
      <c r="T2399" t="s">
        <v>10679</v>
      </c>
    </row>
    <row r="2400" spans="1:20">
      <c r="A2400" s="241">
        <v>44001</v>
      </c>
      <c r="B2400" t="s">
        <v>11295</v>
      </c>
      <c r="C2400" t="s">
        <v>1079</v>
      </c>
      <c r="D2400" t="s">
        <v>671</v>
      </c>
      <c r="E2400" t="s">
        <v>2731</v>
      </c>
      <c r="F2400" t="s">
        <v>1552</v>
      </c>
      <c r="G2400" t="s">
        <v>856</v>
      </c>
      <c r="H2400" t="s">
        <v>608</v>
      </c>
      <c r="I2400" t="s">
        <v>609</v>
      </c>
      <c r="J2400" t="s">
        <v>850</v>
      </c>
      <c r="K2400" t="s">
        <v>571</v>
      </c>
      <c r="L2400">
        <v>0.86</v>
      </c>
      <c r="M2400" t="s">
        <v>11296</v>
      </c>
      <c r="N2400" t="s">
        <v>11297</v>
      </c>
      <c r="O2400" t="s">
        <v>11298</v>
      </c>
      <c r="P2400" t="s">
        <v>485</v>
      </c>
      <c r="Q2400" t="s">
        <v>10678</v>
      </c>
      <c r="R2400" t="s">
        <v>10679</v>
      </c>
      <c r="S2400" t="s">
        <v>10678</v>
      </c>
      <c r="T2400" t="s">
        <v>10679</v>
      </c>
    </row>
    <row r="2401" spans="1:20">
      <c r="A2401" s="241">
        <v>44001</v>
      </c>
      <c r="B2401" t="s">
        <v>11299</v>
      </c>
      <c r="C2401" t="s">
        <v>712</v>
      </c>
      <c r="D2401" t="s">
        <v>402</v>
      </c>
      <c r="E2401" t="s">
        <v>597</v>
      </c>
      <c r="F2401" t="s">
        <v>1817</v>
      </c>
      <c r="G2401" t="s">
        <v>591</v>
      </c>
      <c r="H2401" t="s">
        <v>868</v>
      </c>
      <c r="I2401" t="s">
        <v>308</v>
      </c>
      <c r="J2401" t="s">
        <v>298</v>
      </c>
      <c r="K2401" t="s">
        <v>571</v>
      </c>
      <c r="L2401">
        <v>0.86</v>
      </c>
      <c r="M2401" t="s">
        <v>11300</v>
      </c>
      <c r="N2401" t="s">
        <v>11301</v>
      </c>
      <c r="O2401" t="s">
        <v>11302</v>
      </c>
      <c r="P2401" t="s">
        <v>485</v>
      </c>
      <c r="Q2401" t="s">
        <v>10678</v>
      </c>
      <c r="R2401" t="s">
        <v>10679</v>
      </c>
      <c r="S2401" t="s">
        <v>10678</v>
      </c>
      <c r="T2401" t="s">
        <v>10679</v>
      </c>
    </row>
    <row r="2402" spans="1:20">
      <c r="A2402" s="241">
        <v>44001</v>
      </c>
      <c r="B2402" t="s">
        <v>11303</v>
      </c>
      <c r="C2402" t="s">
        <v>625</v>
      </c>
      <c r="D2402" t="s">
        <v>208</v>
      </c>
      <c r="E2402" t="s">
        <v>2731</v>
      </c>
      <c r="F2402" t="s">
        <v>2151</v>
      </c>
      <c r="G2402" t="s">
        <v>1104</v>
      </c>
      <c r="H2402" t="s">
        <v>868</v>
      </c>
      <c r="I2402" t="s">
        <v>1842</v>
      </c>
      <c r="J2402" t="s">
        <v>318</v>
      </c>
      <c r="K2402" t="s">
        <v>231</v>
      </c>
      <c r="L2402">
        <v>0.86</v>
      </c>
      <c r="M2402" t="s">
        <v>11304</v>
      </c>
      <c r="N2402" t="s">
        <v>11305</v>
      </c>
      <c r="O2402" t="s">
        <v>11306</v>
      </c>
      <c r="P2402" t="s">
        <v>485</v>
      </c>
      <c r="Q2402" t="s">
        <v>10678</v>
      </c>
      <c r="R2402" t="s">
        <v>10679</v>
      </c>
      <c r="S2402" t="s">
        <v>10678</v>
      </c>
      <c r="T2402" t="s">
        <v>10679</v>
      </c>
    </row>
    <row r="2403" spans="1:20">
      <c r="A2403" s="241">
        <v>44001</v>
      </c>
      <c r="B2403" t="s">
        <v>11307</v>
      </c>
      <c r="C2403" t="s">
        <v>423</v>
      </c>
      <c r="D2403" t="s">
        <v>1079</v>
      </c>
      <c r="E2403" t="s">
        <v>1314</v>
      </c>
      <c r="F2403" t="s">
        <v>445</v>
      </c>
      <c r="G2403" t="s">
        <v>334</v>
      </c>
      <c r="H2403" t="s">
        <v>876</v>
      </c>
      <c r="I2403" t="s">
        <v>1494</v>
      </c>
      <c r="J2403" t="s">
        <v>1495</v>
      </c>
      <c r="K2403" t="s">
        <v>268</v>
      </c>
      <c r="L2403">
        <v>0.86</v>
      </c>
      <c r="M2403" t="s">
        <v>11308</v>
      </c>
      <c r="N2403" t="s">
        <v>11309</v>
      </c>
      <c r="O2403" t="s">
        <v>11310</v>
      </c>
      <c r="P2403" t="s">
        <v>485</v>
      </c>
      <c r="Q2403" t="s">
        <v>10678</v>
      </c>
      <c r="R2403" t="s">
        <v>10679</v>
      </c>
      <c r="S2403" t="s">
        <v>10678</v>
      </c>
      <c r="T2403" t="s">
        <v>10679</v>
      </c>
    </row>
    <row r="2404" spans="1:20">
      <c r="A2404" s="241">
        <v>44001</v>
      </c>
      <c r="B2404" t="s">
        <v>11311</v>
      </c>
      <c r="C2404" t="s">
        <v>679</v>
      </c>
      <c r="D2404" t="s">
        <v>402</v>
      </c>
      <c r="E2404" t="s">
        <v>1102</v>
      </c>
      <c r="F2404" t="s">
        <v>354</v>
      </c>
      <c r="G2404" t="s">
        <v>1115</v>
      </c>
      <c r="H2404" t="s">
        <v>366</v>
      </c>
      <c r="I2404" t="s">
        <v>357</v>
      </c>
      <c r="J2404" t="s">
        <v>337</v>
      </c>
      <c r="K2404" t="s">
        <v>579</v>
      </c>
      <c r="L2404">
        <v>0.86</v>
      </c>
      <c r="M2404" t="s">
        <v>11312</v>
      </c>
      <c r="N2404" t="s">
        <v>11313</v>
      </c>
      <c r="O2404" t="s">
        <v>11314</v>
      </c>
      <c r="P2404" t="s">
        <v>485</v>
      </c>
      <c r="Q2404" t="s">
        <v>10678</v>
      </c>
      <c r="R2404" t="s">
        <v>10679</v>
      </c>
      <c r="S2404" t="s">
        <v>10678</v>
      </c>
      <c r="T2404" t="s">
        <v>10679</v>
      </c>
    </row>
    <row r="2405" spans="1:20">
      <c r="A2405" s="241">
        <v>44001</v>
      </c>
      <c r="B2405" t="s">
        <v>11315</v>
      </c>
      <c r="C2405" t="s">
        <v>645</v>
      </c>
      <c r="D2405" t="s">
        <v>1139</v>
      </c>
      <c r="E2405" t="s">
        <v>225</v>
      </c>
      <c r="F2405" t="s">
        <v>333</v>
      </c>
      <c r="G2405" t="s">
        <v>648</v>
      </c>
      <c r="H2405" t="s">
        <v>649</v>
      </c>
      <c r="I2405" t="s">
        <v>336</v>
      </c>
      <c r="J2405" t="s">
        <v>337</v>
      </c>
      <c r="K2405" t="s">
        <v>651</v>
      </c>
      <c r="L2405">
        <v>0.86</v>
      </c>
      <c r="M2405" t="s">
        <v>11316</v>
      </c>
      <c r="N2405" t="s">
        <v>11317</v>
      </c>
      <c r="O2405" t="s">
        <v>11318</v>
      </c>
      <c r="P2405" t="s">
        <v>485</v>
      </c>
      <c r="Q2405" t="s">
        <v>10678</v>
      </c>
      <c r="R2405" t="s">
        <v>10679</v>
      </c>
      <c r="S2405" t="s">
        <v>10678</v>
      </c>
      <c r="T2405" t="s">
        <v>10679</v>
      </c>
    </row>
    <row r="2406" spans="1:20">
      <c r="A2406" s="241">
        <v>44001</v>
      </c>
      <c r="B2406" t="s">
        <v>11319</v>
      </c>
      <c r="C2406" t="s">
        <v>237</v>
      </c>
      <c r="D2406" t="s">
        <v>625</v>
      </c>
      <c r="E2406" t="s">
        <v>238</v>
      </c>
      <c r="F2406" t="s">
        <v>344</v>
      </c>
      <c r="G2406" t="s">
        <v>1562</v>
      </c>
      <c r="H2406" t="s">
        <v>649</v>
      </c>
      <c r="I2406" t="s">
        <v>656</v>
      </c>
      <c r="J2406" t="s">
        <v>657</v>
      </c>
      <c r="K2406" t="s">
        <v>666</v>
      </c>
      <c r="L2406">
        <v>0.86</v>
      </c>
      <c r="M2406" t="s">
        <v>11320</v>
      </c>
      <c r="N2406" t="s">
        <v>11321</v>
      </c>
      <c r="O2406" t="s">
        <v>11322</v>
      </c>
      <c r="P2406" t="s">
        <v>485</v>
      </c>
      <c r="Q2406" t="s">
        <v>10678</v>
      </c>
      <c r="R2406" t="s">
        <v>10679</v>
      </c>
      <c r="S2406" t="s">
        <v>10678</v>
      </c>
      <c r="T2406" t="s">
        <v>10679</v>
      </c>
    </row>
    <row r="2407" spans="1:20">
      <c r="A2407" s="241">
        <v>44001</v>
      </c>
      <c r="B2407" t="s">
        <v>11323</v>
      </c>
      <c r="C2407" t="s">
        <v>645</v>
      </c>
      <c r="D2407" t="s">
        <v>671</v>
      </c>
      <c r="E2407" t="s">
        <v>2544</v>
      </c>
      <c r="F2407" t="s">
        <v>1561</v>
      </c>
      <c r="G2407" t="s">
        <v>918</v>
      </c>
      <c r="H2407" t="s">
        <v>1552</v>
      </c>
      <c r="I2407" t="s">
        <v>683</v>
      </c>
      <c r="J2407" t="s">
        <v>377</v>
      </c>
      <c r="K2407" t="s">
        <v>256</v>
      </c>
      <c r="L2407">
        <v>0.86</v>
      </c>
      <c r="M2407" t="s">
        <v>11324</v>
      </c>
      <c r="N2407" t="s">
        <v>11325</v>
      </c>
      <c r="O2407" t="s">
        <v>11326</v>
      </c>
      <c r="P2407" t="s">
        <v>485</v>
      </c>
      <c r="Q2407" t="s">
        <v>10678</v>
      </c>
      <c r="R2407" t="s">
        <v>10679</v>
      </c>
      <c r="S2407" t="s">
        <v>10678</v>
      </c>
      <c r="T2407" t="s">
        <v>10679</v>
      </c>
    </row>
    <row r="2408" spans="1:20">
      <c r="A2408" s="241">
        <v>44001</v>
      </c>
      <c r="B2408" t="s">
        <v>11327</v>
      </c>
      <c r="C2408" t="s">
        <v>671</v>
      </c>
      <c r="D2408" t="s">
        <v>645</v>
      </c>
      <c r="E2408" t="s">
        <v>2544</v>
      </c>
      <c r="F2408" t="s">
        <v>2579</v>
      </c>
      <c r="G2408" t="s">
        <v>1610</v>
      </c>
      <c r="H2408" t="s">
        <v>1467</v>
      </c>
      <c r="I2408" t="s">
        <v>674</v>
      </c>
      <c r="J2408" t="s">
        <v>1128</v>
      </c>
      <c r="K2408" t="s">
        <v>349</v>
      </c>
      <c r="L2408">
        <v>0.86</v>
      </c>
      <c r="M2408" t="s">
        <v>11328</v>
      </c>
      <c r="N2408" t="s">
        <v>11329</v>
      </c>
      <c r="O2408" t="s">
        <v>11330</v>
      </c>
      <c r="P2408" t="s">
        <v>485</v>
      </c>
      <c r="Q2408" t="s">
        <v>10678</v>
      </c>
      <c r="R2408" t="s">
        <v>10679</v>
      </c>
      <c r="S2408" t="s">
        <v>10678</v>
      </c>
      <c r="T2408" t="s">
        <v>10679</v>
      </c>
    </row>
    <row r="2409" spans="1:20">
      <c r="A2409" s="241">
        <v>44001</v>
      </c>
      <c r="B2409" t="s">
        <v>11331</v>
      </c>
      <c r="C2409" t="s">
        <v>645</v>
      </c>
      <c r="D2409" t="s">
        <v>208</v>
      </c>
      <c r="E2409" t="s">
        <v>2880</v>
      </c>
      <c r="F2409" t="s">
        <v>413</v>
      </c>
      <c r="G2409" t="s">
        <v>1610</v>
      </c>
      <c r="H2409" t="s">
        <v>415</v>
      </c>
      <c r="I2409" t="s">
        <v>1579</v>
      </c>
      <c r="J2409" t="s">
        <v>691</v>
      </c>
      <c r="K2409" t="s">
        <v>327</v>
      </c>
      <c r="L2409">
        <v>0.86</v>
      </c>
      <c r="M2409" t="s">
        <v>11332</v>
      </c>
      <c r="N2409" t="s">
        <v>11333</v>
      </c>
      <c r="O2409" t="s">
        <v>11334</v>
      </c>
      <c r="P2409" t="s">
        <v>485</v>
      </c>
      <c r="Q2409" t="s">
        <v>10678</v>
      </c>
      <c r="R2409" t="s">
        <v>10679</v>
      </c>
      <c r="S2409" t="s">
        <v>10678</v>
      </c>
      <c r="T2409" t="s">
        <v>10679</v>
      </c>
    </row>
    <row r="2410" spans="1:20">
      <c r="A2410" s="241">
        <v>44001</v>
      </c>
      <c r="B2410" t="s">
        <v>11335</v>
      </c>
      <c r="C2410" t="s">
        <v>294</v>
      </c>
      <c r="D2410" t="s">
        <v>2535</v>
      </c>
      <c r="E2410" t="s">
        <v>2584</v>
      </c>
      <c r="F2410" t="s">
        <v>924</v>
      </c>
      <c r="G2410" t="s">
        <v>414</v>
      </c>
      <c r="H2410" t="s">
        <v>426</v>
      </c>
      <c r="I2410" t="s">
        <v>1579</v>
      </c>
      <c r="J2410" t="s">
        <v>397</v>
      </c>
      <c r="K2410" t="s">
        <v>349</v>
      </c>
      <c r="L2410">
        <v>0.86</v>
      </c>
      <c r="M2410" t="s">
        <v>11336</v>
      </c>
      <c r="N2410" t="s">
        <v>11337</v>
      </c>
      <c r="O2410" t="s">
        <v>11338</v>
      </c>
      <c r="P2410" t="s">
        <v>485</v>
      </c>
      <c r="Q2410" t="s">
        <v>10678</v>
      </c>
      <c r="R2410" t="s">
        <v>10679</v>
      </c>
      <c r="S2410" t="s">
        <v>10678</v>
      </c>
      <c r="T2410" t="s">
        <v>10679</v>
      </c>
    </row>
    <row r="2411" spans="1:20">
      <c r="A2411" s="241">
        <v>44001</v>
      </c>
      <c r="B2411" t="s">
        <v>11339</v>
      </c>
      <c r="C2411" t="s">
        <v>2478</v>
      </c>
      <c r="D2411" t="s">
        <v>2478</v>
      </c>
      <c r="E2411" t="s">
        <v>1121</v>
      </c>
      <c r="F2411" t="s">
        <v>937</v>
      </c>
      <c r="G2411" t="s">
        <v>2393</v>
      </c>
      <c r="H2411" t="s">
        <v>333</v>
      </c>
      <c r="I2411" t="s">
        <v>1140</v>
      </c>
      <c r="J2411" t="s">
        <v>699</v>
      </c>
      <c r="K2411" t="s">
        <v>359</v>
      </c>
      <c r="L2411">
        <v>0.86</v>
      </c>
      <c r="M2411" t="s">
        <v>11340</v>
      </c>
      <c r="N2411" t="s">
        <v>11341</v>
      </c>
      <c r="O2411" t="s">
        <v>11342</v>
      </c>
      <c r="P2411" t="s">
        <v>485</v>
      </c>
      <c r="Q2411" t="s">
        <v>10678</v>
      </c>
      <c r="R2411" t="s">
        <v>10679</v>
      </c>
      <c r="S2411" t="s">
        <v>10678</v>
      </c>
      <c r="T2411" t="s">
        <v>10679</v>
      </c>
    </row>
    <row r="2412" spans="1:20">
      <c r="A2412" s="241">
        <v>44001</v>
      </c>
      <c r="B2412" t="s">
        <v>11343</v>
      </c>
      <c r="C2412" t="s">
        <v>645</v>
      </c>
      <c r="D2412" t="s">
        <v>343</v>
      </c>
      <c r="E2412" t="s">
        <v>2731</v>
      </c>
      <c r="F2412" t="s">
        <v>1338</v>
      </c>
      <c r="G2412" t="s">
        <v>719</v>
      </c>
      <c r="H2412" t="s">
        <v>887</v>
      </c>
      <c r="I2412" t="s">
        <v>1165</v>
      </c>
      <c r="J2412" t="s">
        <v>940</v>
      </c>
      <c r="K2412" t="s">
        <v>666</v>
      </c>
      <c r="L2412">
        <v>0.86</v>
      </c>
      <c r="M2412" t="s">
        <v>11344</v>
      </c>
      <c r="N2412" t="s">
        <v>11345</v>
      </c>
      <c r="O2412" t="s">
        <v>11346</v>
      </c>
      <c r="P2412" t="s">
        <v>485</v>
      </c>
      <c r="Q2412" t="s">
        <v>10678</v>
      </c>
      <c r="R2412" t="s">
        <v>10679</v>
      </c>
      <c r="S2412" t="s">
        <v>10678</v>
      </c>
      <c r="T2412" t="s">
        <v>10679</v>
      </c>
    </row>
    <row r="2413" spans="1:20">
      <c r="A2413" s="241">
        <v>44001</v>
      </c>
      <c r="B2413" t="s">
        <v>11347</v>
      </c>
      <c r="C2413" t="s">
        <v>2535</v>
      </c>
      <c r="D2413" t="s">
        <v>1139</v>
      </c>
      <c r="E2413" t="s">
        <v>1314</v>
      </c>
      <c r="F2413" t="s">
        <v>1951</v>
      </c>
      <c r="G2413" t="s">
        <v>1170</v>
      </c>
      <c r="H2413" t="s">
        <v>647</v>
      </c>
      <c r="I2413" t="s">
        <v>947</v>
      </c>
      <c r="J2413" t="s">
        <v>1159</v>
      </c>
      <c r="K2413" t="s">
        <v>349</v>
      </c>
      <c r="L2413">
        <v>0.86</v>
      </c>
      <c r="M2413" t="s">
        <v>11348</v>
      </c>
      <c r="N2413" t="s">
        <v>11349</v>
      </c>
      <c r="O2413" t="s">
        <v>11350</v>
      </c>
      <c r="P2413" t="s">
        <v>485</v>
      </c>
      <c r="Q2413" t="s">
        <v>10678</v>
      </c>
      <c r="R2413" t="s">
        <v>10679</v>
      </c>
      <c r="S2413" t="s">
        <v>10678</v>
      </c>
      <c r="T2413" t="s">
        <v>10679</v>
      </c>
    </row>
    <row r="2414" spans="1:20">
      <c r="A2414" s="241">
        <v>44001</v>
      </c>
      <c r="B2414" t="s">
        <v>11351</v>
      </c>
      <c r="C2414" t="s">
        <v>1666</v>
      </c>
      <c r="D2414" t="s">
        <v>2811</v>
      </c>
      <c r="E2414" t="s">
        <v>442</v>
      </c>
      <c r="F2414" t="s">
        <v>737</v>
      </c>
      <c r="G2414" t="s">
        <v>1668</v>
      </c>
      <c r="H2414" t="s">
        <v>3962</v>
      </c>
      <c r="I2414" t="s">
        <v>3963</v>
      </c>
      <c r="J2414" t="s">
        <v>9198</v>
      </c>
      <c r="K2414" t="s">
        <v>6228</v>
      </c>
      <c r="L2414">
        <v>0.89</v>
      </c>
      <c r="M2414" t="s">
        <v>11352</v>
      </c>
      <c r="N2414" t="s">
        <v>11353</v>
      </c>
      <c r="O2414" t="s">
        <v>11354</v>
      </c>
      <c r="P2414" t="s">
        <v>485</v>
      </c>
      <c r="Q2414" t="s">
        <v>10678</v>
      </c>
      <c r="R2414" t="s">
        <v>10679</v>
      </c>
      <c r="S2414" t="s">
        <v>10678</v>
      </c>
      <c r="T2414" t="s">
        <v>10679</v>
      </c>
    </row>
    <row r="2415" spans="1:20">
      <c r="A2415" s="241">
        <v>44001</v>
      </c>
      <c r="B2415" t="s">
        <v>11355</v>
      </c>
      <c r="C2415" t="s">
        <v>1348</v>
      </c>
      <c r="D2415" t="s">
        <v>2448</v>
      </c>
      <c r="E2415" t="s">
        <v>631</v>
      </c>
      <c r="F2415" t="s">
        <v>748</v>
      </c>
      <c r="G2415" t="s">
        <v>6696</v>
      </c>
      <c r="H2415" t="s">
        <v>500</v>
      </c>
      <c r="I2415" t="s">
        <v>4154</v>
      </c>
      <c r="J2415" t="s">
        <v>3505</v>
      </c>
      <c r="K2415" t="s">
        <v>1972</v>
      </c>
      <c r="L2415">
        <v>0.89</v>
      </c>
      <c r="M2415" t="s">
        <v>11356</v>
      </c>
      <c r="N2415" t="s">
        <v>11357</v>
      </c>
      <c r="O2415" t="s">
        <v>11358</v>
      </c>
      <c r="P2415" t="s">
        <v>485</v>
      </c>
      <c r="Q2415" t="s">
        <v>10678</v>
      </c>
      <c r="R2415" t="s">
        <v>10679</v>
      </c>
      <c r="S2415" t="s">
        <v>10678</v>
      </c>
      <c r="T2415" t="s">
        <v>10679</v>
      </c>
    </row>
    <row r="2416" spans="1:20">
      <c r="A2416" s="241">
        <v>44001</v>
      </c>
      <c r="B2416" t="s">
        <v>11359</v>
      </c>
      <c r="C2416" t="s">
        <v>1348</v>
      </c>
      <c r="D2416" t="s">
        <v>2636</v>
      </c>
      <c r="E2416" t="s">
        <v>274</v>
      </c>
      <c r="F2416" t="s">
        <v>962</v>
      </c>
      <c r="G2416" t="s">
        <v>981</v>
      </c>
      <c r="H2416" t="s">
        <v>1207</v>
      </c>
      <c r="I2416" t="s">
        <v>2257</v>
      </c>
      <c r="J2416" t="s">
        <v>3979</v>
      </c>
      <c r="K2416" t="s">
        <v>3131</v>
      </c>
      <c r="L2416">
        <v>0.89</v>
      </c>
      <c r="M2416" t="s">
        <v>11360</v>
      </c>
      <c r="N2416" t="s">
        <v>11361</v>
      </c>
      <c r="O2416" t="s">
        <v>11362</v>
      </c>
      <c r="P2416" t="s">
        <v>485</v>
      </c>
      <c r="Q2416" t="s">
        <v>10678</v>
      </c>
      <c r="R2416" t="s">
        <v>10679</v>
      </c>
      <c r="S2416" t="s">
        <v>10678</v>
      </c>
      <c r="T2416" t="s">
        <v>10679</v>
      </c>
    </row>
    <row r="2417" spans="1:20">
      <c r="A2417" s="241">
        <v>44001</v>
      </c>
      <c r="B2417" t="s">
        <v>11363</v>
      </c>
      <c r="C2417" t="s">
        <v>2821</v>
      </c>
      <c r="D2417" t="s">
        <v>442</v>
      </c>
      <c r="E2417" t="s">
        <v>671</v>
      </c>
      <c r="F2417" t="s">
        <v>4363</v>
      </c>
      <c r="G2417" t="s">
        <v>2264</v>
      </c>
      <c r="H2417" t="s">
        <v>11364</v>
      </c>
      <c r="I2417" t="s">
        <v>11365</v>
      </c>
      <c r="J2417" t="s">
        <v>11366</v>
      </c>
      <c r="K2417" t="s">
        <v>11367</v>
      </c>
      <c r="L2417">
        <v>0.88</v>
      </c>
      <c r="M2417" t="s">
        <v>11368</v>
      </c>
      <c r="N2417" t="s">
        <v>11369</v>
      </c>
      <c r="O2417" t="s">
        <v>11370</v>
      </c>
      <c r="P2417" t="s">
        <v>485</v>
      </c>
      <c r="Q2417" t="s">
        <v>10678</v>
      </c>
      <c r="R2417" t="s">
        <v>10679</v>
      </c>
      <c r="S2417" t="s">
        <v>10678</v>
      </c>
      <c r="T2417" t="s">
        <v>10679</v>
      </c>
    </row>
    <row r="2418" spans="1:20">
      <c r="A2418" s="241">
        <v>44001</v>
      </c>
      <c r="B2418" t="s">
        <v>11371</v>
      </c>
      <c r="C2418" t="s">
        <v>671</v>
      </c>
      <c r="D2418" t="s">
        <v>645</v>
      </c>
      <c r="E2418" t="s">
        <v>1102</v>
      </c>
      <c r="F2418" t="s">
        <v>2305</v>
      </c>
      <c r="G2418" t="s">
        <v>2004</v>
      </c>
      <c r="H2418" t="s">
        <v>2005</v>
      </c>
      <c r="I2418" t="s">
        <v>1001</v>
      </c>
      <c r="J2418" t="s">
        <v>8235</v>
      </c>
      <c r="K2418" t="s">
        <v>3155</v>
      </c>
      <c r="L2418">
        <v>0.87</v>
      </c>
      <c r="M2418" t="s">
        <v>11372</v>
      </c>
      <c r="N2418" t="s">
        <v>11373</v>
      </c>
      <c r="O2418" t="s">
        <v>11374</v>
      </c>
      <c r="P2418" t="s">
        <v>485</v>
      </c>
      <c r="Q2418" t="s">
        <v>10678</v>
      </c>
      <c r="R2418" t="s">
        <v>10679</v>
      </c>
      <c r="S2418" t="s">
        <v>10678</v>
      </c>
      <c r="T2418" t="s">
        <v>10679</v>
      </c>
    </row>
    <row r="2419" spans="1:20">
      <c r="A2419" s="241">
        <v>44001</v>
      </c>
      <c r="B2419" t="s">
        <v>11375</v>
      </c>
      <c r="C2419" t="s">
        <v>631</v>
      </c>
      <c r="D2419" t="s">
        <v>631</v>
      </c>
      <c r="E2419" t="s">
        <v>2584</v>
      </c>
      <c r="F2419" t="s">
        <v>1057</v>
      </c>
      <c r="G2419" t="s">
        <v>786</v>
      </c>
      <c r="H2419" t="s">
        <v>787</v>
      </c>
      <c r="I2419" t="s">
        <v>2029</v>
      </c>
      <c r="J2419" t="s">
        <v>1699</v>
      </c>
      <c r="K2419" t="s">
        <v>2458</v>
      </c>
      <c r="L2419">
        <v>0.86</v>
      </c>
      <c r="M2419" t="s">
        <v>11376</v>
      </c>
      <c r="N2419" t="s">
        <v>11377</v>
      </c>
      <c r="O2419" t="s">
        <v>11378</v>
      </c>
      <c r="P2419" t="s">
        <v>485</v>
      </c>
      <c r="Q2419" t="s">
        <v>10678</v>
      </c>
      <c r="R2419" t="s">
        <v>10679</v>
      </c>
      <c r="S2419" t="s">
        <v>10678</v>
      </c>
      <c r="T2419" t="s">
        <v>10679</v>
      </c>
    </row>
    <row r="2420" spans="1:20">
      <c r="A2420" s="241">
        <v>44001</v>
      </c>
      <c r="B2420" t="s">
        <v>11379</v>
      </c>
      <c r="C2420" t="s">
        <v>2478</v>
      </c>
      <c r="D2420" t="s">
        <v>2478</v>
      </c>
      <c r="E2420" t="s">
        <v>2584</v>
      </c>
      <c r="F2420" t="s">
        <v>316</v>
      </c>
      <c r="G2420" t="s">
        <v>2291</v>
      </c>
      <c r="H2420" t="s">
        <v>211</v>
      </c>
      <c r="I2420" t="s">
        <v>532</v>
      </c>
      <c r="J2420" t="s">
        <v>2681</v>
      </c>
      <c r="K2420" t="s">
        <v>2277</v>
      </c>
      <c r="L2420">
        <v>0.86</v>
      </c>
      <c r="M2420" t="s">
        <v>11380</v>
      </c>
      <c r="N2420" t="s">
        <v>11381</v>
      </c>
      <c r="O2420" t="s">
        <v>11382</v>
      </c>
      <c r="P2420" t="s">
        <v>485</v>
      </c>
      <c r="Q2420" t="s">
        <v>10678</v>
      </c>
      <c r="R2420" t="s">
        <v>10679</v>
      </c>
      <c r="S2420" t="s">
        <v>10678</v>
      </c>
      <c r="T2420" t="s">
        <v>10679</v>
      </c>
    </row>
    <row r="2421" spans="1:20">
      <c r="A2421" s="241">
        <v>44001</v>
      </c>
      <c r="B2421" t="s">
        <v>11383</v>
      </c>
      <c r="C2421" t="s">
        <v>2535</v>
      </c>
      <c r="D2421" t="s">
        <v>1079</v>
      </c>
      <c r="E2421" t="s">
        <v>2584</v>
      </c>
      <c r="F2421" t="s">
        <v>346</v>
      </c>
      <c r="G2421" t="s">
        <v>786</v>
      </c>
      <c r="H2421" t="s">
        <v>211</v>
      </c>
      <c r="I2421" t="s">
        <v>793</v>
      </c>
      <c r="J2421" t="s">
        <v>2681</v>
      </c>
      <c r="K2421" t="s">
        <v>1399</v>
      </c>
      <c r="L2421">
        <v>0.86</v>
      </c>
      <c r="M2421" t="s">
        <v>11384</v>
      </c>
      <c r="N2421" t="s">
        <v>11385</v>
      </c>
      <c r="O2421" t="s">
        <v>11386</v>
      </c>
      <c r="P2421" t="s">
        <v>485</v>
      </c>
      <c r="Q2421" t="s">
        <v>10678</v>
      </c>
      <c r="R2421" t="s">
        <v>10679</v>
      </c>
      <c r="S2421" t="s">
        <v>10678</v>
      </c>
      <c r="T2421" t="s">
        <v>10679</v>
      </c>
    </row>
    <row r="2422" spans="1:20">
      <c r="A2422" s="241">
        <v>44001</v>
      </c>
      <c r="B2422" t="s">
        <v>11387</v>
      </c>
      <c r="C2422" t="s">
        <v>2478</v>
      </c>
      <c r="D2422" t="s">
        <v>1079</v>
      </c>
      <c r="E2422" t="s">
        <v>646</v>
      </c>
      <c r="F2422" t="s">
        <v>316</v>
      </c>
      <c r="G2422" t="s">
        <v>240</v>
      </c>
      <c r="H2422" t="s">
        <v>1257</v>
      </c>
      <c r="I2422" t="s">
        <v>1747</v>
      </c>
      <c r="J2422" t="s">
        <v>1240</v>
      </c>
      <c r="K2422" t="s">
        <v>1234</v>
      </c>
      <c r="L2422">
        <v>0.86</v>
      </c>
      <c r="M2422" t="s">
        <v>11388</v>
      </c>
      <c r="N2422" t="s">
        <v>11389</v>
      </c>
      <c r="O2422" t="s">
        <v>11390</v>
      </c>
      <c r="P2422" t="s">
        <v>485</v>
      </c>
      <c r="Q2422" t="s">
        <v>10678</v>
      </c>
      <c r="R2422" t="s">
        <v>10679</v>
      </c>
      <c r="S2422" t="s">
        <v>10678</v>
      </c>
      <c r="T2422" t="s">
        <v>10679</v>
      </c>
    </row>
    <row r="2423" spans="1:20">
      <c r="A2423" s="241">
        <v>44001</v>
      </c>
      <c r="B2423" t="s">
        <v>11391</v>
      </c>
      <c r="C2423" t="s">
        <v>208</v>
      </c>
      <c r="D2423" t="s">
        <v>631</v>
      </c>
      <c r="E2423" t="s">
        <v>1049</v>
      </c>
      <c r="F2423" t="s">
        <v>239</v>
      </c>
      <c r="G2423" t="s">
        <v>1044</v>
      </c>
      <c r="H2423" t="s">
        <v>1677</v>
      </c>
      <c r="I2423" t="s">
        <v>1747</v>
      </c>
      <c r="J2423" t="s">
        <v>2881</v>
      </c>
      <c r="K2423" t="s">
        <v>524</v>
      </c>
      <c r="L2423">
        <v>0.86</v>
      </c>
      <c r="M2423" t="s">
        <v>11392</v>
      </c>
      <c r="N2423" t="s">
        <v>11393</v>
      </c>
      <c r="O2423" t="s">
        <v>11394</v>
      </c>
      <c r="P2423" t="s">
        <v>485</v>
      </c>
      <c r="Q2423" t="s">
        <v>10678</v>
      </c>
      <c r="R2423" t="s">
        <v>10679</v>
      </c>
      <c r="S2423" t="s">
        <v>10678</v>
      </c>
      <c r="T2423" t="s">
        <v>10679</v>
      </c>
    </row>
    <row r="2424" spans="1:20">
      <c r="A2424" s="241">
        <v>44001</v>
      </c>
      <c r="B2424" t="s">
        <v>11395</v>
      </c>
      <c r="C2424" t="s">
        <v>631</v>
      </c>
      <c r="D2424" t="s">
        <v>392</v>
      </c>
      <c r="E2424" t="s">
        <v>2584</v>
      </c>
      <c r="F2424" t="s">
        <v>1056</v>
      </c>
      <c r="G2424" t="s">
        <v>1447</v>
      </c>
      <c r="H2424" t="s">
        <v>209</v>
      </c>
      <c r="I2424" t="s">
        <v>577</v>
      </c>
      <c r="J2424" t="s">
        <v>1770</v>
      </c>
      <c r="K2424" t="s">
        <v>515</v>
      </c>
      <c r="L2424">
        <v>0.86</v>
      </c>
      <c r="M2424" t="s">
        <v>11396</v>
      </c>
      <c r="N2424" t="s">
        <v>11397</v>
      </c>
      <c r="O2424" t="s">
        <v>11398</v>
      </c>
      <c r="P2424" t="s">
        <v>485</v>
      </c>
      <c r="Q2424" t="s">
        <v>10678</v>
      </c>
      <c r="R2424" t="s">
        <v>10679</v>
      </c>
      <c r="S2424" t="s">
        <v>10678</v>
      </c>
      <c r="T2424" t="s">
        <v>10679</v>
      </c>
    </row>
    <row r="2425" spans="1:20">
      <c r="A2425" s="241">
        <v>44001</v>
      </c>
      <c r="B2425" t="s">
        <v>11399</v>
      </c>
      <c r="C2425" t="s">
        <v>631</v>
      </c>
      <c r="D2425" t="s">
        <v>1139</v>
      </c>
      <c r="E2425" t="s">
        <v>632</v>
      </c>
      <c r="F2425" t="s">
        <v>835</v>
      </c>
      <c r="G2425" t="s">
        <v>286</v>
      </c>
      <c r="H2425" t="s">
        <v>287</v>
      </c>
      <c r="I2425" t="s">
        <v>2329</v>
      </c>
      <c r="J2425" t="s">
        <v>570</v>
      </c>
      <c r="K2425" t="s">
        <v>214</v>
      </c>
      <c r="L2425">
        <v>0.86</v>
      </c>
      <c r="M2425" t="s">
        <v>11400</v>
      </c>
      <c r="N2425" t="s">
        <v>11401</v>
      </c>
      <c r="O2425" t="s">
        <v>11402</v>
      </c>
      <c r="P2425" t="s">
        <v>485</v>
      </c>
      <c r="Q2425" t="s">
        <v>10678</v>
      </c>
      <c r="R2425" t="s">
        <v>10679</v>
      </c>
      <c r="S2425" t="s">
        <v>10678</v>
      </c>
      <c r="T2425" t="s">
        <v>10679</v>
      </c>
    </row>
    <row r="2426" spans="1:20">
      <c r="A2426" s="241">
        <v>44001</v>
      </c>
      <c r="B2426" t="s">
        <v>11403</v>
      </c>
      <c r="C2426" t="s">
        <v>712</v>
      </c>
      <c r="D2426" t="s">
        <v>443</v>
      </c>
      <c r="E2426" t="s">
        <v>1049</v>
      </c>
      <c r="F2426" t="s">
        <v>285</v>
      </c>
      <c r="G2426" t="s">
        <v>2142</v>
      </c>
      <c r="H2426" t="s">
        <v>277</v>
      </c>
      <c r="I2426" t="s">
        <v>1264</v>
      </c>
      <c r="J2426" t="s">
        <v>279</v>
      </c>
      <c r="K2426" t="s">
        <v>231</v>
      </c>
      <c r="L2426">
        <v>0.86</v>
      </c>
      <c r="M2426" t="s">
        <v>11404</v>
      </c>
      <c r="N2426" t="s">
        <v>11405</v>
      </c>
      <c r="O2426" t="s">
        <v>11406</v>
      </c>
      <c r="P2426" t="s">
        <v>485</v>
      </c>
      <c r="Q2426" t="s">
        <v>10678</v>
      </c>
      <c r="R2426" t="s">
        <v>10679</v>
      </c>
      <c r="S2426" t="s">
        <v>10678</v>
      </c>
      <c r="T2426" t="s">
        <v>10679</v>
      </c>
    </row>
    <row r="2427" spans="1:20">
      <c r="A2427" s="241">
        <v>44001</v>
      </c>
      <c r="B2427" t="s">
        <v>11407</v>
      </c>
      <c r="C2427" t="s">
        <v>1079</v>
      </c>
      <c r="D2427" t="s">
        <v>392</v>
      </c>
      <c r="E2427" t="s">
        <v>1049</v>
      </c>
      <c r="F2427" t="s">
        <v>1291</v>
      </c>
      <c r="G2427" t="s">
        <v>1462</v>
      </c>
      <c r="H2427" t="s">
        <v>608</v>
      </c>
      <c r="I2427" t="s">
        <v>297</v>
      </c>
      <c r="J2427" t="s">
        <v>592</v>
      </c>
      <c r="K2427" t="s">
        <v>231</v>
      </c>
      <c r="L2427">
        <v>0.86</v>
      </c>
      <c r="M2427" t="s">
        <v>11408</v>
      </c>
      <c r="N2427" t="s">
        <v>11409</v>
      </c>
      <c r="O2427" t="s">
        <v>11410</v>
      </c>
      <c r="P2427" t="s">
        <v>485</v>
      </c>
      <c r="Q2427" t="s">
        <v>10678</v>
      </c>
      <c r="R2427" t="s">
        <v>10679</v>
      </c>
      <c r="S2427" t="s">
        <v>10678</v>
      </c>
      <c r="T2427" t="s">
        <v>10679</v>
      </c>
    </row>
    <row r="2428" spans="1:20">
      <c r="A2428" s="241">
        <v>44001</v>
      </c>
      <c r="B2428" t="s">
        <v>11411</v>
      </c>
      <c r="C2428" t="s">
        <v>679</v>
      </c>
      <c r="D2428" t="s">
        <v>2478</v>
      </c>
      <c r="E2428" t="s">
        <v>2544</v>
      </c>
      <c r="F2428" t="s">
        <v>1817</v>
      </c>
      <c r="G2428" t="s">
        <v>2142</v>
      </c>
      <c r="H2428" t="s">
        <v>539</v>
      </c>
      <c r="I2428" t="s">
        <v>849</v>
      </c>
      <c r="J2428" t="s">
        <v>289</v>
      </c>
      <c r="K2428" t="s">
        <v>214</v>
      </c>
      <c r="L2428">
        <v>0.86</v>
      </c>
      <c r="M2428" t="s">
        <v>11412</v>
      </c>
      <c r="N2428" t="s">
        <v>11413</v>
      </c>
      <c r="O2428" t="s">
        <v>11414</v>
      </c>
      <c r="P2428" t="s">
        <v>485</v>
      </c>
      <c r="Q2428" t="s">
        <v>10678</v>
      </c>
      <c r="R2428" t="s">
        <v>10679</v>
      </c>
      <c r="S2428" t="s">
        <v>10678</v>
      </c>
      <c r="T2428" t="s">
        <v>10679</v>
      </c>
    </row>
    <row r="2429" spans="1:20">
      <c r="A2429" s="241">
        <v>44001</v>
      </c>
      <c r="B2429" t="s">
        <v>11415</v>
      </c>
      <c r="C2429" t="s">
        <v>645</v>
      </c>
      <c r="D2429" t="s">
        <v>382</v>
      </c>
      <c r="E2429" t="s">
        <v>1049</v>
      </c>
      <c r="F2429" t="s">
        <v>848</v>
      </c>
      <c r="G2429" t="s">
        <v>843</v>
      </c>
      <c r="H2429" t="s">
        <v>346</v>
      </c>
      <c r="I2429" t="s">
        <v>297</v>
      </c>
      <c r="J2429" t="s">
        <v>592</v>
      </c>
      <c r="K2429" t="s">
        <v>214</v>
      </c>
      <c r="L2429">
        <v>0.86</v>
      </c>
      <c r="M2429" t="s">
        <v>11416</v>
      </c>
      <c r="N2429" t="s">
        <v>11417</v>
      </c>
      <c r="O2429" t="s">
        <v>11418</v>
      </c>
      <c r="P2429" t="s">
        <v>485</v>
      </c>
      <c r="Q2429" t="s">
        <v>10678</v>
      </c>
      <c r="R2429" t="s">
        <v>10679</v>
      </c>
      <c r="S2429" t="s">
        <v>10678</v>
      </c>
      <c r="T2429" t="s">
        <v>10679</v>
      </c>
    </row>
    <row r="2430" spans="1:20">
      <c r="A2430" s="241">
        <v>44001</v>
      </c>
      <c r="B2430" t="s">
        <v>11419</v>
      </c>
      <c r="C2430" t="s">
        <v>392</v>
      </c>
      <c r="D2430" t="s">
        <v>1139</v>
      </c>
      <c r="E2430" t="s">
        <v>1049</v>
      </c>
      <c r="F2430" t="s">
        <v>1493</v>
      </c>
      <c r="G2430" t="s">
        <v>315</v>
      </c>
      <c r="H2430" t="s">
        <v>868</v>
      </c>
      <c r="I2430" t="s">
        <v>1087</v>
      </c>
      <c r="J2430" t="s">
        <v>1812</v>
      </c>
      <c r="K2430" t="s">
        <v>231</v>
      </c>
      <c r="L2430">
        <v>0.86</v>
      </c>
      <c r="M2430" t="s">
        <v>11420</v>
      </c>
      <c r="N2430" t="s">
        <v>11421</v>
      </c>
      <c r="O2430" t="s">
        <v>11422</v>
      </c>
      <c r="P2430" t="s">
        <v>485</v>
      </c>
      <c r="Q2430" t="s">
        <v>10678</v>
      </c>
      <c r="R2430" t="s">
        <v>10679</v>
      </c>
      <c r="S2430" t="s">
        <v>10678</v>
      </c>
      <c r="T2430" t="s">
        <v>10679</v>
      </c>
    </row>
    <row r="2431" spans="1:20">
      <c r="A2431" s="241">
        <v>44001</v>
      </c>
      <c r="B2431" t="s">
        <v>11423</v>
      </c>
      <c r="C2431" t="s">
        <v>671</v>
      </c>
      <c r="D2431" t="s">
        <v>2478</v>
      </c>
      <c r="E2431" t="s">
        <v>2880</v>
      </c>
      <c r="F2431" t="s">
        <v>713</v>
      </c>
      <c r="G2431" t="s">
        <v>1512</v>
      </c>
      <c r="H2431" t="s">
        <v>566</v>
      </c>
      <c r="I2431" t="s">
        <v>1494</v>
      </c>
      <c r="J2431" t="s">
        <v>318</v>
      </c>
      <c r="K2431" t="s">
        <v>214</v>
      </c>
      <c r="L2431">
        <v>0.86</v>
      </c>
      <c r="M2431" t="s">
        <v>11424</v>
      </c>
      <c r="N2431" t="s">
        <v>11425</v>
      </c>
      <c r="O2431" t="s">
        <v>11426</v>
      </c>
      <c r="P2431" t="s">
        <v>485</v>
      </c>
      <c r="Q2431" t="s">
        <v>10678</v>
      </c>
      <c r="R2431" t="s">
        <v>10679</v>
      </c>
      <c r="S2431" t="s">
        <v>10678</v>
      </c>
      <c r="T2431" t="s">
        <v>10679</v>
      </c>
    </row>
    <row r="2432" spans="1:20">
      <c r="A2432" s="241">
        <v>44001</v>
      </c>
      <c r="B2432" t="s">
        <v>11427</v>
      </c>
      <c r="C2432" t="s">
        <v>671</v>
      </c>
      <c r="D2432" t="s">
        <v>615</v>
      </c>
      <c r="E2432" t="s">
        <v>1121</v>
      </c>
      <c r="F2432" t="s">
        <v>454</v>
      </c>
      <c r="G2432" t="s">
        <v>591</v>
      </c>
      <c r="H2432" t="s">
        <v>649</v>
      </c>
      <c r="I2432" t="s">
        <v>325</v>
      </c>
      <c r="J2432" t="s">
        <v>634</v>
      </c>
      <c r="K2432" t="s">
        <v>268</v>
      </c>
      <c r="L2432">
        <v>0.86</v>
      </c>
      <c r="M2432" t="s">
        <v>11428</v>
      </c>
      <c r="N2432" t="s">
        <v>11429</v>
      </c>
      <c r="O2432" t="s">
        <v>11430</v>
      </c>
      <c r="P2432" t="s">
        <v>485</v>
      </c>
      <c r="Q2432" t="s">
        <v>10678</v>
      </c>
      <c r="R2432" t="s">
        <v>10679</v>
      </c>
      <c r="S2432" t="s">
        <v>10678</v>
      </c>
      <c r="T2432" t="s">
        <v>10679</v>
      </c>
    </row>
    <row r="2433" spans="1:20">
      <c r="A2433" s="241">
        <v>44001</v>
      </c>
      <c r="B2433" t="s">
        <v>11431</v>
      </c>
      <c r="C2433" t="s">
        <v>712</v>
      </c>
      <c r="D2433" t="s">
        <v>2535</v>
      </c>
      <c r="E2433" t="s">
        <v>680</v>
      </c>
      <c r="F2433" t="s">
        <v>454</v>
      </c>
      <c r="G2433" t="s">
        <v>334</v>
      </c>
      <c r="H2433" t="s">
        <v>251</v>
      </c>
      <c r="I2433" t="s">
        <v>1097</v>
      </c>
      <c r="J2433" t="s">
        <v>634</v>
      </c>
      <c r="K2433" t="s">
        <v>579</v>
      </c>
      <c r="L2433">
        <v>0.86</v>
      </c>
      <c r="M2433" t="s">
        <v>11432</v>
      </c>
      <c r="N2433" t="s">
        <v>11433</v>
      </c>
      <c r="O2433" t="s">
        <v>11434</v>
      </c>
      <c r="P2433" t="s">
        <v>485</v>
      </c>
      <c r="Q2433" t="s">
        <v>10678</v>
      </c>
      <c r="R2433" t="s">
        <v>10679</v>
      </c>
      <c r="S2433" t="s">
        <v>10678</v>
      </c>
      <c r="T2433" t="s">
        <v>10679</v>
      </c>
    </row>
    <row r="2434" spans="1:20">
      <c r="A2434" s="241">
        <v>44001</v>
      </c>
      <c r="B2434" t="s">
        <v>11435</v>
      </c>
      <c r="C2434" t="s">
        <v>712</v>
      </c>
      <c r="D2434" t="s">
        <v>631</v>
      </c>
      <c r="E2434" t="s">
        <v>606</v>
      </c>
      <c r="F2434" t="s">
        <v>374</v>
      </c>
      <c r="G2434" t="s">
        <v>617</v>
      </c>
      <c r="H2434" t="s">
        <v>1262</v>
      </c>
      <c r="I2434" t="s">
        <v>1518</v>
      </c>
      <c r="J2434" t="s">
        <v>337</v>
      </c>
      <c r="K2434" t="s">
        <v>256</v>
      </c>
      <c r="L2434">
        <v>0.86</v>
      </c>
      <c r="M2434" t="s">
        <v>11436</v>
      </c>
      <c r="N2434" t="s">
        <v>11437</v>
      </c>
      <c r="O2434" t="s">
        <v>11438</v>
      </c>
      <c r="P2434" t="s">
        <v>485</v>
      </c>
      <c r="Q2434" t="s">
        <v>10678</v>
      </c>
      <c r="R2434" t="s">
        <v>10679</v>
      </c>
      <c r="S2434" t="s">
        <v>10678</v>
      </c>
      <c r="T2434" t="s">
        <v>10679</v>
      </c>
    </row>
    <row r="2435" spans="1:20">
      <c r="A2435" s="241">
        <v>44001</v>
      </c>
      <c r="B2435" t="s">
        <v>11439</v>
      </c>
      <c r="C2435" t="s">
        <v>645</v>
      </c>
      <c r="D2435" t="s">
        <v>2535</v>
      </c>
      <c r="E2435" t="s">
        <v>1121</v>
      </c>
      <c r="F2435" t="s">
        <v>403</v>
      </c>
      <c r="G2435" t="s">
        <v>1512</v>
      </c>
      <c r="H2435" t="s">
        <v>1291</v>
      </c>
      <c r="I2435" t="s">
        <v>1547</v>
      </c>
      <c r="J2435" t="s">
        <v>899</v>
      </c>
      <c r="K2435" t="s">
        <v>268</v>
      </c>
      <c r="L2435">
        <v>0.86</v>
      </c>
      <c r="M2435" t="s">
        <v>11440</v>
      </c>
      <c r="N2435" t="s">
        <v>11441</v>
      </c>
      <c r="O2435" t="s">
        <v>11442</v>
      </c>
      <c r="P2435" t="s">
        <v>485</v>
      </c>
      <c r="Q2435" t="s">
        <v>10678</v>
      </c>
      <c r="R2435" t="s">
        <v>10679</v>
      </c>
      <c r="S2435" t="s">
        <v>10678</v>
      </c>
      <c r="T2435" t="s">
        <v>10679</v>
      </c>
    </row>
    <row r="2436" spans="1:20">
      <c r="A2436" s="241">
        <v>44001</v>
      </c>
      <c r="B2436" t="s">
        <v>11443</v>
      </c>
      <c r="C2436" t="s">
        <v>645</v>
      </c>
      <c r="D2436" t="s">
        <v>625</v>
      </c>
      <c r="E2436" t="s">
        <v>2731</v>
      </c>
      <c r="F2436" t="s">
        <v>1561</v>
      </c>
      <c r="G2436" t="s">
        <v>384</v>
      </c>
      <c r="H2436" t="s">
        <v>926</v>
      </c>
      <c r="I2436" t="s">
        <v>386</v>
      </c>
      <c r="J2436" t="s">
        <v>1128</v>
      </c>
      <c r="K2436" t="s">
        <v>327</v>
      </c>
      <c r="L2436">
        <v>0.86</v>
      </c>
      <c r="M2436" t="s">
        <v>11444</v>
      </c>
      <c r="N2436" t="s">
        <v>11445</v>
      </c>
      <c r="O2436" t="s">
        <v>11446</v>
      </c>
      <c r="P2436" t="s">
        <v>485</v>
      </c>
      <c r="Q2436" t="s">
        <v>10678</v>
      </c>
      <c r="R2436" t="s">
        <v>10679</v>
      </c>
      <c r="S2436" t="s">
        <v>10678</v>
      </c>
      <c r="T2436" t="s">
        <v>10679</v>
      </c>
    </row>
    <row r="2437" spans="1:20">
      <c r="A2437" s="241">
        <v>44001</v>
      </c>
      <c r="B2437" t="s">
        <v>11447</v>
      </c>
      <c r="C2437" t="s">
        <v>712</v>
      </c>
      <c r="D2437" t="s">
        <v>679</v>
      </c>
      <c r="E2437" t="s">
        <v>646</v>
      </c>
      <c r="F2437" t="s">
        <v>917</v>
      </c>
      <c r="G2437" t="s">
        <v>384</v>
      </c>
      <c r="H2437" t="s">
        <v>1574</v>
      </c>
      <c r="I2437" t="s">
        <v>683</v>
      </c>
      <c r="J2437" t="s">
        <v>684</v>
      </c>
      <c r="K2437" t="s">
        <v>666</v>
      </c>
      <c r="L2437">
        <v>0.86</v>
      </c>
      <c r="M2437" t="s">
        <v>11448</v>
      </c>
      <c r="N2437" t="s">
        <v>11449</v>
      </c>
      <c r="O2437" t="s">
        <v>11450</v>
      </c>
      <c r="P2437" t="s">
        <v>485</v>
      </c>
      <c r="Q2437" t="s">
        <v>10678</v>
      </c>
      <c r="R2437" t="s">
        <v>10679</v>
      </c>
      <c r="S2437" t="s">
        <v>10678</v>
      </c>
      <c r="T2437" t="s">
        <v>10679</v>
      </c>
    </row>
    <row r="2438" spans="1:20">
      <c r="A2438" s="241">
        <v>44001</v>
      </c>
      <c r="B2438" t="s">
        <v>11451</v>
      </c>
      <c r="C2438" t="s">
        <v>1139</v>
      </c>
      <c r="D2438" t="s">
        <v>443</v>
      </c>
      <c r="E2438" t="s">
        <v>1314</v>
      </c>
      <c r="F2438" t="s">
        <v>403</v>
      </c>
      <c r="G2438" t="s">
        <v>1297</v>
      </c>
      <c r="H2438" t="s">
        <v>1109</v>
      </c>
      <c r="I2438" t="s">
        <v>1579</v>
      </c>
      <c r="J2438" t="s">
        <v>912</v>
      </c>
      <c r="K2438" t="s">
        <v>338</v>
      </c>
      <c r="L2438">
        <v>0.86</v>
      </c>
      <c r="M2438" t="s">
        <v>11452</v>
      </c>
      <c r="N2438" t="s">
        <v>11453</v>
      </c>
      <c r="O2438" t="s">
        <v>11454</v>
      </c>
      <c r="P2438" t="s">
        <v>485</v>
      </c>
      <c r="Q2438" t="s">
        <v>10678</v>
      </c>
      <c r="R2438" t="s">
        <v>10679</v>
      </c>
      <c r="S2438" t="s">
        <v>10678</v>
      </c>
      <c r="T2438" t="s">
        <v>10679</v>
      </c>
    </row>
    <row r="2439" spans="1:20">
      <c r="A2439" s="241">
        <v>44001</v>
      </c>
      <c r="B2439" t="s">
        <v>11455</v>
      </c>
      <c r="C2439" t="s">
        <v>631</v>
      </c>
      <c r="D2439" t="s">
        <v>382</v>
      </c>
      <c r="E2439" t="s">
        <v>2584</v>
      </c>
      <c r="F2439" t="s">
        <v>403</v>
      </c>
      <c r="G2439" t="s">
        <v>697</v>
      </c>
      <c r="H2439" t="s">
        <v>415</v>
      </c>
      <c r="I2439" t="s">
        <v>690</v>
      </c>
      <c r="J2439" t="s">
        <v>1298</v>
      </c>
      <c r="K2439" t="s">
        <v>268</v>
      </c>
      <c r="L2439">
        <v>0.86</v>
      </c>
      <c r="M2439" t="s">
        <v>11456</v>
      </c>
      <c r="N2439" t="s">
        <v>11457</v>
      </c>
      <c r="O2439" t="s">
        <v>11458</v>
      </c>
      <c r="P2439" t="s">
        <v>485</v>
      </c>
      <c r="Q2439" t="s">
        <v>10678</v>
      </c>
      <c r="R2439" t="s">
        <v>10679</v>
      </c>
      <c r="S2439" t="s">
        <v>10678</v>
      </c>
      <c r="T2439" t="s">
        <v>10679</v>
      </c>
    </row>
    <row r="2440" spans="1:20">
      <c r="A2440" s="241">
        <v>44001</v>
      </c>
      <c r="B2440" t="s">
        <v>11459</v>
      </c>
      <c r="C2440" t="s">
        <v>1139</v>
      </c>
      <c r="D2440" t="s">
        <v>556</v>
      </c>
      <c r="E2440" t="s">
        <v>2893</v>
      </c>
      <c r="F2440" t="s">
        <v>952</v>
      </c>
      <c r="G2440" t="s">
        <v>1610</v>
      </c>
      <c r="H2440" t="s">
        <v>713</v>
      </c>
      <c r="I2440" t="s">
        <v>1140</v>
      </c>
      <c r="J2440" t="s">
        <v>912</v>
      </c>
      <c r="K2440" t="s">
        <v>256</v>
      </c>
      <c r="L2440">
        <v>0.86</v>
      </c>
      <c r="M2440" t="s">
        <v>11460</v>
      </c>
      <c r="N2440" t="s">
        <v>11461</v>
      </c>
      <c r="O2440" t="s">
        <v>11462</v>
      </c>
      <c r="P2440" t="s">
        <v>485</v>
      </c>
      <c r="Q2440" t="s">
        <v>10678</v>
      </c>
      <c r="R2440" t="s">
        <v>10679</v>
      </c>
      <c r="S2440" t="s">
        <v>10678</v>
      </c>
      <c r="T2440" t="s">
        <v>10679</v>
      </c>
    </row>
    <row r="2441" spans="1:20">
      <c r="A2441" s="241">
        <v>44001</v>
      </c>
      <c r="B2441" t="s">
        <v>11463</v>
      </c>
      <c r="C2441" t="s">
        <v>1139</v>
      </c>
      <c r="D2441" t="s">
        <v>2549</v>
      </c>
      <c r="E2441" t="s">
        <v>2584</v>
      </c>
      <c r="F2441" t="s">
        <v>1156</v>
      </c>
      <c r="G2441" t="s">
        <v>1157</v>
      </c>
      <c r="H2441" t="s">
        <v>323</v>
      </c>
      <c r="I2441" t="s">
        <v>427</v>
      </c>
      <c r="J2441" t="s">
        <v>407</v>
      </c>
      <c r="K2441" t="s">
        <v>666</v>
      </c>
      <c r="L2441">
        <v>0.86</v>
      </c>
      <c r="M2441" t="s">
        <v>11464</v>
      </c>
      <c r="N2441" t="s">
        <v>11465</v>
      </c>
      <c r="O2441" t="s">
        <v>11466</v>
      </c>
      <c r="P2441" t="s">
        <v>485</v>
      </c>
      <c r="Q2441" t="s">
        <v>10678</v>
      </c>
      <c r="R2441" t="s">
        <v>10679</v>
      </c>
      <c r="S2441" t="s">
        <v>10678</v>
      </c>
      <c r="T2441" t="s">
        <v>10679</v>
      </c>
    </row>
    <row r="2442" spans="1:20">
      <c r="A2442" s="241">
        <v>44001</v>
      </c>
      <c r="B2442" t="s">
        <v>11467</v>
      </c>
      <c r="C2442" t="s">
        <v>1139</v>
      </c>
      <c r="D2442" t="s">
        <v>2549</v>
      </c>
      <c r="E2442" t="s">
        <v>2769</v>
      </c>
      <c r="F2442" t="s">
        <v>1584</v>
      </c>
      <c r="G2442" t="s">
        <v>2419</v>
      </c>
      <c r="H2442" t="s">
        <v>647</v>
      </c>
      <c r="I2442" t="s">
        <v>416</v>
      </c>
      <c r="J2442" t="s">
        <v>407</v>
      </c>
      <c r="K2442" t="s">
        <v>327</v>
      </c>
      <c r="L2442">
        <v>0.86</v>
      </c>
      <c r="M2442" t="s">
        <v>11468</v>
      </c>
      <c r="N2442" t="s">
        <v>11469</v>
      </c>
      <c r="O2442" t="s">
        <v>11470</v>
      </c>
      <c r="P2442" t="s">
        <v>485</v>
      </c>
      <c r="Q2442" t="s">
        <v>10678</v>
      </c>
      <c r="R2442" t="s">
        <v>10679</v>
      </c>
      <c r="S2442" t="s">
        <v>10678</v>
      </c>
      <c r="T2442" t="s">
        <v>10679</v>
      </c>
    </row>
    <row r="2443" spans="1:20">
      <c r="A2443" s="241">
        <v>44001</v>
      </c>
      <c r="B2443" t="s">
        <v>11471</v>
      </c>
      <c r="C2443" t="s">
        <v>392</v>
      </c>
      <c r="D2443" t="s">
        <v>2535</v>
      </c>
      <c r="E2443" t="s">
        <v>2932</v>
      </c>
      <c r="F2443" t="s">
        <v>1951</v>
      </c>
      <c r="G2443" t="s">
        <v>953</v>
      </c>
      <c r="H2443" t="s">
        <v>897</v>
      </c>
      <c r="I2443" t="s">
        <v>721</v>
      </c>
      <c r="J2443" t="s">
        <v>940</v>
      </c>
      <c r="K2443" t="s">
        <v>338</v>
      </c>
      <c r="L2443">
        <v>0.86</v>
      </c>
      <c r="M2443" t="s">
        <v>11472</v>
      </c>
      <c r="N2443" t="s">
        <v>11473</v>
      </c>
      <c r="O2443" t="s">
        <v>11474</v>
      </c>
      <c r="P2443" t="s">
        <v>485</v>
      </c>
      <c r="Q2443" t="s">
        <v>10678</v>
      </c>
      <c r="R2443" t="s">
        <v>10679</v>
      </c>
      <c r="S2443" t="s">
        <v>10678</v>
      </c>
      <c r="T2443" t="s">
        <v>10679</v>
      </c>
    </row>
    <row r="2444" spans="1:20">
      <c r="A2444" s="241">
        <v>44001</v>
      </c>
      <c r="B2444" t="s">
        <v>11475</v>
      </c>
      <c r="C2444" t="s">
        <v>2549</v>
      </c>
      <c r="D2444" t="s">
        <v>2549</v>
      </c>
      <c r="E2444" t="s">
        <v>2880</v>
      </c>
      <c r="F2444" t="s">
        <v>3408</v>
      </c>
      <c r="G2444" t="s">
        <v>1170</v>
      </c>
      <c r="H2444" t="s">
        <v>1127</v>
      </c>
      <c r="I2444" t="s">
        <v>1631</v>
      </c>
      <c r="J2444" t="s">
        <v>1333</v>
      </c>
      <c r="K2444" t="s">
        <v>349</v>
      </c>
      <c r="L2444">
        <v>0.86</v>
      </c>
      <c r="M2444" t="s">
        <v>11476</v>
      </c>
      <c r="N2444" t="s">
        <v>11477</v>
      </c>
      <c r="O2444" t="s">
        <v>11478</v>
      </c>
      <c r="P2444" t="s">
        <v>485</v>
      </c>
      <c r="Q2444" t="s">
        <v>10678</v>
      </c>
      <c r="R2444" t="s">
        <v>10679</v>
      </c>
      <c r="S2444" t="s">
        <v>10678</v>
      </c>
      <c r="T2444" t="s">
        <v>10679</v>
      </c>
    </row>
    <row r="2445" spans="1:20">
      <c r="A2445" s="241">
        <v>44001</v>
      </c>
      <c r="B2445" t="s">
        <v>11479</v>
      </c>
      <c r="C2445" t="s">
        <v>2626</v>
      </c>
      <c r="D2445" t="s">
        <v>3831</v>
      </c>
      <c r="E2445" t="s">
        <v>294</v>
      </c>
      <c r="F2445" t="s">
        <v>11480</v>
      </c>
      <c r="G2445" t="s">
        <v>961</v>
      </c>
      <c r="H2445" t="s">
        <v>962</v>
      </c>
      <c r="I2445" t="s">
        <v>3963</v>
      </c>
      <c r="J2445" t="s">
        <v>5790</v>
      </c>
      <c r="K2445" t="s">
        <v>742</v>
      </c>
      <c r="L2445">
        <v>0.89</v>
      </c>
      <c r="M2445" t="s">
        <v>11481</v>
      </c>
      <c r="N2445" t="s">
        <v>11482</v>
      </c>
      <c r="O2445" t="s">
        <v>11483</v>
      </c>
      <c r="P2445" t="s">
        <v>485</v>
      </c>
      <c r="Q2445" t="s">
        <v>10678</v>
      </c>
      <c r="R2445" t="s">
        <v>10679</v>
      </c>
      <c r="S2445" t="s">
        <v>10678</v>
      </c>
      <c r="T2445" t="s">
        <v>10679</v>
      </c>
    </row>
    <row r="2446" spans="1:20">
      <c r="A2446" s="241">
        <v>44001</v>
      </c>
      <c r="B2446" t="s">
        <v>11484</v>
      </c>
      <c r="C2446" t="s">
        <v>2626</v>
      </c>
      <c r="D2446" t="s">
        <v>1666</v>
      </c>
      <c r="E2446" t="s">
        <v>712</v>
      </c>
      <c r="F2446" t="s">
        <v>464</v>
      </c>
      <c r="G2446" t="s">
        <v>2432</v>
      </c>
      <c r="H2446" t="s">
        <v>1655</v>
      </c>
      <c r="I2446" t="s">
        <v>7118</v>
      </c>
      <c r="J2446" t="s">
        <v>6112</v>
      </c>
      <c r="K2446" t="s">
        <v>1650</v>
      </c>
      <c r="L2446">
        <v>0.89</v>
      </c>
      <c r="M2446" t="s">
        <v>11485</v>
      </c>
      <c r="N2446" t="s">
        <v>11486</v>
      </c>
      <c r="O2446" t="s">
        <v>11487</v>
      </c>
      <c r="P2446" t="s">
        <v>485</v>
      </c>
      <c r="Q2446" t="s">
        <v>10678</v>
      </c>
      <c r="R2446" t="s">
        <v>10679</v>
      </c>
      <c r="S2446" t="s">
        <v>10678</v>
      </c>
      <c r="T2446" t="s">
        <v>10679</v>
      </c>
    </row>
    <row r="2447" spans="1:20">
      <c r="A2447" s="241">
        <v>44001</v>
      </c>
      <c r="B2447" t="s">
        <v>11488</v>
      </c>
      <c r="C2447" t="s">
        <v>2626</v>
      </c>
      <c r="D2447" t="s">
        <v>3831</v>
      </c>
      <c r="E2447" t="s">
        <v>274</v>
      </c>
      <c r="F2447" t="s">
        <v>739</v>
      </c>
      <c r="G2447" t="s">
        <v>501</v>
      </c>
      <c r="H2447" t="s">
        <v>8222</v>
      </c>
      <c r="I2447" t="s">
        <v>983</v>
      </c>
      <c r="J2447" t="s">
        <v>984</v>
      </c>
      <c r="K2447" t="s">
        <v>3131</v>
      </c>
      <c r="L2447">
        <v>0.89</v>
      </c>
      <c r="M2447" t="s">
        <v>11489</v>
      </c>
      <c r="N2447" t="s">
        <v>11490</v>
      </c>
      <c r="O2447" t="s">
        <v>11491</v>
      </c>
      <c r="P2447" t="s">
        <v>485</v>
      </c>
      <c r="Q2447" t="s">
        <v>10678</v>
      </c>
      <c r="R2447" t="s">
        <v>10679</v>
      </c>
      <c r="S2447" t="s">
        <v>10678</v>
      </c>
      <c r="T2447" t="s">
        <v>10679</v>
      </c>
    </row>
    <row r="2448" spans="1:20">
      <c r="A2448" s="241">
        <v>44001</v>
      </c>
      <c r="B2448" t="s">
        <v>11492</v>
      </c>
      <c r="C2448" t="s">
        <v>1377</v>
      </c>
      <c r="D2448" t="s">
        <v>261</v>
      </c>
      <c r="E2448" t="s">
        <v>250</v>
      </c>
      <c r="F2448" t="s">
        <v>1968</v>
      </c>
      <c r="G2448" t="s">
        <v>1340</v>
      </c>
      <c r="H2448" t="s">
        <v>11493</v>
      </c>
      <c r="I2448" t="s">
        <v>11494</v>
      </c>
      <c r="J2448" t="s">
        <v>11495</v>
      </c>
      <c r="K2448" t="s">
        <v>3113</v>
      </c>
      <c r="L2448">
        <v>0.88</v>
      </c>
      <c r="M2448" t="s">
        <v>11496</v>
      </c>
      <c r="N2448" t="s">
        <v>11497</v>
      </c>
      <c r="O2448" t="s">
        <v>11498</v>
      </c>
      <c r="P2448" t="s">
        <v>485</v>
      </c>
      <c r="Q2448" t="s">
        <v>10678</v>
      </c>
      <c r="R2448" t="s">
        <v>10679</v>
      </c>
      <c r="S2448" t="s">
        <v>10678</v>
      </c>
      <c r="T2448" t="s">
        <v>10679</v>
      </c>
    </row>
    <row r="2449" spans="1:20">
      <c r="A2449" s="241">
        <v>44001</v>
      </c>
      <c r="B2449" t="s">
        <v>11499</v>
      </c>
      <c r="C2449" t="s">
        <v>2535</v>
      </c>
      <c r="D2449" t="s">
        <v>631</v>
      </c>
      <c r="E2449" t="s">
        <v>1049</v>
      </c>
      <c r="F2449" t="s">
        <v>805</v>
      </c>
      <c r="G2449" t="s">
        <v>1389</v>
      </c>
      <c r="H2449" t="s">
        <v>2663</v>
      </c>
      <c r="I2449" t="s">
        <v>3153</v>
      </c>
      <c r="J2449" t="s">
        <v>780</v>
      </c>
      <c r="K2449" t="s">
        <v>3162</v>
      </c>
      <c r="L2449">
        <v>0.86</v>
      </c>
      <c r="M2449" t="s">
        <v>11500</v>
      </c>
      <c r="N2449" t="s">
        <v>11501</v>
      </c>
      <c r="O2449" t="s">
        <v>11502</v>
      </c>
      <c r="P2449" t="s">
        <v>485</v>
      </c>
      <c r="Q2449" t="s">
        <v>10678</v>
      </c>
      <c r="R2449" t="s">
        <v>10679</v>
      </c>
      <c r="S2449" t="s">
        <v>10678</v>
      </c>
      <c r="T2449" t="s">
        <v>10679</v>
      </c>
    </row>
    <row r="2450" spans="1:20">
      <c r="A2450" s="241">
        <v>44001</v>
      </c>
      <c r="B2450" t="s">
        <v>11503</v>
      </c>
      <c r="C2450" t="s">
        <v>625</v>
      </c>
      <c r="D2450" t="s">
        <v>1139</v>
      </c>
      <c r="E2450" t="s">
        <v>2880</v>
      </c>
      <c r="F2450" t="s">
        <v>1453</v>
      </c>
      <c r="G2450" t="s">
        <v>786</v>
      </c>
      <c r="H2450" t="s">
        <v>1225</v>
      </c>
      <c r="I2450" t="s">
        <v>1698</v>
      </c>
      <c r="J2450" t="s">
        <v>1687</v>
      </c>
      <c r="K2450" t="s">
        <v>2277</v>
      </c>
      <c r="L2450">
        <v>0.86</v>
      </c>
      <c r="M2450" t="s">
        <v>11504</v>
      </c>
      <c r="N2450" t="s">
        <v>11505</v>
      </c>
      <c r="O2450" t="s">
        <v>11506</v>
      </c>
      <c r="P2450" t="s">
        <v>485</v>
      </c>
      <c r="Q2450" t="s">
        <v>10678</v>
      </c>
      <c r="R2450" t="s">
        <v>10679</v>
      </c>
      <c r="S2450" t="s">
        <v>10678</v>
      </c>
      <c r="T2450" t="s">
        <v>10679</v>
      </c>
    </row>
    <row r="2451" spans="1:20">
      <c r="A2451" s="241">
        <v>44001</v>
      </c>
      <c r="B2451" t="s">
        <v>11507</v>
      </c>
      <c r="C2451" t="s">
        <v>1079</v>
      </c>
      <c r="D2451" t="s">
        <v>1139</v>
      </c>
      <c r="E2451" t="s">
        <v>2893</v>
      </c>
      <c r="F2451" t="s">
        <v>265</v>
      </c>
      <c r="G2451" t="s">
        <v>2043</v>
      </c>
      <c r="H2451" t="s">
        <v>1213</v>
      </c>
      <c r="I2451" t="s">
        <v>2029</v>
      </c>
      <c r="J2451" t="s">
        <v>514</v>
      </c>
      <c r="K2451" t="s">
        <v>1406</v>
      </c>
      <c r="L2451">
        <v>0.86</v>
      </c>
      <c r="M2451" t="s">
        <v>11508</v>
      </c>
      <c r="N2451" t="s">
        <v>11509</v>
      </c>
      <c r="O2451" t="s">
        <v>11510</v>
      </c>
      <c r="P2451" t="s">
        <v>485</v>
      </c>
      <c r="Q2451" t="s">
        <v>10678</v>
      </c>
      <c r="R2451" t="s">
        <v>10679</v>
      </c>
      <c r="S2451" t="s">
        <v>10678</v>
      </c>
      <c r="T2451" t="s">
        <v>10679</v>
      </c>
    </row>
    <row r="2452" spans="1:20">
      <c r="A2452" s="241">
        <v>44001</v>
      </c>
      <c r="B2452" t="s">
        <v>11511</v>
      </c>
      <c r="C2452" t="s">
        <v>625</v>
      </c>
      <c r="D2452" t="s">
        <v>1139</v>
      </c>
      <c r="E2452" t="s">
        <v>646</v>
      </c>
      <c r="F2452" t="s">
        <v>557</v>
      </c>
      <c r="G2452" t="s">
        <v>792</v>
      </c>
      <c r="H2452" t="s">
        <v>815</v>
      </c>
      <c r="I2452" t="s">
        <v>542</v>
      </c>
      <c r="J2452" t="s">
        <v>1233</v>
      </c>
      <c r="K2452" t="s">
        <v>1406</v>
      </c>
      <c r="L2452">
        <v>0.86</v>
      </c>
      <c r="M2452" t="s">
        <v>11512</v>
      </c>
      <c r="N2452" t="s">
        <v>11513</v>
      </c>
      <c r="O2452" t="s">
        <v>11514</v>
      </c>
      <c r="P2452" t="s">
        <v>485</v>
      </c>
      <c r="Q2452" t="s">
        <v>10678</v>
      </c>
      <c r="R2452" t="s">
        <v>10679</v>
      </c>
      <c r="S2452" t="s">
        <v>10678</v>
      </c>
      <c r="T2452" t="s">
        <v>10679</v>
      </c>
    </row>
    <row r="2453" spans="1:20">
      <c r="A2453" s="241">
        <v>44001</v>
      </c>
      <c r="B2453" t="s">
        <v>11515</v>
      </c>
      <c r="C2453" t="s">
        <v>2535</v>
      </c>
      <c r="D2453" t="s">
        <v>208</v>
      </c>
      <c r="E2453" t="s">
        <v>632</v>
      </c>
      <c r="F2453" t="s">
        <v>2074</v>
      </c>
      <c r="G2453" t="s">
        <v>814</v>
      </c>
      <c r="H2453" t="s">
        <v>1726</v>
      </c>
      <c r="I2453" t="s">
        <v>212</v>
      </c>
      <c r="J2453" t="s">
        <v>543</v>
      </c>
      <c r="K2453" t="s">
        <v>1003</v>
      </c>
      <c r="L2453">
        <v>0.86</v>
      </c>
      <c r="M2453" t="s">
        <v>11516</v>
      </c>
      <c r="N2453" t="s">
        <v>11517</v>
      </c>
      <c r="O2453" t="s">
        <v>11518</v>
      </c>
      <c r="P2453" t="s">
        <v>485</v>
      </c>
      <c r="Q2453" t="s">
        <v>10678</v>
      </c>
      <c r="R2453" t="s">
        <v>10679</v>
      </c>
      <c r="S2453" t="s">
        <v>10678</v>
      </c>
      <c r="T2453" t="s">
        <v>10679</v>
      </c>
    </row>
    <row r="2454" spans="1:20">
      <c r="A2454" s="241">
        <v>44001</v>
      </c>
      <c r="B2454" t="s">
        <v>11519</v>
      </c>
      <c r="C2454" t="s">
        <v>2478</v>
      </c>
      <c r="D2454" t="s">
        <v>392</v>
      </c>
      <c r="E2454" t="s">
        <v>2893</v>
      </c>
      <c r="F2454" t="s">
        <v>868</v>
      </c>
      <c r="G2454" t="s">
        <v>1442</v>
      </c>
      <c r="H2454" t="s">
        <v>228</v>
      </c>
      <c r="I2454" t="s">
        <v>816</v>
      </c>
      <c r="J2454" t="s">
        <v>1240</v>
      </c>
      <c r="K2454" t="s">
        <v>1406</v>
      </c>
      <c r="L2454">
        <v>0.86</v>
      </c>
      <c r="M2454" t="s">
        <v>11520</v>
      </c>
      <c r="N2454" t="s">
        <v>11521</v>
      </c>
      <c r="O2454" t="s">
        <v>11522</v>
      </c>
      <c r="P2454" t="s">
        <v>485</v>
      </c>
      <c r="Q2454" t="s">
        <v>10678</v>
      </c>
      <c r="R2454" t="s">
        <v>10679</v>
      </c>
      <c r="S2454" t="s">
        <v>10678</v>
      </c>
      <c r="T2454" t="s">
        <v>10679</v>
      </c>
    </row>
    <row r="2455" spans="1:20">
      <c r="A2455" s="241">
        <v>44001</v>
      </c>
      <c r="B2455" t="s">
        <v>11523</v>
      </c>
      <c r="C2455" t="s">
        <v>1139</v>
      </c>
      <c r="D2455" t="s">
        <v>556</v>
      </c>
      <c r="E2455" t="s">
        <v>646</v>
      </c>
      <c r="F2455" t="s">
        <v>1452</v>
      </c>
      <c r="G2455" t="s">
        <v>2343</v>
      </c>
      <c r="H2455" t="s">
        <v>823</v>
      </c>
      <c r="I2455" t="s">
        <v>242</v>
      </c>
      <c r="J2455" t="s">
        <v>1039</v>
      </c>
      <c r="K2455" t="s">
        <v>1012</v>
      </c>
      <c r="L2455">
        <v>0.86</v>
      </c>
      <c r="M2455" t="s">
        <v>11524</v>
      </c>
      <c r="N2455" t="s">
        <v>11525</v>
      </c>
      <c r="O2455" t="s">
        <v>11526</v>
      </c>
      <c r="P2455" t="s">
        <v>485</v>
      </c>
      <c r="Q2455" t="s">
        <v>10678</v>
      </c>
      <c r="R2455" t="s">
        <v>10679</v>
      </c>
      <c r="S2455" t="s">
        <v>10678</v>
      </c>
      <c r="T2455" t="s">
        <v>10679</v>
      </c>
    </row>
    <row r="2456" spans="1:20">
      <c r="A2456" s="241">
        <v>44001</v>
      </c>
      <c r="B2456" t="s">
        <v>11527</v>
      </c>
      <c r="C2456" t="s">
        <v>631</v>
      </c>
      <c r="D2456" t="s">
        <v>382</v>
      </c>
      <c r="E2456" t="s">
        <v>2769</v>
      </c>
      <c r="F2456" t="s">
        <v>1050</v>
      </c>
      <c r="G2456" t="s">
        <v>296</v>
      </c>
      <c r="H2456" t="s">
        <v>539</v>
      </c>
      <c r="I2456" t="s">
        <v>2329</v>
      </c>
      <c r="J2456" t="s">
        <v>825</v>
      </c>
      <c r="K2456" t="s">
        <v>1012</v>
      </c>
      <c r="L2456">
        <v>0.86</v>
      </c>
      <c r="M2456" t="s">
        <v>11528</v>
      </c>
      <c r="N2456" t="s">
        <v>11529</v>
      </c>
      <c r="O2456" t="s">
        <v>11530</v>
      </c>
      <c r="P2456" t="s">
        <v>485</v>
      </c>
      <c r="Q2456" t="s">
        <v>10678</v>
      </c>
      <c r="R2456" t="s">
        <v>10679</v>
      </c>
      <c r="S2456" t="s">
        <v>10678</v>
      </c>
      <c r="T2456" t="s">
        <v>10679</v>
      </c>
    </row>
    <row r="2457" spans="1:20">
      <c r="A2457" s="241">
        <v>44001</v>
      </c>
      <c r="B2457" t="s">
        <v>11531</v>
      </c>
      <c r="C2457" t="s">
        <v>208</v>
      </c>
      <c r="D2457" t="s">
        <v>208</v>
      </c>
      <c r="E2457" t="s">
        <v>1102</v>
      </c>
      <c r="F2457" t="s">
        <v>1262</v>
      </c>
      <c r="G2457" t="s">
        <v>1781</v>
      </c>
      <c r="H2457" t="s">
        <v>2910</v>
      </c>
      <c r="I2457" t="s">
        <v>569</v>
      </c>
      <c r="J2457" t="s">
        <v>230</v>
      </c>
      <c r="K2457" t="s">
        <v>1012</v>
      </c>
      <c r="L2457">
        <v>0.86</v>
      </c>
      <c r="M2457" t="s">
        <v>11532</v>
      </c>
      <c r="N2457" t="s">
        <v>11533</v>
      </c>
      <c r="O2457" t="s">
        <v>11534</v>
      </c>
      <c r="P2457" t="s">
        <v>485</v>
      </c>
      <c r="Q2457" t="s">
        <v>10678</v>
      </c>
      <c r="R2457" t="s">
        <v>10679</v>
      </c>
      <c r="S2457" t="s">
        <v>10678</v>
      </c>
      <c r="T2457" t="s">
        <v>10679</v>
      </c>
    </row>
    <row r="2458" spans="1:20">
      <c r="A2458" s="241">
        <v>44001</v>
      </c>
      <c r="B2458" t="s">
        <v>11535</v>
      </c>
      <c r="C2458" t="s">
        <v>1139</v>
      </c>
      <c r="D2458" t="s">
        <v>382</v>
      </c>
      <c r="E2458" t="s">
        <v>2544</v>
      </c>
      <c r="F2458" t="s">
        <v>285</v>
      </c>
      <c r="G2458" t="s">
        <v>3284</v>
      </c>
      <c r="H2458" t="s">
        <v>226</v>
      </c>
      <c r="I2458" t="s">
        <v>288</v>
      </c>
      <c r="J2458" t="s">
        <v>1063</v>
      </c>
      <c r="K2458" t="s">
        <v>515</v>
      </c>
      <c r="L2458">
        <v>0.86</v>
      </c>
      <c r="M2458" t="s">
        <v>11536</v>
      </c>
      <c r="N2458" t="s">
        <v>11537</v>
      </c>
      <c r="O2458" t="s">
        <v>11538</v>
      </c>
      <c r="P2458" t="s">
        <v>485</v>
      </c>
      <c r="Q2458" t="s">
        <v>10678</v>
      </c>
      <c r="R2458" t="s">
        <v>10679</v>
      </c>
      <c r="S2458" t="s">
        <v>10678</v>
      </c>
      <c r="T2458" t="s">
        <v>10679</v>
      </c>
    </row>
    <row r="2459" spans="1:20">
      <c r="A2459" s="241">
        <v>44001</v>
      </c>
      <c r="B2459" t="s">
        <v>11539</v>
      </c>
      <c r="C2459" t="s">
        <v>1139</v>
      </c>
      <c r="D2459" t="s">
        <v>2535</v>
      </c>
      <c r="E2459" t="s">
        <v>3054</v>
      </c>
      <c r="F2459" t="s">
        <v>385</v>
      </c>
      <c r="G2459" t="s">
        <v>607</v>
      </c>
      <c r="H2459" t="s">
        <v>239</v>
      </c>
      <c r="I2459" t="s">
        <v>1468</v>
      </c>
      <c r="J2459" t="s">
        <v>1063</v>
      </c>
      <c r="K2459" t="s">
        <v>1032</v>
      </c>
      <c r="L2459">
        <v>0.86</v>
      </c>
      <c r="M2459" t="s">
        <v>11540</v>
      </c>
      <c r="N2459" t="s">
        <v>11541</v>
      </c>
      <c r="O2459" t="s">
        <v>11542</v>
      </c>
      <c r="P2459" t="s">
        <v>485</v>
      </c>
      <c r="Q2459" t="s">
        <v>10678</v>
      </c>
      <c r="R2459" t="s">
        <v>10679</v>
      </c>
      <c r="S2459" t="s">
        <v>10678</v>
      </c>
      <c r="T2459" t="s">
        <v>10679</v>
      </c>
    </row>
    <row r="2460" spans="1:20">
      <c r="A2460" s="241">
        <v>44001</v>
      </c>
      <c r="B2460" t="s">
        <v>11543</v>
      </c>
      <c r="C2460" t="s">
        <v>679</v>
      </c>
      <c r="D2460" t="s">
        <v>2478</v>
      </c>
      <c r="E2460" t="s">
        <v>1102</v>
      </c>
      <c r="F2460" t="s">
        <v>848</v>
      </c>
      <c r="G2460" t="s">
        <v>591</v>
      </c>
      <c r="H2460" t="s">
        <v>608</v>
      </c>
      <c r="I2460" t="s">
        <v>849</v>
      </c>
      <c r="J2460" t="s">
        <v>289</v>
      </c>
      <c r="K2460" t="s">
        <v>214</v>
      </c>
      <c r="L2460">
        <v>0.86</v>
      </c>
      <c r="M2460" t="s">
        <v>11544</v>
      </c>
      <c r="N2460" t="s">
        <v>11545</v>
      </c>
      <c r="O2460" t="s">
        <v>11546</v>
      </c>
      <c r="P2460" t="s">
        <v>485</v>
      </c>
      <c r="Q2460" t="s">
        <v>10678</v>
      </c>
      <c r="R2460" t="s">
        <v>10679</v>
      </c>
      <c r="S2460" t="s">
        <v>10678</v>
      </c>
      <c r="T2460" t="s">
        <v>10679</v>
      </c>
    </row>
    <row r="2461" spans="1:20">
      <c r="A2461" s="241">
        <v>44001</v>
      </c>
      <c r="B2461" t="s">
        <v>11547</v>
      </c>
      <c r="C2461" t="s">
        <v>671</v>
      </c>
      <c r="D2461" t="s">
        <v>208</v>
      </c>
      <c r="E2461" t="s">
        <v>2544</v>
      </c>
      <c r="F2461" t="s">
        <v>926</v>
      </c>
      <c r="G2461" t="s">
        <v>334</v>
      </c>
      <c r="H2461" t="s">
        <v>335</v>
      </c>
      <c r="I2461" t="s">
        <v>1087</v>
      </c>
      <c r="J2461" t="s">
        <v>1812</v>
      </c>
      <c r="K2461" t="s">
        <v>231</v>
      </c>
      <c r="L2461">
        <v>0.86</v>
      </c>
      <c r="M2461" t="s">
        <v>11548</v>
      </c>
      <c r="N2461" t="s">
        <v>11549</v>
      </c>
      <c r="O2461" t="s">
        <v>11550</v>
      </c>
      <c r="P2461" t="s">
        <v>485</v>
      </c>
      <c r="Q2461" t="s">
        <v>10678</v>
      </c>
      <c r="R2461" t="s">
        <v>10679</v>
      </c>
      <c r="S2461" t="s">
        <v>10678</v>
      </c>
      <c r="T2461" t="s">
        <v>10679</v>
      </c>
    </row>
    <row r="2462" spans="1:20">
      <c r="A2462" s="241">
        <v>44001</v>
      </c>
      <c r="B2462" t="s">
        <v>11551</v>
      </c>
      <c r="C2462" t="s">
        <v>671</v>
      </c>
      <c r="D2462" t="s">
        <v>2535</v>
      </c>
      <c r="E2462" t="s">
        <v>1102</v>
      </c>
      <c r="F2462" t="s">
        <v>1147</v>
      </c>
      <c r="G2462" t="s">
        <v>1841</v>
      </c>
      <c r="H2462" t="s">
        <v>813</v>
      </c>
      <c r="I2462" t="s">
        <v>1087</v>
      </c>
      <c r="J2462" t="s">
        <v>1484</v>
      </c>
      <c r="K2462" t="s">
        <v>571</v>
      </c>
      <c r="L2462">
        <v>0.86</v>
      </c>
      <c r="M2462" t="s">
        <v>11552</v>
      </c>
      <c r="N2462" t="s">
        <v>11553</v>
      </c>
      <c r="O2462" t="s">
        <v>11554</v>
      </c>
      <c r="P2462" t="s">
        <v>485</v>
      </c>
      <c r="Q2462" t="s">
        <v>10678</v>
      </c>
      <c r="R2462" t="s">
        <v>10679</v>
      </c>
      <c r="S2462" t="s">
        <v>10678</v>
      </c>
      <c r="T2462" t="s">
        <v>10679</v>
      </c>
    </row>
    <row r="2463" spans="1:20">
      <c r="A2463" s="241">
        <v>44001</v>
      </c>
      <c r="B2463" t="s">
        <v>11555</v>
      </c>
      <c r="C2463" t="s">
        <v>1139</v>
      </c>
      <c r="D2463" t="s">
        <v>2549</v>
      </c>
      <c r="E2463" t="s">
        <v>2769</v>
      </c>
      <c r="F2463" t="s">
        <v>647</v>
      </c>
      <c r="G2463" t="s">
        <v>1517</v>
      </c>
      <c r="H2463" t="s">
        <v>251</v>
      </c>
      <c r="I2463" t="s">
        <v>325</v>
      </c>
      <c r="J2463" t="s">
        <v>1827</v>
      </c>
      <c r="K2463" t="s">
        <v>244</v>
      </c>
      <c r="L2463">
        <v>0.86</v>
      </c>
      <c r="M2463" t="s">
        <v>11556</v>
      </c>
      <c r="N2463" t="s">
        <v>11557</v>
      </c>
      <c r="O2463" t="s">
        <v>11558</v>
      </c>
      <c r="P2463" t="s">
        <v>485</v>
      </c>
      <c r="Q2463" t="s">
        <v>10678</v>
      </c>
      <c r="R2463" t="s">
        <v>10679</v>
      </c>
      <c r="S2463" t="s">
        <v>10678</v>
      </c>
      <c r="T2463" t="s">
        <v>10679</v>
      </c>
    </row>
    <row r="2464" spans="1:20">
      <c r="A2464" s="241">
        <v>44001</v>
      </c>
      <c r="B2464" t="s">
        <v>11559</v>
      </c>
      <c r="C2464" t="s">
        <v>1139</v>
      </c>
      <c r="D2464" t="s">
        <v>208</v>
      </c>
      <c r="E2464" t="s">
        <v>1102</v>
      </c>
      <c r="F2464" t="s">
        <v>639</v>
      </c>
      <c r="G2464" t="s">
        <v>1110</v>
      </c>
      <c r="H2464" t="s">
        <v>1050</v>
      </c>
      <c r="I2464" t="s">
        <v>1097</v>
      </c>
      <c r="J2464" t="s">
        <v>1495</v>
      </c>
      <c r="K2464" t="s">
        <v>244</v>
      </c>
      <c r="L2464">
        <v>0.86</v>
      </c>
      <c r="M2464" t="s">
        <v>11560</v>
      </c>
      <c r="N2464" t="s">
        <v>11561</v>
      </c>
      <c r="O2464" t="s">
        <v>11562</v>
      </c>
      <c r="P2464" t="s">
        <v>485</v>
      </c>
      <c r="Q2464" t="s">
        <v>10678</v>
      </c>
      <c r="R2464" t="s">
        <v>10679</v>
      </c>
      <c r="S2464" t="s">
        <v>10678</v>
      </c>
      <c r="T2464" t="s">
        <v>10679</v>
      </c>
    </row>
    <row r="2465" spans="1:20">
      <c r="A2465" s="241">
        <v>44001</v>
      </c>
      <c r="B2465" t="s">
        <v>11563</v>
      </c>
      <c r="C2465" t="s">
        <v>2535</v>
      </c>
      <c r="D2465" t="s">
        <v>2535</v>
      </c>
      <c r="E2465" t="s">
        <v>2584</v>
      </c>
      <c r="F2465" t="s">
        <v>454</v>
      </c>
      <c r="G2465" t="s">
        <v>898</v>
      </c>
      <c r="H2465" t="s">
        <v>385</v>
      </c>
      <c r="I2465" t="s">
        <v>1859</v>
      </c>
      <c r="J2465" t="s">
        <v>2372</v>
      </c>
      <c r="K2465" t="s">
        <v>299</v>
      </c>
      <c r="L2465">
        <v>0.86</v>
      </c>
      <c r="M2465" t="s">
        <v>11564</v>
      </c>
      <c r="N2465" t="s">
        <v>11565</v>
      </c>
      <c r="O2465" t="s">
        <v>11566</v>
      </c>
      <c r="P2465" t="s">
        <v>485</v>
      </c>
      <c r="Q2465" t="s">
        <v>10678</v>
      </c>
      <c r="R2465" t="s">
        <v>10679</v>
      </c>
      <c r="S2465" t="s">
        <v>10678</v>
      </c>
      <c r="T2465" t="s">
        <v>10679</v>
      </c>
    </row>
    <row r="2466" spans="1:20">
      <c r="A2466" s="241">
        <v>44001</v>
      </c>
      <c r="B2466" t="s">
        <v>11567</v>
      </c>
      <c r="C2466" t="s">
        <v>392</v>
      </c>
      <c r="D2466" t="s">
        <v>443</v>
      </c>
      <c r="E2466" t="s">
        <v>2880</v>
      </c>
      <c r="F2466" t="s">
        <v>1561</v>
      </c>
      <c r="G2466" t="s">
        <v>673</v>
      </c>
      <c r="H2466" t="s">
        <v>590</v>
      </c>
      <c r="I2466" t="s">
        <v>367</v>
      </c>
      <c r="J2466" t="s">
        <v>1868</v>
      </c>
      <c r="K2466" t="s">
        <v>244</v>
      </c>
      <c r="L2466">
        <v>0.86</v>
      </c>
      <c r="M2466" t="s">
        <v>11568</v>
      </c>
      <c r="N2466" t="s">
        <v>11569</v>
      </c>
      <c r="O2466" t="s">
        <v>11570</v>
      </c>
      <c r="P2466" t="s">
        <v>485</v>
      </c>
      <c r="Q2466" t="s">
        <v>10678</v>
      </c>
      <c r="R2466" t="s">
        <v>10679</v>
      </c>
      <c r="S2466" t="s">
        <v>10678</v>
      </c>
      <c r="T2466" t="s">
        <v>10679</v>
      </c>
    </row>
    <row r="2467" spans="1:20">
      <c r="A2467" s="241">
        <v>44001</v>
      </c>
      <c r="B2467" t="s">
        <v>11571</v>
      </c>
      <c r="C2467" t="s">
        <v>392</v>
      </c>
      <c r="D2467" t="s">
        <v>556</v>
      </c>
      <c r="E2467" t="s">
        <v>2584</v>
      </c>
      <c r="F2467" t="s">
        <v>689</v>
      </c>
      <c r="G2467" t="s">
        <v>681</v>
      </c>
      <c r="H2467" t="s">
        <v>295</v>
      </c>
      <c r="I2467" t="s">
        <v>683</v>
      </c>
      <c r="J2467" t="s">
        <v>1128</v>
      </c>
      <c r="K2467" t="s">
        <v>268</v>
      </c>
      <c r="L2467">
        <v>0.86</v>
      </c>
      <c r="M2467" t="s">
        <v>11572</v>
      </c>
      <c r="N2467" t="s">
        <v>11573</v>
      </c>
      <c r="O2467" t="s">
        <v>11574</v>
      </c>
      <c r="P2467" t="s">
        <v>485</v>
      </c>
      <c r="Q2467" t="s">
        <v>10678</v>
      </c>
      <c r="R2467" t="s">
        <v>10679</v>
      </c>
      <c r="S2467" t="s">
        <v>10678</v>
      </c>
      <c r="T2467" t="s">
        <v>10679</v>
      </c>
    </row>
    <row r="2468" spans="1:20">
      <c r="A2468" s="241">
        <v>44001</v>
      </c>
      <c r="B2468" t="s">
        <v>11575</v>
      </c>
      <c r="C2468" t="s">
        <v>2549</v>
      </c>
      <c r="D2468" t="s">
        <v>392</v>
      </c>
      <c r="E2468" t="s">
        <v>2769</v>
      </c>
      <c r="F2468" t="s">
        <v>689</v>
      </c>
      <c r="G2468" t="s">
        <v>1610</v>
      </c>
      <c r="H2468" t="s">
        <v>305</v>
      </c>
      <c r="I2468" t="s">
        <v>911</v>
      </c>
      <c r="J2468" t="s">
        <v>684</v>
      </c>
      <c r="K2468" t="s">
        <v>280</v>
      </c>
      <c r="L2468">
        <v>0.86</v>
      </c>
      <c r="M2468" t="s">
        <v>11576</v>
      </c>
      <c r="N2468" t="s">
        <v>11577</v>
      </c>
      <c r="O2468" t="s">
        <v>11578</v>
      </c>
      <c r="P2468" t="s">
        <v>485</v>
      </c>
      <c r="Q2468" t="s">
        <v>10678</v>
      </c>
      <c r="R2468" t="s">
        <v>10679</v>
      </c>
      <c r="S2468" t="s">
        <v>10678</v>
      </c>
      <c r="T2468" t="s">
        <v>10679</v>
      </c>
    </row>
    <row r="2469" spans="1:20">
      <c r="A2469" s="241">
        <v>44001</v>
      </c>
      <c r="B2469" t="s">
        <v>11579</v>
      </c>
      <c r="C2469" t="s">
        <v>1139</v>
      </c>
      <c r="D2469" t="s">
        <v>443</v>
      </c>
      <c r="E2469" t="s">
        <v>2731</v>
      </c>
      <c r="F2469" t="s">
        <v>1584</v>
      </c>
      <c r="G2469" t="s">
        <v>938</v>
      </c>
      <c r="H2469" t="s">
        <v>1511</v>
      </c>
      <c r="I2469" t="s">
        <v>406</v>
      </c>
      <c r="J2469" t="s">
        <v>397</v>
      </c>
      <c r="K2469" t="s">
        <v>268</v>
      </c>
      <c r="L2469">
        <v>0.86</v>
      </c>
      <c r="M2469" t="s">
        <v>11580</v>
      </c>
      <c r="N2469" t="s">
        <v>11581</v>
      </c>
      <c r="O2469" t="s">
        <v>11582</v>
      </c>
      <c r="P2469" t="s">
        <v>485</v>
      </c>
      <c r="Q2469" t="s">
        <v>10678</v>
      </c>
      <c r="R2469" t="s">
        <v>10679</v>
      </c>
      <c r="S2469" t="s">
        <v>10678</v>
      </c>
      <c r="T2469" t="s">
        <v>10679</v>
      </c>
    </row>
    <row r="2470" spans="1:20">
      <c r="A2470" s="241">
        <v>44001</v>
      </c>
      <c r="B2470" t="s">
        <v>11583</v>
      </c>
      <c r="C2470" t="s">
        <v>556</v>
      </c>
      <c r="D2470" t="s">
        <v>1139</v>
      </c>
      <c r="E2470" t="s">
        <v>2731</v>
      </c>
      <c r="F2470" t="s">
        <v>952</v>
      </c>
      <c r="G2470" t="s">
        <v>938</v>
      </c>
      <c r="H2470" t="s">
        <v>415</v>
      </c>
      <c r="I2470" t="s">
        <v>932</v>
      </c>
      <c r="J2470" t="s">
        <v>397</v>
      </c>
      <c r="K2470" t="s">
        <v>256</v>
      </c>
      <c r="L2470">
        <v>0.86</v>
      </c>
      <c r="M2470" t="s">
        <v>11584</v>
      </c>
      <c r="N2470" t="s">
        <v>11585</v>
      </c>
      <c r="O2470" t="s">
        <v>11586</v>
      </c>
      <c r="P2470" t="s">
        <v>485</v>
      </c>
      <c r="Q2470" t="s">
        <v>10678</v>
      </c>
      <c r="R2470" t="s">
        <v>10679</v>
      </c>
      <c r="S2470" t="s">
        <v>10678</v>
      </c>
      <c r="T2470" t="s">
        <v>10679</v>
      </c>
    </row>
    <row r="2471" spans="1:20">
      <c r="A2471" s="241">
        <v>44001</v>
      </c>
      <c r="B2471" t="s">
        <v>11587</v>
      </c>
      <c r="C2471" t="s">
        <v>343</v>
      </c>
      <c r="D2471" t="s">
        <v>712</v>
      </c>
      <c r="E2471" t="s">
        <v>2731</v>
      </c>
      <c r="F2471" t="s">
        <v>1156</v>
      </c>
      <c r="G2471" t="s">
        <v>953</v>
      </c>
      <c r="H2471" t="s">
        <v>1493</v>
      </c>
      <c r="I2471" t="s">
        <v>427</v>
      </c>
      <c r="J2471" t="s">
        <v>1304</v>
      </c>
      <c r="K2471" t="s">
        <v>359</v>
      </c>
      <c r="L2471">
        <v>0.86</v>
      </c>
      <c r="M2471" t="s">
        <v>11588</v>
      </c>
      <c r="N2471" t="s">
        <v>11589</v>
      </c>
      <c r="O2471" t="s">
        <v>11590</v>
      </c>
      <c r="P2471" t="s">
        <v>485</v>
      </c>
      <c r="Q2471" t="s">
        <v>10678</v>
      </c>
      <c r="R2471" t="s">
        <v>10679</v>
      </c>
      <c r="S2471" t="s">
        <v>10678</v>
      </c>
      <c r="T2471" t="s">
        <v>10679</v>
      </c>
    </row>
    <row r="2472" spans="1:20">
      <c r="A2472" s="241">
        <v>44001</v>
      </c>
      <c r="B2472" t="s">
        <v>11591</v>
      </c>
      <c r="C2472" t="s">
        <v>1079</v>
      </c>
      <c r="D2472" t="s">
        <v>2549</v>
      </c>
      <c r="E2472" t="s">
        <v>2932</v>
      </c>
      <c r="F2472" t="s">
        <v>718</v>
      </c>
      <c r="G2472" t="s">
        <v>2419</v>
      </c>
      <c r="H2472" t="s">
        <v>647</v>
      </c>
      <c r="I2472" t="s">
        <v>721</v>
      </c>
      <c r="J2472" t="s">
        <v>1309</v>
      </c>
      <c r="K2472" t="s">
        <v>299</v>
      </c>
      <c r="L2472">
        <v>0.86</v>
      </c>
      <c r="M2472" t="s">
        <v>11592</v>
      </c>
      <c r="N2472" t="s">
        <v>11593</v>
      </c>
      <c r="O2472" t="s">
        <v>11594</v>
      </c>
      <c r="P2472" t="s">
        <v>485</v>
      </c>
      <c r="Q2472" t="s">
        <v>10678</v>
      </c>
      <c r="R2472" t="s">
        <v>10679</v>
      </c>
      <c r="S2472" t="s">
        <v>10678</v>
      </c>
      <c r="T2472" t="s">
        <v>10679</v>
      </c>
    </row>
    <row r="2473" spans="1:20">
      <c r="A2473" s="241">
        <v>44001</v>
      </c>
      <c r="B2473" t="s">
        <v>11595</v>
      </c>
      <c r="C2473" t="s">
        <v>382</v>
      </c>
      <c r="D2473" t="s">
        <v>274</v>
      </c>
      <c r="E2473" t="s">
        <v>225</v>
      </c>
      <c r="F2473" t="s">
        <v>1951</v>
      </c>
      <c r="G2473" t="s">
        <v>3072</v>
      </c>
      <c r="H2473" t="s">
        <v>961</v>
      </c>
      <c r="I2473" t="s">
        <v>11596</v>
      </c>
      <c r="J2473" t="s">
        <v>11597</v>
      </c>
      <c r="K2473" t="s">
        <v>10914</v>
      </c>
      <c r="L2473">
        <v>0.87</v>
      </c>
      <c r="M2473" t="s">
        <v>11598</v>
      </c>
      <c r="N2473" t="s">
        <v>11599</v>
      </c>
      <c r="O2473" t="s">
        <v>11600</v>
      </c>
      <c r="P2473" t="s">
        <v>485</v>
      </c>
      <c r="Q2473" t="s">
        <v>10678</v>
      </c>
      <c r="R2473" t="s">
        <v>10679</v>
      </c>
      <c r="S2473" t="s">
        <v>10678</v>
      </c>
      <c r="T2473" t="s">
        <v>10679</v>
      </c>
    </row>
    <row r="2474" spans="1:20">
      <c r="A2474" s="241">
        <v>44001</v>
      </c>
      <c r="B2474" t="s">
        <v>11601</v>
      </c>
      <c r="C2474" t="s">
        <v>3679</v>
      </c>
      <c r="D2474" t="s">
        <v>2821</v>
      </c>
      <c r="E2474" t="s">
        <v>423</v>
      </c>
      <c r="F2474" t="s">
        <v>3118</v>
      </c>
      <c r="G2474" t="s">
        <v>2813</v>
      </c>
      <c r="H2474" t="s">
        <v>466</v>
      </c>
      <c r="I2474" t="s">
        <v>11602</v>
      </c>
      <c r="J2474" t="s">
        <v>6112</v>
      </c>
      <c r="K2474" t="s">
        <v>10919</v>
      </c>
      <c r="L2474">
        <v>0.89</v>
      </c>
      <c r="M2474" t="s">
        <v>11603</v>
      </c>
      <c r="N2474" t="s">
        <v>11604</v>
      </c>
      <c r="O2474" t="s">
        <v>11605</v>
      </c>
      <c r="P2474" t="s">
        <v>485</v>
      </c>
      <c r="Q2474" t="s">
        <v>10678</v>
      </c>
      <c r="R2474" t="s">
        <v>10679</v>
      </c>
      <c r="S2474" t="s">
        <v>10678</v>
      </c>
      <c r="T2474" t="s">
        <v>10679</v>
      </c>
    </row>
    <row r="2475" spans="1:20">
      <c r="A2475" s="241">
        <v>44001</v>
      </c>
      <c r="B2475" t="s">
        <v>11606</v>
      </c>
      <c r="C2475" t="s">
        <v>1665</v>
      </c>
      <c r="D2475" t="s">
        <v>1666</v>
      </c>
      <c r="E2475" t="s">
        <v>294</v>
      </c>
      <c r="F2475" t="s">
        <v>1358</v>
      </c>
      <c r="G2475" t="s">
        <v>3128</v>
      </c>
      <c r="H2475" t="s">
        <v>1649</v>
      </c>
      <c r="I2475" t="s">
        <v>10356</v>
      </c>
      <c r="J2475" t="s">
        <v>7275</v>
      </c>
      <c r="K2475" t="s">
        <v>4358</v>
      </c>
      <c r="L2475">
        <v>0.89</v>
      </c>
      <c r="M2475" t="s">
        <v>11607</v>
      </c>
      <c r="N2475" t="s">
        <v>11608</v>
      </c>
      <c r="O2475" t="s">
        <v>11609</v>
      </c>
      <c r="P2475" t="s">
        <v>485</v>
      </c>
      <c r="Q2475" t="s">
        <v>10678</v>
      </c>
      <c r="R2475" t="s">
        <v>10679</v>
      </c>
      <c r="S2475" t="s">
        <v>10678</v>
      </c>
      <c r="T2475" t="s">
        <v>10679</v>
      </c>
    </row>
    <row r="2476" spans="1:20">
      <c r="A2476" s="241">
        <v>44001</v>
      </c>
      <c r="B2476" t="s">
        <v>11610</v>
      </c>
      <c r="C2476" t="s">
        <v>2636</v>
      </c>
      <c r="D2476" t="s">
        <v>3831</v>
      </c>
      <c r="E2476" t="s">
        <v>2478</v>
      </c>
      <c r="F2476" t="s">
        <v>2239</v>
      </c>
      <c r="G2476" t="s">
        <v>6828</v>
      </c>
      <c r="H2476" t="s">
        <v>1978</v>
      </c>
      <c r="I2476" t="s">
        <v>1658</v>
      </c>
      <c r="J2476" t="s">
        <v>10929</v>
      </c>
      <c r="K2476" t="s">
        <v>3834</v>
      </c>
      <c r="L2476">
        <v>0.89</v>
      </c>
      <c r="M2476" t="s">
        <v>11611</v>
      </c>
      <c r="N2476" t="s">
        <v>11612</v>
      </c>
      <c r="O2476" t="s">
        <v>11613</v>
      </c>
      <c r="P2476" t="s">
        <v>485</v>
      </c>
      <c r="Q2476" t="s">
        <v>10678</v>
      </c>
      <c r="R2476" t="s">
        <v>10679</v>
      </c>
      <c r="S2476" t="s">
        <v>10678</v>
      </c>
      <c r="T2476" t="s">
        <v>10679</v>
      </c>
    </row>
    <row r="2477" spans="1:20">
      <c r="A2477" s="241">
        <v>44001</v>
      </c>
      <c r="B2477" t="s">
        <v>11614</v>
      </c>
      <c r="C2477" t="s">
        <v>1196</v>
      </c>
      <c r="D2477" t="s">
        <v>625</v>
      </c>
      <c r="E2477" t="s">
        <v>225</v>
      </c>
      <c r="F2477" t="s">
        <v>1640</v>
      </c>
      <c r="G2477" t="s">
        <v>11615</v>
      </c>
      <c r="H2477" t="s">
        <v>2266</v>
      </c>
      <c r="I2477" t="s">
        <v>11616</v>
      </c>
      <c r="J2477" t="s">
        <v>11617</v>
      </c>
      <c r="K2477" t="s">
        <v>11618</v>
      </c>
      <c r="L2477">
        <v>0.88</v>
      </c>
      <c r="M2477" t="s">
        <v>11619</v>
      </c>
      <c r="N2477" t="s">
        <v>11620</v>
      </c>
      <c r="O2477" t="s">
        <v>11621</v>
      </c>
      <c r="P2477" t="s">
        <v>485</v>
      </c>
      <c r="Q2477" t="s">
        <v>10678</v>
      </c>
      <c r="R2477" t="s">
        <v>10679</v>
      </c>
      <c r="S2477" t="s">
        <v>10678</v>
      </c>
      <c r="T2477" t="s">
        <v>10679</v>
      </c>
    </row>
    <row r="2478" spans="1:20">
      <c r="A2478" s="241">
        <v>44001</v>
      </c>
      <c r="B2478" t="s">
        <v>11622</v>
      </c>
      <c r="C2478" t="s">
        <v>392</v>
      </c>
      <c r="D2478" t="s">
        <v>208</v>
      </c>
      <c r="E2478" t="s">
        <v>2893</v>
      </c>
      <c r="F2478" t="s">
        <v>307</v>
      </c>
      <c r="G2478" t="s">
        <v>1398</v>
      </c>
      <c r="H2478" t="s">
        <v>1018</v>
      </c>
      <c r="I2478" t="s">
        <v>1686</v>
      </c>
      <c r="J2478" t="s">
        <v>2018</v>
      </c>
      <c r="K2478" t="s">
        <v>2668</v>
      </c>
      <c r="L2478">
        <v>0.86</v>
      </c>
      <c r="M2478" t="s">
        <v>11623</v>
      </c>
      <c r="N2478" t="s">
        <v>11624</v>
      </c>
      <c r="O2478" t="s">
        <v>11625</v>
      </c>
      <c r="P2478" t="s">
        <v>485</v>
      </c>
      <c r="Q2478" t="s">
        <v>10678</v>
      </c>
      <c r="R2478" t="s">
        <v>10679</v>
      </c>
      <c r="S2478" t="s">
        <v>10678</v>
      </c>
      <c r="T2478" t="s">
        <v>10679</v>
      </c>
    </row>
    <row r="2479" spans="1:20">
      <c r="A2479" s="241">
        <v>44001</v>
      </c>
      <c r="B2479" t="s">
        <v>11626</v>
      </c>
      <c r="C2479" t="s">
        <v>631</v>
      </c>
      <c r="D2479" t="s">
        <v>402</v>
      </c>
      <c r="E2479" t="s">
        <v>2731</v>
      </c>
      <c r="F2479" t="s">
        <v>1274</v>
      </c>
      <c r="G2479" t="s">
        <v>2291</v>
      </c>
      <c r="H2479" t="s">
        <v>799</v>
      </c>
      <c r="I2479" t="s">
        <v>1226</v>
      </c>
      <c r="J2479" t="s">
        <v>523</v>
      </c>
      <c r="K2479" t="s">
        <v>781</v>
      </c>
      <c r="L2479">
        <v>0.86</v>
      </c>
      <c r="M2479" t="s">
        <v>11627</v>
      </c>
      <c r="N2479" t="s">
        <v>11628</v>
      </c>
      <c r="O2479" t="s">
        <v>11629</v>
      </c>
      <c r="P2479" t="s">
        <v>485</v>
      </c>
      <c r="Q2479" t="s">
        <v>10678</v>
      </c>
      <c r="R2479" t="s">
        <v>10679</v>
      </c>
      <c r="S2479" t="s">
        <v>10678</v>
      </c>
      <c r="T2479" t="s">
        <v>10679</v>
      </c>
    </row>
    <row r="2480" spans="1:20">
      <c r="A2480" s="241">
        <v>44001</v>
      </c>
      <c r="B2480" t="s">
        <v>11630</v>
      </c>
      <c r="C2480" t="s">
        <v>2478</v>
      </c>
      <c r="D2480" t="s">
        <v>402</v>
      </c>
      <c r="E2480" t="s">
        <v>2731</v>
      </c>
      <c r="F2480" t="s">
        <v>600</v>
      </c>
      <c r="G2480" t="s">
        <v>520</v>
      </c>
      <c r="H2480" t="s">
        <v>1213</v>
      </c>
      <c r="I2480" t="s">
        <v>2024</v>
      </c>
      <c r="J2480" t="s">
        <v>1405</v>
      </c>
      <c r="K2480" t="s">
        <v>2277</v>
      </c>
      <c r="L2480">
        <v>0.86</v>
      </c>
      <c r="M2480" t="s">
        <v>11631</v>
      </c>
      <c r="N2480" t="s">
        <v>11632</v>
      </c>
      <c r="O2480" t="s">
        <v>11633</v>
      </c>
      <c r="P2480" t="s">
        <v>485</v>
      </c>
      <c r="Q2480" t="s">
        <v>10678</v>
      </c>
      <c r="R2480" t="s">
        <v>10679</v>
      </c>
      <c r="S2480" t="s">
        <v>10678</v>
      </c>
      <c r="T2480" t="s">
        <v>10679</v>
      </c>
    </row>
    <row r="2481" spans="1:20">
      <c r="A2481" s="241">
        <v>44001</v>
      </c>
      <c r="B2481" t="s">
        <v>11634</v>
      </c>
      <c r="C2481" t="s">
        <v>2478</v>
      </c>
      <c r="D2481" t="s">
        <v>208</v>
      </c>
      <c r="E2481" t="s">
        <v>2584</v>
      </c>
      <c r="F2481" t="s">
        <v>346</v>
      </c>
      <c r="G2481" t="s">
        <v>1239</v>
      </c>
      <c r="H2481" t="s">
        <v>2324</v>
      </c>
      <c r="I2481" t="s">
        <v>550</v>
      </c>
      <c r="J2481" t="s">
        <v>543</v>
      </c>
      <c r="K2481" t="s">
        <v>524</v>
      </c>
      <c r="L2481">
        <v>0.86</v>
      </c>
      <c r="M2481" t="s">
        <v>11635</v>
      </c>
      <c r="N2481" t="s">
        <v>11636</v>
      </c>
      <c r="O2481" t="s">
        <v>11637</v>
      </c>
      <c r="P2481" t="s">
        <v>485</v>
      </c>
      <c r="Q2481" t="s">
        <v>10678</v>
      </c>
      <c r="R2481" t="s">
        <v>10679</v>
      </c>
      <c r="S2481" t="s">
        <v>10678</v>
      </c>
      <c r="T2481" t="s">
        <v>10679</v>
      </c>
    </row>
    <row r="2482" spans="1:20">
      <c r="A2482" s="241">
        <v>44001</v>
      </c>
      <c r="B2482" t="s">
        <v>11638</v>
      </c>
      <c r="C2482" t="s">
        <v>2535</v>
      </c>
      <c r="D2482" t="s">
        <v>2549</v>
      </c>
      <c r="E2482" t="s">
        <v>2769</v>
      </c>
      <c r="F2482" t="s">
        <v>1255</v>
      </c>
      <c r="G2482" t="s">
        <v>804</v>
      </c>
      <c r="H2482" t="s">
        <v>241</v>
      </c>
      <c r="I2482" t="s">
        <v>212</v>
      </c>
      <c r="J2482" t="s">
        <v>543</v>
      </c>
      <c r="K2482" t="s">
        <v>1003</v>
      </c>
      <c r="L2482">
        <v>0.86</v>
      </c>
      <c r="M2482" t="s">
        <v>11639</v>
      </c>
      <c r="N2482" t="s">
        <v>11640</v>
      </c>
      <c r="O2482" t="s">
        <v>11641</v>
      </c>
      <c r="P2482" t="s">
        <v>485</v>
      </c>
      <c r="Q2482" t="s">
        <v>10678</v>
      </c>
      <c r="R2482" t="s">
        <v>10679</v>
      </c>
      <c r="S2482" t="s">
        <v>10678</v>
      </c>
      <c r="T2482" t="s">
        <v>10679</v>
      </c>
    </row>
    <row r="2483" spans="1:20">
      <c r="A2483" s="241">
        <v>44001</v>
      </c>
      <c r="B2483" t="s">
        <v>11642</v>
      </c>
      <c r="C2483" t="s">
        <v>1079</v>
      </c>
      <c r="D2483" t="s">
        <v>392</v>
      </c>
      <c r="E2483" t="s">
        <v>1314</v>
      </c>
      <c r="F2483" t="s">
        <v>576</v>
      </c>
      <c r="G2483" t="s">
        <v>252</v>
      </c>
      <c r="H2483" t="s">
        <v>3554</v>
      </c>
      <c r="I2483" t="s">
        <v>242</v>
      </c>
      <c r="J2483" t="s">
        <v>1245</v>
      </c>
      <c r="K2483" t="s">
        <v>231</v>
      </c>
      <c r="L2483">
        <v>0.86</v>
      </c>
      <c r="M2483" t="s">
        <v>11643</v>
      </c>
      <c r="N2483" t="s">
        <v>11644</v>
      </c>
      <c r="O2483" t="s">
        <v>11645</v>
      </c>
      <c r="P2483" t="s">
        <v>485</v>
      </c>
      <c r="Q2483" t="s">
        <v>10678</v>
      </c>
      <c r="R2483" t="s">
        <v>10679</v>
      </c>
      <c r="S2483" t="s">
        <v>10678</v>
      </c>
      <c r="T2483" t="s">
        <v>10679</v>
      </c>
    </row>
    <row r="2484" spans="1:20">
      <c r="A2484" s="241">
        <v>44001</v>
      </c>
      <c r="B2484" t="s">
        <v>11646</v>
      </c>
      <c r="C2484" t="s">
        <v>2478</v>
      </c>
      <c r="D2484" t="s">
        <v>1079</v>
      </c>
      <c r="E2484" t="s">
        <v>646</v>
      </c>
      <c r="F2484" t="s">
        <v>590</v>
      </c>
      <c r="G2484" t="s">
        <v>1256</v>
      </c>
      <c r="H2484" t="s">
        <v>228</v>
      </c>
      <c r="I2484" t="s">
        <v>569</v>
      </c>
      <c r="J2484" t="s">
        <v>243</v>
      </c>
      <c r="K2484" t="s">
        <v>1234</v>
      </c>
      <c r="L2484">
        <v>0.86</v>
      </c>
      <c r="M2484" t="s">
        <v>11647</v>
      </c>
      <c r="N2484" t="s">
        <v>11648</v>
      </c>
      <c r="O2484" t="s">
        <v>11649</v>
      </c>
      <c r="P2484" t="s">
        <v>485</v>
      </c>
      <c r="Q2484" t="s">
        <v>10678</v>
      </c>
      <c r="R2484" t="s">
        <v>10679</v>
      </c>
      <c r="S2484" t="s">
        <v>10678</v>
      </c>
      <c r="T2484" t="s">
        <v>10679</v>
      </c>
    </row>
    <row r="2485" spans="1:20">
      <c r="A2485" s="241">
        <v>44001</v>
      </c>
      <c r="B2485" t="s">
        <v>11650</v>
      </c>
      <c r="C2485" t="s">
        <v>712</v>
      </c>
      <c r="D2485" t="s">
        <v>382</v>
      </c>
      <c r="E2485" t="s">
        <v>2769</v>
      </c>
      <c r="F2485" t="s">
        <v>1552</v>
      </c>
      <c r="G2485" t="s">
        <v>240</v>
      </c>
      <c r="H2485" t="s">
        <v>265</v>
      </c>
      <c r="I2485" t="s">
        <v>577</v>
      </c>
      <c r="J2485" t="s">
        <v>825</v>
      </c>
      <c r="K2485" t="s">
        <v>1234</v>
      </c>
      <c r="L2485">
        <v>0.86</v>
      </c>
      <c r="M2485" t="s">
        <v>11651</v>
      </c>
      <c r="N2485" t="s">
        <v>11652</v>
      </c>
      <c r="O2485" t="s">
        <v>11653</v>
      </c>
      <c r="P2485" t="s">
        <v>485</v>
      </c>
      <c r="Q2485" t="s">
        <v>10678</v>
      </c>
      <c r="R2485" t="s">
        <v>10679</v>
      </c>
      <c r="S2485" t="s">
        <v>10678</v>
      </c>
      <c r="T2485" t="s">
        <v>10679</v>
      </c>
    </row>
    <row r="2486" spans="1:20">
      <c r="A2486" s="241">
        <v>44001</v>
      </c>
      <c r="B2486" t="s">
        <v>11654</v>
      </c>
      <c r="C2486" t="s">
        <v>631</v>
      </c>
      <c r="D2486" t="s">
        <v>208</v>
      </c>
      <c r="E2486" t="s">
        <v>2769</v>
      </c>
      <c r="F2486" t="s">
        <v>1080</v>
      </c>
      <c r="G2486" t="s">
        <v>286</v>
      </c>
      <c r="H2486" t="s">
        <v>1231</v>
      </c>
      <c r="I2486" t="s">
        <v>838</v>
      </c>
      <c r="J2486" t="s">
        <v>578</v>
      </c>
      <c r="K2486" t="s">
        <v>534</v>
      </c>
      <c r="L2486">
        <v>0.86</v>
      </c>
      <c r="M2486" t="s">
        <v>11655</v>
      </c>
      <c r="N2486" t="s">
        <v>11656</v>
      </c>
      <c r="O2486" t="s">
        <v>11657</v>
      </c>
      <c r="P2486" t="s">
        <v>485</v>
      </c>
      <c r="Q2486" t="s">
        <v>10678</v>
      </c>
      <c r="R2486" t="s">
        <v>10679</v>
      </c>
      <c r="S2486" t="s">
        <v>10678</v>
      </c>
      <c r="T2486" t="s">
        <v>10679</v>
      </c>
    </row>
    <row r="2487" spans="1:20">
      <c r="A2487" s="241">
        <v>44001</v>
      </c>
      <c r="B2487" t="s">
        <v>11658</v>
      </c>
      <c r="C2487" t="s">
        <v>1079</v>
      </c>
      <c r="D2487" t="s">
        <v>208</v>
      </c>
      <c r="E2487" t="s">
        <v>1314</v>
      </c>
      <c r="F2487" t="s">
        <v>626</v>
      </c>
      <c r="G2487" t="s">
        <v>607</v>
      </c>
      <c r="H2487" t="s">
        <v>618</v>
      </c>
      <c r="I2487" t="s">
        <v>288</v>
      </c>
      <c r="J2487" t="s">
        <v>279</v>
      </c>
      <c r="K2487" t="s">
        <v>1032</v>
      </c>
      <c r="L2487">
        <v>0.86</v>
      </c>
      <c r="M2487" t="s">
        <v>11659</v>
      </c>
      <c r="N2487" t="s">
        <v>11660</v>
      </c>
      <c r="O2487" t="s">
        <v>11661</v>
      </c>
      <c r="P2487" t="s">
        <v>485</v>
      </c>
      <c r="Q2487" t="s">
        <v>10678</v>
      </c>
      <c r="R2487" t="s">
        <v>10679</v>
      </c>
      <c r="S2487" t="s">
        <v>10678</v>
      </c>
      <c r="T2487" t="s">
        <v>10679</v>
      </c>
    </row>
    <row r="2488" spans="1:20">
      <c r="A2488" s="241">
        <v>44001</v>
      </c>
      <c r="B2488" t="s">
        <v>11662</v>
      </c>
      <c r="C2488" t="s">
        <v>679</v>
      </c>
      <c r="D2488" t="s">
        <v>1139</v>
      </c>
      <c r="E2488" t="s">
        <v>2769</v>
      </c>
      <c r="F2488" t="s">
        <v>682</v>
      </c>
      <c r="G2488" t="s">
        <v>345</v>
      </c>
      <c r="H2488" t="s">
        <v>346</v>
      </c>
      <c r="I2488" t="s">
        <v>308</v>
      </c>
      <c r="J2488" t="s">
        <v>298</v>
      </c>
      <c r="K2488" t="s">
        <v>231</v>
      </c>
      <c r="L2488">
        <v>0.86</v>
      </c>
      <c r="M2488" t="s">
        <v>11663</v>
      </c>
      <c r="N2488" t="s">
        <v>11664</v>
      </c>
      <c r="O2488" t="s">
        <v>11665</v>
      </c>
      <c r="P2488" t="s">
        <v>485</v>
      </c>
      <c r="Q2488" t="s">
        <v>10678</v>
      </c>
      <c r="R2488" t="s">
        <v>10679</v>
      </c>
      <c r="S2488" t="s">
        <v>10678</v>
      </c>
      <c r="T2488" t="s">
        <v>10679</v>
      </c>
    </row>
    <row r="2489" spans="1:20">
      <c r="A2489" s="241">
        <v>44001</v>
      </c>
      <c r="B2489" t="s">
        <v>11666</v>
      </c>
      <c r="C2489" t="s">
        <v>614</v>
      </c>
      <c r="D2489" t="s">
        <v>208</v>
      </c>
      <c r="E2489" t="s">
        <v>1314</v>
      </c>
      <c r="F2489" t="s">
        <v>1591</v>
      </c>
      <c r="G2489" t="s">
        <v>2142</v>
      </c>
      <c r="H2489" t="s">
        <v>239</v>
      </c>
      <c r="I2489" t="s">
        <v>1082</v>
      </c>
      <c r="J2489" t="s">
        <v>309</v>
      </c>
      <c r="K2489" t="s">
        <v>244</v>
      </c>
      <c r="L2489">
        <v>0.86</v>
      </c>
      <c r="M2489" t="s">
        <v>11667</v>
      </c>
      <c r="N2489" t="s">
        <v>11668</v>
      </c>
      <c r="O2489" t="s">
        <v>11669</v>
      </c>
      <c r="P2489" t="s">
        <v>485</v>
      </c>
      <c r="Q2489" t="s">
        <v>10678</v>
      </c>
      <c r="R2489" t="s">
        <v>10679</v>
      </c>
      <c r="S2489" t="s">
        <v>10678</v>
      </c>
      <c r="T2489" t="s">
        <v>10679</v>
      </c>
    </row>
    <row r="2490" spans="1:20">
      <c r="A2490" s="241">
        <v>44001</v>
      </c>
      <c r="B2490" t="s">
        <v>11670</v>
      </c>
      <c r="C2490" t="s">
        <v>712</v>
      </c>
      <c r="D2490" t="s">
        <v>443</v>
      </c>
      <c r="E2490" t="s">
        <v>1314</v>
      </c>
      <c r="F2490" t="s">
        <v>426</v>
      </c>
      <c r="G2490" t="s">
        <v>591</v>
      </c>
      <c r="H2490" t="s">
        <v>251</v>
      </c>
      <c r="I2490" t="s">
        <v>619</v>
      </c>
      <c r="J2490" t="s">
        <v>1812</v>
      </c>
      <c r="K2490" t="s">
        <v>244</v>
      </c>
      <c r="L2490">
        <v>0.86</v>
      </c>
      <c r="M2490" t="s">
        <v>11671</v>
      </c>
      <c r="N2490" t="s">
        <v>11672</v>
      </c>
      <c r="O2490" t="s">
        <v>11673</v>
      </c>
      <c r="P2490" t="s">
        <v>485</v>
      </c>
      <c r="Q2490" t="s">
        <v>10678</v>
      </c>
      <c r="R2490" t="s">
        <v>10679</v>
      </c>
      <c r="S2490" t="s">
        <v>10678</v>
      </c>
      <c r="T2490" t="s">
        <v>10679</v>
      </c>
    </row>
    <row r="2491" spans="1:20">
      <c r="A2491" s="241">
        <v>44001</v>
      </c>
      <c r="B2491" t="s">
        <v>11674</v>
      </c>
      <c r="C2491" t="s">
        <v>1139</v>
      </c>
      <c r="D2491" t="s">
        <v>443</v>
      </c>
      <c r="E2491" t="s">
        <v>2875</v>
      </c>
      <c r="F2491" t="s">
        <v>1620</v>
      </c>
      <c r="G2491" t="s">
        <v>875</v>
      </c>
      <c r="H2491" t="s">
        <v>881</v>
      </c>
      <c r="I2491" t="s">
        <v>869</v>
      </c>
      <c r="J2491" t="s">
        <v>620</v>
      </c>
      <c r="K2491" t="s">
        <v>571</v>
      </c>
      <c r="L2491">
        <v>0.86</v>
      </c>
      <c r="M2491" t="s">
        <v>11675</v>
      </c>
      <c r="N2491" t="s">
        <v>11676</v>
      </c>
      <c r="O2491" t="s">
        <v>11677</v>
      </c>
      <c r="P2491" t="s">
        <v>485</v>
      </c>
      <c r="Q2491" t="s">
        <v>10678</v>
      </c>
      <c r="R2491" t="s">
        <v>10679</v>
      </c>
      <c r="S2491" t="s">
        <v>10678</v>
      </c>
      <c r="T2491" t="s">
        <v>10679</v>
      </c>
    </row>
    <row r="2492" spans="1:20">
      <c r="A2492" s="241">
        <v>44001</v>
      </c>
      <c r="B2492" t="s">
        <v>11678</v>
      </c>
      <c r="C2492" t="s">
        <v>2535</v>
      </c>
      <c r="D2492" t="s">
        <v>631</v>
      </c>
      <c r="E2492" t="s">
        <v>646</v>
      </c>
      <c r="F2492" t="s">
        <v>1511</v>
      </c>
      <c r="G2492" t="s">
        <v>355</v>
      </c>
      <c r="H2492" t="s">
        <v>1255</v>
      </c>
      <c r="I2492" t="s">
        <v>325</v>
      </c>
      <c r="J2492" t="s">
        <v>870</v>
      </c>
      <c r="K2492" t="s">
        <v>515</v>
      </c>
      <c r="L2492">
        <v>0.86</v>
      </c>
      <c r="M2492" t="s">
        <v>11679</v>
      </c>
      <c r="N2492" t="s">
        <v>11680</v>
      </c>
      <c r="O2492" t="s">
        <v>11681</v>
      </c>
      <c r="P2492" t="s">
        <v>485</v>
      </c>
      <c r="Q2492" t="s">
        <v>10678</v>
      </c>
      <c r="R2492" t="s">
        <v>10679</v>
      </c>
      <c r="S2492" t="s">
        <v>10678</v>
      </c>
      <c r="T2492" t="s">
        <v>10679</v>
      </c>
    </row>
    <row r="2493" spans="1:20">
      <c r="A2493" s="241">
        <v>44001</v>
      </c>
      <c r="B2493" t="s">
        <v>11682</v>
      </c>
      <c r="C2493" t="s">
        <v>2549</v>
      </c>
      <c r="D2493" t="s">
        <v>2549</v>
      </c>
      <c r="E2493" t="s">
        <v>2544</v>
      </c>
      <c r="F2493" t="s">
        <v>454</v>
      </c>
      <c r="G2493" t="s">
        <v>1517</v>
      </c>
      <c r="H2493" t="s">
        <v>1769</v>
      </c>
      <c r="I2493" t="s">
        <v>336</v>
      </c>
      <c r="J2493" t="s">
        <v>1506</v>
      </c>
      <c r="K2493" t="s">
        <v>579</v>
      </c>
      <c r="L2493">
        <v>0.86</v>
      </c>
      <c r="M2493" t="s">
        <v>11683</v>
      </c>
      <c r="N2493" t="s">
        <v>11684</v>
      </c>
      <c r="O2493" t="s">
        <v>11685</v>
      </c>
      <c r="P2493" t="s">
        <v>485</v>
      </c>
      <c r="Q2493" t="s">
        <v>10678</v>
      </c>
      <c r="R2493" t="s">
        <v>10679</v>
      </c>
      <c r="S2493" t="s">
        <v>10678</v>
      </c>
      <c r="T2493" t="s">
        <v>10679</v>
      </c>
    </row>
    <row r="2494" spans="1:20">
      <c r="A2494" s="241">
        <v>44001</v>
      </c>
      <c r="B2494" t="s">
        <v>11686</v>
      </c>
      <c r="C2494" t="s">
        <v>2549</v>
      </c>
      <c r="D2494" t="s">
        <v>2549</v>
      </c>
      <c r="E2494" t="s">
        <v>2880</v>
      </c>
      <c r="F2494" t="s">
        <v>333</v>
      </c>
      <c r="G2494" t="s">
        <v>1585</v>
      </c>
      <c r="H2494" t="s">
        <v>1467</v>
      </c>
      <c r="I2494" t="s">
        <v>1859</v>
      </c>
      <c r="J2494" t="s">
        <v>348</v>
      </c>
      <c r="K2494" t="s">
        <v>244</v>
      </c>
      <c r="L2494">
        <v>0.86</v>
      </c>
      <c r="M2494" t="s">
        <v>11687</v>
      </c>
      <c r="N2494" t="s">
        <v>11688</v>
      </c>
      <c r="O2494" t="s">
        <v>11689</v>
      </c>
      <c r="P2494" t="s">
        <v>485</v>
      </c>
      <c r="Q2494" t="s">
        <v>10678</v>
      </c>
      <c r="R2494" t="s">
        <v>10679</v>
      </c>
      <c r="S2494" t="s">
        <v>10678</v>
      </c>
      <c r="T2494" t="s">
        <v>10679</v>
      </c>
    </row>
    <row r="2495" spans="1:20">
      <c r="A2495" s="241">
        <v>44001</v>
      </c>
      <c r="B2495" t="s">
        <v>11690</v>
      </c>
      <c r="C2495" t="s">
        <v>208</v>
      </c>
      <c r="D2495" t="s">
        <v>402</v>
      </c>
      <c r="E2495" t="s">
        <v>2870</v>
      </c>
      <c r="F2495" t="s">
        <v>374</v>
      </c>
      <c r="G2495" t="s">
        <v>663</v>
      </c>
      <c r="H2495" t="s">
        <v>1080</v>
      </c>
      <c r="I2495" t="s">
        <v>1859</v>
      </c>
      <c r="J2495" t="s">
        <v>337</v>
      </c>
      <c r="K2495" t="s">
        <v>214</v>
      </c>
      <c r="L2495">
        <v>0.86</v>
      </c>
      <c r="M2495" t="s">
        <v>11691</v>
      </c>
      <c r="N2495" t="s">
        <v>11692</v>
      </c>
      <c r="O2495" t="s">
        <v>11693</v>
      </c>
      <c r="P2495" t="s">
        <v>485</v>
      </c>
      <c r="Q2495" t="s">
        <v>10678</v>
      </c>
      <c r="R2495" t="s">
        <v>10679</v>
      </c>
      <c r="S2495" t="s">
        <v>10678</v>
      </c>
      <c r="T2495" t="s">
        <v>10679</v>
      </c>
    </row>
    <row r="2496" spans="1:20">
      <c r="A2496" s="241">
        <v>44001</v>
      </c>
      <c r="B2496" t="s">
        <v>11694</v>
      </c>
      <c r="C2496" t="s">
        <v>443</v>
      </c>
      <c r="D2496" t="s">
        <v>679</v>
      </c>
      <c r="E2496" t="s">
        <v>1049</v>
      </c>
      <c r="F2496" t="s">
        <v>647</v>
      </c>
      <c r="G2496" t="s">
        <v>1562</v>
      </c>
      <c r="H2496" t="s">
        <v>1262</v>
      </c>
      <c r="I2496" t="s">
        <v>888</v>
      </c>
      <c r="J2496" t="s">
        <v>348</v>
      </c>
      <c r="K2496" t="s">
        <v>299</v>
      </c>
      <c r="L2496">
        <v>0.86</v>
      </c>
      <c r="M2496" t="s">
        <v>11695</v>
      </c>
      <c r="N2496" t="s">
        <v>11696</v>
      </c>
      <c r="O2496" t="s">
        <v>11697</v>
      </c>
      <c r="P2496" t="s">
        <v>485</v>
      </c>
      <c r="Q2496" t="s">
        <v>10678</v>
      </c>
      <c r="R2496" t="s">
        <v>10679</v>
      </c>
      <c r="S2496" t="s">
        <v>10678</v>
      </c>
      <c r="T2496" t="s">
        <v>10679</v>
      </c>
    </row>
    <row r="2497" spans="1:20">
      <c r="A2497" s="241">
        <v>44001</v>
      </c>
      <c r="B2497" t="s">
        <v>11698</v>
      </c>
      <c r="C2497" t="s">
        <v>392</v>
      </c>
      <c r="D2497" t="s">
        <v>343</v>
      </c>
      <c r="E2497" t="s">
        <v>2769</v>
      </c>
      <c r="F2497" t="s">
        <v>2579</v>
      </c>
      <c r="G2497" t="s">
        <v>404</v>
      </c>
      <c r="H2497" t="s">
        <v>295</v>
      </c>
      <c r="I2497" t="s">
        <v>683</v>
      </c>
      <c r="J2497" t="s">
        <v>368</v>
      </c>
      <c r="K2497" t="s">
        <v>579</v>
      </c>
      <c r="L2497">
        <v>0.86</v>
      </c>
      <c r="M2497" t="s">
        <v>11699</v>
      </c>
      <c r="N2497" t="s">
        <v>11700</v>
      </c>
      <c r="O2497" t="s">
        <v>11701</v>
      </c>
      <c r="P2497" t="s">
        <v>485</v>
      </c>
      <c r="Q2497" t="s">
        <v>10678</v>
      </c>
      <c r="R2497" t="s">
        <v>10679</v>
      </c>
      <c r="S2497" t="s">
        <v>10678</v>
      </c>
      <c r="T2497" t="s">
        <v>10679</v>
      </c>
    </row>
    <row r="2498" spans="1:20">
      <c r="A2498" s="241">
        <v>44001</v>
      </c>
      <c r="B2498" t="s">
        <v>11702</v>
      </c>
      <c r="C2498" t="s">
        <v>382</v>
      </c>
      <c r="D2498" t="s">
        <v>382</v>
      </c>
      <c r="E2498" t="s">
        <v>2893</v>
      </c>
      <c r="F2498" t="s">
        <v>413</v>
      </c>
      <c r="G2498" t="s">
        <v>404</v>
      </c>
      <c r="H2498" t="s">
        <v>1511</v>
      </c>
      <c r="I2498" t="s">
        <v>396</v>
      </c>
      <c r="J2498" t="s">
        <v>1298</v>
      </c>
      <c r="K2498" t="s">
        <v>280</v>
      </c>
      <c r="L2498">
        <v>0.86</v>
      </c>
      <c r="M2498" t="s">
        <v>11703</v>
      </c>
      <c r="N2498" t="s">
        <v>11704</v>
      </c>
      <c r="O2498" t="s">
        <v>11705</v>
      </c>
      <c r="P2498" t="s">
        <v>485</v>
      </c>
      <c r="Q2498" t="s">
        <v>10678</v>
      </c>
      <c r="R2498" t="s">
        <v>10679</v>
      </c>
      <c r="S2498" t="s">
        <v>10678</v>
      </c>
      <c r="T2498" t="s">
        <v>10679</v>
      </c>
    </row>
    <row r="2499" spans="1:20">
      <c r="A2499" s="241">
        <v>44001</v>
      </c>
      <c r="B2499" t="s">
        <v>11706</v>
      </c>
      <c r="C2499" t="s">
        <v>2549</v>
      </c>
      <c r="D2499" t="s">
        <v>392</v>
      </c>
      <c r="E2499" t="s">
        <v>2888</v>
      </c>
      <c r="F2499" t="s">
        <v>1156</v>
      </c>
      <c r="G2499" t="s">
        <v>414</v>
      </c>
      <c r="H2499" t="s">
        <v>720</v>
      </c>
      <c r="I2499" t="s">
        <v>932</v>
      </c>
      <c r="J2499" t="s">
        <v>1141</v>
      </c>
      <c r="K2499" t="s">
        <v>268</v>
      </c>
      <c r="L2499">
        <v>0.86</v>
      </c>
      <c r="M2499" t="s">
        <v>11707</v>
      </c>
      <c r="N2499" t="s">
        <v>11708</v>
      </c>
      <c r="O2499" t="s">
        <v>11709</v>
      </c>
      <c r="P2499" t="s">
        <v>485</v>
      </c>
      <c r="Q2499" t="s">
        <v>10678</v>
      </c>
      <c r="R2499" t="s">
        <v>10679</v>
      </c>
      <c r="S2499" t="s">
        <v>10678</v>
      </c>
      <c r="T2499" t="s">
        <v>10679</v>
      </c>
    </row>
    <row r="2500" spans="1:20">
      <c r="A2500" s="241">
        <v>44001</v>
      </c>
      <c r="B2500" t="s">
        <v>11710</v>
      </c>
      <c r="C2500" t="s">
        <v>556</v>
      </c>
      <c r="D2500" t="s">
        <v>2549</v>
      </c>
      <c r="E2500" t="s">
        <v>2544</v>
      </c>
      <c r="F2500" t="s">
        <v>904</v>
      </c>
      <c r="G2500" t="s">
        <v>1324</v>
      </c>
      <c r="H2500" t="s">
        <v>720</v>
      </c>
      <c r="I2500" t="s">
        <v>698</v>
      </c>
      <c r="J2500" t="s">
        <v>912</v>
      </c>
      <c r="K2500" t="s">
        <v>268</v>
      </c>
      <c r="L2500">
        <v>0.86</v>
      </c>
      <c r="M2500" t="s">
        <v>11711</v>
      </c>
      <c r="N2500" t="s">
        <v>11712</v>
      </c>
      <c r="O2500" t="s">
        <v>11713</v>
      </c>
      <c r="P2500" t="s">
        <v>485</v>
      </c>
      <c r="Q2500" t="s">
        <v>10678</v>
      </c>
      <c r="R2500" t="s">
        <v>10679</v>
      </c>
      <c r="S2500" t="s">
        <v>10678</v>
      </c>
      <c r="T2500" t="s">
        <v>10679</v>
      </c>
    </row>
    <row r="2501" spans="1:20">
      <c r="A2501" s="241">
        <v>44001</v>
      </c>
      <c r="B2501" t="s">
        <v>11714</v>
      </c>
      <c r="C2501" t="s">
        <v>208</v>
      </c>
      <c r="D2501" t="s">
        <v>392</v>
      </c>
      <c r="E2501" t="s">
        <v>2880</v>
      </c>
      <c r="F2501" t="s">
        <v>952</v>
      </c>
      <c r="G2501" t="s">
        <v>719</v>
      </c>
      <c r="H2501" t="s">
        <v>2410</v>
      </c>
      <c r="I2501" t="s">
        <v>939</v>
      </c>
      <c r="J2501" t="s">
        <v>1304</v>
      </c>
      <c r="K2501" t="s">
        <v>651</v>
      </c>
      <c r="L2501">
        <v>0.86</v>
      </c>
      <c r="M2501" t="s">
        <v>11715</v>
      </c>
      <c r="N2501" t="s">
        <v>11716</v>
      </c>
      <c r="O2501" t="s">
        <v>11717</v>
      </c>
      <c r="P2501" t="s">
        <v>485</v>
      </c>
      <c r="Q2501" t="s">
        <v>10678</v>
      </c>
      <c r="R2501" t="s">
        <v>10679</v>
      </c>
      <c r="S2501" t="s">
        <v>10678</v>
      </c>
      <c r="T2501" t="s">
        <v>10679</v>
      </c>
    </row>
    <row r="2502" spans="1:20">
      <c r="A2502" s="241">
        <v>44001</v>
      </c>
      <c r="B2502" t="s">
        <v>11718</v>
      </c>
      <c r="C2502" t="s">
        <v>382</v>
      </c>
      <c r="D2502" t="s">
        <v>2535</v>
      </c>
      <c r="E2502" t="s">
        <v>2888</v>
      </c>
      <c r="F2502" t="s">
        <v>1630</v>
      </c>
      <c r="G2502" t="s">
        <v>2419</v>
      </c>
      <c r="H2502" t="s">
        <v>887</v>
      </c>
      <c r="I2502" t="s">
        <v>947</v>
      </c>
      <c r="J2502" t="s">
        <v>437</v>
      </c>
      <c r="K2502" t="s">
        <v>338</v>
      </c>
      <c r="L2502">
        <v>0.86</v>
      </c>
      <c r="M2502" t="s">
        <v>11719</v>
      </c>
      <c r="N2502" t="s">
        <v>11720</v>
      </c>
      <c r="O2502" t="s">
        <v>11721</v>
      </c>
      <c r="P2502" t="s">
        <v>485</v>
      </c>
      <c r="Q2502" t="s">
        <v>10678</v>
      </c>
      <c r="R2502" t="s">
        <v>10679</v>
      </c>
      <c r="S2502" t="s">
        <v>10678</v>
      </c>
      <c r="T2502" t="s">
        <v>10679</v>
      </c>
    </row>
    <row r="2503" spans="1:20">
      <c r="A2503" s="241">
        <v>44001</v>
      </c>
      <c r="B2503" t="s">
        <v>11722</v>
      </c>
      <c r="C2503" t="s">
        <v>273</v>
      </c>
      <c r="D2503" t="s">
        <v>3669</v>
      </c>
      <c r="E2503" t="s">
        <v>812</v>
      </c>
      <c r="F2503" t="s">
        <v>600</v>
      </c>
      <c r="G2503" t="s">
        <v>11723</v>
      </c>
      <c r="H2503" t="s">
        <v>970</v>
      </c>
      <c r="I2503" t="s">
        <v>8061</v>
      </c>
      <c r="J2503" t="s">
        <v>11724</v>
      </c>
      <c r="K2503" t="s">
        <v>11725</v>
      </c>
      <c r="L2503">
        <v>0.89</v>
      </c>
      <c r="M2503" t="s">
        <v>11726</v>
      </c>
      <c r="N2503" t="s">
        <v>11727</v>
      </c>
      <c r="O2503" t="s">
        <v>11728</v>
      </c>
      <c r="P2503" t="s">
        <v>485</v>
      </c>
      <c r="Q2503" t="s">
        <v>10678</v>
      </c>
      <c r="R2503" t="s">
        <v>10679</v>
      </c>
      <c r="S2503" t="s">
        <v>10678</v>
      </c>
      <c r="T2503" t="s">
        <v>10679</v>
      </c>
    </row>
    <row r="2504" spans="1:20">
      <c r="A2504" s="241">
        <v>44001</v>
      </c>
      <c r="B2504" t="s">
        <v>11729</v>
      </c>
      <c r="C2504" t="s">
        <v>2810</v>
      </c>
      <c r="D2504" t="s">
        <v>3136</v>
      </c>
      <c r="E2504" t="s">
        <v>712</v>
      </c>
      <c r="F2504" t="s">
        <v>1968</v>
      </c>
      <c r="G2504" t="s">
        <v>6696</v>
      </c>
      <c r="H2504" t="s">
        <v>5468</v>
      </c>
      <c r="I2504" t="s">
        <v>479</v>
      </c>
      <c r="J2504" t="s">
        <v>6945</v>
      </c>
      <c r="K2504" t="s">
        <v>5476</v>
      </c>
      <c r="L2504">
        <v>0.89</v>
      </c>
      <c r="M2504" t="s">
        <v>11730</v>
      </c>
      <c r="N2504" t="s">
        <v>11731</v>
      </c>
      <c r="O2504" t="s">
        <v>11732</v>
      </c>
      <c r="P2504" t="s">
        <v>485</v>
      </c>
      <c r="Q2504" t="s">
        <v>10678</v>
      </c>
      <c r="R2504" t="s">
        <v>10679</v>
      </c>
      <c r="S2504" t="s">
        <v>10678</v>
      </c>
      <c r="T2504" t="s">
        <v>10679</v>
      </c>
    </row>
    <row r="2505" spans="1:20">
      <c r="A2505" s="241">
        <v>44001</v>
      </c>
      <c r="B2505" t="s">
        <v>11733</v>
      </c>
      <c r="C2505" t="s">
        <v>3831</v>
      </c>
      <c r="D2505" t="s">
        <v>1176</v>
      </c>
      <c r="E2505" t="s">
        <v>625</v>
      </c>
      <c r="F2505" t="s">
        <v>3832</v>
      </c>
      <c r="G2505" t="s">
        <v>3977</v>
      </c>
      <c r="H2505" t="s">
        <v>6943</v>
      </c>
      <c r="I2505" t="s">
        <v>5278</v>
      </c>
      <c r="J2505" t="s">
        <v>5279</v>
      </c>
      <c r="K2505" t="s">
        <v>771</v>
      </c>
      <c r="L2505">
        <v>0.89</v>
      </c>
      <c r="M2505" t="s">
        <v>11734</v>
      </c>
      <c r="N2505" t="s">
        <v>11735</v>
      </c>
      <c r="O2505" t="s">
        <v>11736</v>
      </c>
      <c r="P2505" t="s">
        <v>485</v>
      </c>
      <c r="Q2505" t="s">
        <v>10678</v>
      </c>
      <c r="R2505" t="s">
        <v>10679</v>
      </c>
      <c r="S2505" t="s">
        <v>10678</v>
      </c>
      <c r="T2505" t="s">
        <v>10679</v>
      </c>
    </row>
    <row r="2506" spans="1:20">
      <c r="A2506" s="241">
        <v>44001</v>
      </c>
      <c r="B2506" t="s">
        <v>11737</v>
      </c>
      <c r="C2506" t="s">
        <v>2431</v>
      </c>
      <c r="D2506" t="s">
        <v>1348</v>
      </c>
      <c r="E2506" t="s">
        <v>237</v>
      </c>
      <c r="F2506" t="s">
        <v>1667</v>
      </c>
      <c r="G2506" t="s">
        <v>1977</v>
      </c>
      <c r="H2506" t="s">
        <v>748</v>
      </c>
      <c r="I2506" t="s">
        <v>2249</v>
      </c>
      <c r="J2506" t="s">
        <v>5272</v>
      </c>
      <c r="K2506" t="s">
        <v>1200</v>
      </c>
      <c r="L2506">
        <v>0.89</v>
      </c>
      <c r="M2506" t="s">
        <v>11738</v>
      </c>
      <c r="N2506" t="s">
        <v>11739</v>
      </c>
      <c r="O2506" t="s">
        <v>11740</v>
      </c>
      <c r="P2506" t="s">
        <v>485</v>
      </c>
      <c r="Q2506" t="s">
        <v>10678</v>
      </c>
      <c r="R2506" t="s">
        <v>10679</v>
      </c>
      <c r="S2506" t="s">
        <v>10678</v>
      </c>
      <c r="T2506" t="s">
        <v>10679</v>
      </c>
    </row>
    <row r="2507" spans="1:20">
      <c r="A2507" s="241">
        <v>44001</v>
      </c>
      <c r="B2507" t="s">
        <v>11741</v>
      </c>
      <c r="C2507" t="s">
        <v>294</v>
      </c>
      <c r="D2507" t="s">
        <v>2535</v>
      </c>
      <c r="E2507" t="s">
        <v>1049</v>
      </c>
      <c r="F2507" t="s">
        <v>307</v>
      </c>
      <c r="G2507" t="s">
        <v>3160</v>
      </c>
      <c r="H2507" t="s">
        <v>1225</v>
      </c>
      <c r="I2507" t="s">
        <v>1698</v>
      </c>
      <c r="J2507" t="s">
        <v>514</v>
      </c>
      <c r="K2507" t="s">
        <v>1012</v>
      </c>
      <c r="L2507">
        <v>0.87</v>
      </c>
      <c r="M2507" t="s">
        <v>11742</v>
      </c>
      <c r="N2507" t="s">
        <v>11743</v>
      </c>
      <c r="O2507" t="s">
        <v>11744</v>
      </c>
      <c r="P2507" t="s">
        <v>485</v>
      </c>
      <c r="Q2507" t="s">
        <v>10678</v>
      </c>
      <c r="R2507" t="s">
        <v>10679</v>
      </c>
      <c r="S2507" t="s">
        <v>10678</v>
      </c>
      <c r="T2507" t="s">
        <v>10679</v>
      </c>
    </row>
    <row r="2508" spans="1:20">
      <c r="A2508" s="241">
        <v>44001</v>
      </c>
      <c r="B2508" t="s">
        <v>11745</v>
      </c>
      <c r="C2508" t="s">
        <v>645</v>
      </c>
      <c r="D2508" t="s">
        <v>392</v>
      </c>
      <c r="E2508" t="s">
        <v>606</v>
      </c>
      <c r="F2508" t="s">
        <v>529</v>
      </c>
      <c r="G2508" t="s">
        <v>786</v>
      </c>
      <c r="H2508" t="s">
        <v>2305</v>
      </c>
      <c r="I2508" t="s">
        <v>2024</v>
      </c>
      <c r="J2508" t="s">
        <v>523</v>
      </c>
      <c r="K2508" t="s">
        <v>1003</v>
      </c>
      <c r="L2508">
        <v>0.86</v>
      </c>
      <c r="M2508" t="s">
        <v>11746</v>
      </c>
      <c r="N2508" t="s">
        <v>11747</v>
      </c>
      <c r="O2508" t="s">
        <v>11748</v>
      </c>
      <c r="P2508" t="s">
        <v>485</v>
      </c>
      <c r="Q2508" t="s">
        <v>10678</v>
      </c>
      <c r="R2508" t="s">
        <v>10679</v>
      </c>
      <c r="S2508" t="s">
        <v>10678</v>
      </c>
      <c r="T2508" t="s">
        <v>10679</v>
      </c>
    </row>
    <row r="2509" spans="1:20">
      <c r="A2509" s="241">
        <v>44001</v>
      </c>
      <c r="B2509" t="s">
        <v>11749</v>
      </c>
      <c r="C2509" t="s">
        <v>679</v>
      </c>
      <c r="D2509" t="s">
        <v>631</v>
      </c>
      <c r="E2509" t="s">
        <v>2888</v>
      </c>
      <c r="F2509" t="s">
        <v>608</v>
      </c>
      <c r="G2509" t="s">
        <v>2080</v>
      </c>
      <c r="H2509" t="s">
        <v>2861</v>
      </c>
      <c r="I2509" t="s">
        <v>532</v>
      </c>
      <c r="J2509" t="s">
        <v>2681</v>
      </c>
      <c r="K2509" t="s">
        <v>1003</v>
      </c>
      <c r="L2509">
        <v>0.86</v>
      </c>
      <c r="M2509" t="s">
        <v>11750</v>
      </c>
      <c r="N2509" t="s">
        <v>11751</v>
      </c>
      <c r="O2509" t="s">
        <v>11752</v>
      </c>
      <c r="P2509" t="s">
        <v>485</v>
      </c>
      <c r="Q2509" t="s">
        <v>10678</v>
      </c>
      <c r="R2509" t="s">
        <v>10679</v>
      </c>
      <c r="S2509" t="s">
        <v>10678</v>
      </c>
      <c r="T2509" t="s">
        <v>10679</v>
      </c>
    </row>
    <row r="2510" spans="1:20">
      <c r="A2510" s="241">
        <v>44001</v>
      </c>
      <c r="B2510" t="s">
        <v>11753</v>
      </c>
      <c r="C2510" t="s">
        <v>2549</v>
      </c>
      <c r="D2510" t="s">
        <v>392</v>
      </c>
      <c r="E2510" t="s">
        <v>1102</v>
      </c>
      <c r="F2510" t="s">
        <v>251</v>
      </c>
      <c r="G2510" t="s">
        <v>1740</v>
      </c>
      <c r="H2510" t="s">
        <v>253</v>
      </c>
      <c r="I2510" t="s">
        <v>806</v>
      </c>
      <c r="J2510" t="s">
        <v>2881</v>
      </c>
      <c r="K2510" t="s">
        <v>1406</v>
      </c>
      <c r="L2510">
        <v>0.86</v>
      </c>
      <c r="M2510" t="s">
        <v>11754</v>
      </c>
      <c r="N2510" t="s">
        <v>11755</v>
      </c>
      <c r="O2510" t="s">
        <v>11756</v>
      </c>
      <c r="P2510" t="s">
        <v>485</v>
      </c>
      <c r="Q2510" t="s">
        <v>10678</v>
      </c>
      <c r="R2510" t="s">
        <v>10679</v>
      </c>
      <c r="S2510" t="s">
        <v>10678</v>
      </c>
      <c r="T2510" t="s">
        <v>10679</v>
      </c>
    </row>
    <row r="2511" spans="1:20">
      <c r="A2511" s="241">
        <v>44001</v>
      </c>
      <c r="B2511" t="s">
        <v>11757</v>
      </c>
      <c r="C2511" t="s">
        <v>208</v>
      </c>
      <c r="D2511" t="s">
        <v>2535</v>
      </c>
      <c r="E2511" t="s">
        <v>1049</v>
      </c>
      <c r="F2511" t="s">
        <v>275</v>
      </c>
      <c r="G2511" t="s">
        <v>240</v>
      </c>
      <c r="H2511" t="s">
        <v>3554</v>
      </c>
      <c r="I2511" t="s">
        <v>229</v>
      </c>
      <c r="J2511" t="s">
        <v>807</v>
      </c>
      <c r="K2511" t="s">
        <v>1399</v>
      </c>
      <c r="L2511">
        <v>0.86</v>
      </c>
      <c r="M2511" t="s">
        <v>11758</v>
      </c>
      <c r="N2511" t="s">
        <v>11759</v>
      </c>
      <c r="O2511" t="s">
        <v>11760</v>
      </c>
      <c r="P2511" t="s">
        <v>485</v>
      </c>
      <c r="Q2511" t="s">
        <v>10678</v>
      </c>
      <c r="R2511" t="s">
        <v>10679</v>
      </c>
      <c r="S2511" t="s">
        <v>10678</v>
      </c>
      <c r="T2511" t="s">
        <v>10679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FB401-914F-41F0-8259-68C739E47C1A}">
  <sheetPr codeName="Sheet5"/>
  <dimension ref="A1:L2510"/>
  <sheetViews>
    <sheetView workbookViewId="0">
      <selection activeCell="K36" sqref="K36"/>
    </sheetView>
  </sheetViews>
  <sheetFormatPr defaultRowHeight="17"/>
  <sheetData>
    <row r="1" spans="1:12">
      <c r="A1" t="s">
        <v>186</v>
      </c>
      <c r="B1" t="s">
        <v>193</v>
      </c>
      <c r="C1" t="s">
        <v>11763</v>
      </c>
      <c r="D1" t="s">
        <v>11765</v>
      </c>
      <c r="E1" t="s">
        <v>11766</v>
      </c>
      <c r="F1" t="s">
        <v>11767</v>
      </c>
      <c r="G1" t="s">
        <v>11772</v>
      </c>
      <c r="H1" t="s">
        <v>11773</v>
      </c>
      <c r="I1" t="s">
        <v>11774</v>
      </c>
      <c r="J1" t="s">
        <v>11775</v>
      </c>
      <c r="K1" t="s">
        <v>11761</v>
      </c>
      <c r="L1" t="s">
        <v>11762</v>
      </c>
    </row>
    <row r="2" spans="1:12">
      <c r="A2" t="s">
        <v>205</v>
      </c>
      <c r="B2">
        <v>52.32</v>
      </c>
      <c r="E2" t="s">
        <v>11768</v>
      </c>
      <c r="K2">
        <v>4</v>
      </c>
      <c r="L2">
        <v>577</v>
      </c>
    </row>
    <row r="3" spans="1:12">
      <c r="A3" t="s">
        <v>222</v>
      </c>
      <c r="B3">
        <v>52.08</v>
      </c>
      <c r="C3">
        <v>-0.24000000000000199</v>
      </c>
      <c r="E3" t="s">
        <v>11768</v>
      </c>
    </row>
    <row r="4" spans="1:12">
      <c r="A4" t="s">
        <v>235</v>
      </c>
      <c r="B4">
        <v>52.14</v>
      </c>
      <c r="C4">
        <v>6.0000000000002274E-2</v>
      </c>
      <c r="E4" t="s">
        <v>11768</v>
      </c>
      <c r="F4" t="s">
        <v>11771</v>
      </c>
      <c r="I4">
        <v>52.14</v>
      </c>
    </row>
    <row r="5" spans="1:12">
      <c r="A5" t="s">
        <v>248</v>
      </c>
      <c r="B5">
        <v>52.02</v>
      </c>
      <c r="C5">
        <v>-0.11999999999999744</v>
      </c>
      <c r="E5" t="s">
        <v>11768</v>
      </c>
      <c r="F5" t="s">
        <v>11771</v>
      </c>
      <c r="I5">
        <v>52.02</v>
      </c>
    </row>
    <row r="6" spans="1:12">
      <c r="A6" t="s">
        <v>260</v>
      </c>
      <c r="B6">
        <v>51.9</v>
      </c>
      <c r="C6">
        <v>-0.12000000000000455</v>
      </c>
      <c r="E6" t="s">
        <v>11768</v>
      </c>
      <c r="F6" t="s">
        <v>11771</v>
      </c>
      <c r="I6">
        <v>51.9</v>
      </c>
    </row>
    <row r="7" spans="1:12">
      <c r="A7" t="s">
        <v>272</v>
      </c>
      <c r="B7">
        <v>51.84</v>
      </c>
      <c r="C7">
        <v>-5.9999999999995168E-2</v>
      </c>
      <c r="E7" t="s">
        <v>11768</v>
      </c>
      <c r="F7" t="s">
        <v>11771</v>
      </c>
      <c r="I7">
        <v>51.84</v>
      </c>
    </row>
    <row r="8" spans="1:12">
      <c r="A8" t="s">
        <v>284</v>
      </c>
      <c r="B8">
        <v>51.69</v>
      </c>
      <c r="C8">
        <v>-0.15000000000000568</v>
      </c>
      <c r="E8" t="s">
        <v>11768</v>
      </c>
      <c r="F8" t="s">
        <v>11771</v>
      </c>
      <c r="I8">
        <v>51.69</v>
      </c>
    </row>
    <row r="9" spans="1:12">
      <c r="A9" t="s">
        <v>293</v>
      </c>
      <c r="B9">
        <v>51.63</v>
      </c>
      <c r="C9">
        <v>-5.9999999999995168E-2</v>
      </c>
      <c r="E9" t="s">
        <v>11768</v>
      </c>
      <c r="F9" t="s">
        <v>11771</v>
      </c>
      <c r="I9">
        <v>51.63</v>
      </c>
    </row>
    <row r="10" spans="1:12">
      <c r="A10" t="s">
        <v>303</v>
      </c>
      <c r="B10">
        <v>51.57</v>
      </c>
      <c r="C10">
        <v>-6.0000000000002274E-2</v>
      </c>
      <c r="E10" t="s">
        <v>11768</v>
      </c>
      <c r="F10" t="s">
        <v>11771</v>
      </c>
      <c r="I10">
        <v>51.57</v>
      </c>
    </row>
    <row r="11" spans="1:12">
      <c r="A11" t="s">
        <v>313</v>
      </c>
      <c r="B11">
        <v>51.39</v>
      </c>
      <c r="C11">
        <v>-0.17999999999999972</v>
      </c>
      <c r="E11" t="s">
        <v>11768</v>
      </c>
      <c r="F11" t="s">
        <v>11771</v>
      </c>
      <c r="I11">
        <v>51.39</v>
      </c>
    </row>
    <row r="12" spans="1:12">
      <c r="A12" t="s">
        <v>322</v>
      </c>
      <c r="B12">
        <v>51.24</v>
      </c>
      <c r="C12">
        <v>-0.14999999999999858</v>
      </c>
      <c r="E12" t="s">
        <v>11768</v>
      </c>
      <c r="F12" t="s">
        <v>11771</v>
      </c>
      <c r="I12">
        <v>51.24</v>
      </c>
    </row>
    <row r="13" spans="1:12">
      <c r="A13" t="s">
        <v>331</v>
      </c>
      <c r="B13">
        <v>51.15</v>
      </c>
      <c r="C13">
        <v>-9.0000000000003411E-2</v>
      </c>
      <c r="E13" t="s">
        <v>11768</v>
      </c>
      <c r="F13" t="s">
        <v>11771</v>
      </c>
      <c r="I13">
        <v>51.15</v>
      </c>
    </row>
    <row r="14" spans="1:12">
      <c r="A14" t="s">
        <v>342</v>
      </c>
      <c r="B14">
        <v>51.18</v>
      </c>
      <c r="C14">
        <v>3.0000000000001137E-2</v>
      </c>
      <c r="E14" t="s">
        <v>11768</v>
      </c>
      <c r="F14" t="s">
        <v>11771</v>
      </c>
      <c r="I14">
        <v>51.18</v>
      </c>
    </row>
    <row r="15" spans="1:12">
      <c r="A15" t="s">
        <v>353</v>
      </c>
      <c r="B15">
        <v>51.06</v>
      </c>
      <c r="C15">
        <v>-0.11999999999999744</v>
      </c>
      <c r="E15" t="s">
        <v>11768</v>
      </c>
      <c r="F15" t="s">
        <v>11771</v>
      </c>
      <c r="I15">
        <v>51.06</v>
      </c>
    </row>
    <row r="16" spans="1:12">
      <c r="A16" t="s">
        <v>363</v>
      </c>
      <c r="B16">
        <v>50.91</v>
      </c>
      <c r="C16">
        <v>-0.15000000000000568</v>
      </c>
      <c r="E16" t="s">
        <v>11768</v>
      </c>
      <c r="F16" t="s">
        <v>11771</v>
      </c>
      <c r="I16">
        <v>50.91</v>
      </c>
    </row>
    <row r="17" spans="1:9">
      <c r="A17" t="s">
        <v>373</v>
      </c>
      <c r="B17">
        <v>50.85</v>
      </c>
      <c r="C17">
        <v>-5.9999999999995168E-2</v>
      </c>
      <c r="E17" t="s">
        <v>11768</v>
      </c>
      <c r="F17" t="s">
        <v>11771</v>
      </c>
      <c r="I17">
        <v>50.85</v>
      </c>
    </row>
    <row r="18" spans="1:9">
      <c r="A18" t="s">
        <v>381</v>
      </c>
      <c r="B18">
        <v>50.76</v>
      </c>
      <c r="C18">
        <v>-9.0000000000003411E-2</v>
      </c>
      <c r="E18" t="s">
        <v>11768</v>
      </c>
      <c r="F18" t="s">
        <v>11771</v>
      </c>
      <c r="I18">
        <v>50.76</v>
      </c>
    </row>
    <row r="19" spans="1:9">
      <c r="A19" t="s">
        <v>391</v>
      </c>
      <c r="B19">
        <v>50.61</v>
      </c>
      <c r="C19">
        <v>-0.14999999999999858</v>
      </c>
      <c r="E19" t="s">
        <v>11768</v>
      </c>
      <c r="F19" t="s">
        <v>11771</v>
      </c>
      <c r="I19">
        <v>50.61</v>
      </c>
    </row>
    <row r="20" spans="1:9">
      <c r="A20" t="s">
        <v>401</v>
      </c>
      <c r="B20">
        <v>50.46</v>
      </c>
      <c r="C20">
        <v>-0.14999999999999858</v>
      </c>
      <c r="E20" t="s">
        <v>11768</v>
      </c>
      <c r="F20" t="s">
        <v>11771</v>
      </c>
      <c r="I20">
        <v>50.46</v>
      </c>
    </row>
    <row r="21" spans="1:9">
      <c r="A21" t="s">
        <v>412</v>
      </c>
      <c r="B21">
        <v>50.34</v>
      </c>
      <c r="C21">
        <v>-0.11999999999999744</v>
      </c>
      <c r="E21" t="s">
        <v>11768</v>
      </c>
      <c r="F21" t="s">
        <v>11771</v>
      </c>
      <c r="I21">
        <v>50.34</v>
      </c>
    </row>
    <row r="22" spans="1:9">
      <c r="A22" t="s">
        <v>422</v>
      </c>
      <c r="B22">
        <v>50.37</v>
      </c>
      <c r="C22">
        <v>2.9999999999994031E-2</v>
      </c>
      <c r="E22" t="s">
        <v>11768</v>
      </c>
      <c r="F22" t="s">
        <v>11771</v>
      </c>
      <c r="I22">
        <v>50.37</v>
      </c>
    </row>
    <row r="23" spans="1:9">
      <c r="A23" t="s">
        <v>432</v>
      </c>
      <c r="B23">
        <v>50.31</v>
      </c>
      <c r="C23">
        <v>-5.9999999999995168E-2</v>
      </c>
      <c r="E23" t="s">
        <v>11768</v>
      </c>
      <c r="F23" t="s">
        <v>11771</v>
      </c>
      <c r="I23">
        <v>50.31</v>
      </c>
    </row>
    <row r="24" spans="1:9">
      <c r="A24" t="s">
        <v>441</v>
      </c>
      <c r="B24">
        <v>50.19</v>
      </c>
      <c r="C24">
        <v>-0.12000000000000455</v>
      </c>
      <c r="E24" t="s">
        <v>11768</v>
      </c>
      <c r="F24" t="s">
        <v>11771</v>
      </c>
      <c r="I24">
        <v>50.19</v>
      </c>
    </row>
    <row r="25" spans="1:9">
      <c r="A25" t="s">
        <v>452</v>
      </c>
      <c r="B25">
        <v>50.04</v>
      </c>
      <c r="C25">
        <v>-0.14999999999999858</v>
      </c>
      <c r="E25" t="s">
        <v>11768</v>
      </c>
      <c r="F25" t="s">
        <v>11771</v>
      </c>
      <c r="I25">
        <v>50.04</v>
      </c>
    </row>
    <row r="26" spans="1:9">
      <c r="A26" t="s">
        <v>461</v>
      </c>
      <c r="B26">
        <v>81.39</v>
      </c>
      <c r="C26">
        <v>31.35</v>
      </c>
      <c r="D26" t="s">
        <v>11764</v>
      </c>
      <c r="E26" t="s">
        <v>11769</v>
      </c>
      <c r="F26" t="s">
        <v>11771</v>
      </c>
      <c r="G26">
        <v>81.39</v>
      </c>
    </row>
    <row r="27" spans="1:9">
      <c r="A27" t="s">
        <v>473</v>
      </c>
      <c r="B27">
        <v>82.17</v>
      </c>
      <c r="C27">
        <v>0.78000000000000114</v>
      </c>
      <c r="E27" t="s">
        <v>11769</v>
      </c>
      <c r="F27" t="s">
        <v>11771</v>
      </c>
      <c r="G27">
        <v>82.17</v>
      </c>
    </row>
    <row r="28" spans="1:9">
      <c r="A28" t="s">
        <v>486</v>
      </c>
      <c r="B28">
        <v>83.04</v>
      </c>
      <c r="C28">
        <v>0.87000000000000455</v>
      </c>
      <c r="E28" t="s">
        <v>11769</v>
      </c>
      <c r="F28" t="s">
        <v>11771</v>
      </c>
      <c r="G28">
        <v>83.04</v>
      </c>
    </row>
    <row r="29" spans="1:9">
      <c r="A29" t="s">
        <v>498</v>
      </c>
      <c r="B29">
        <v>79.260000000000005</v>
      </c>
      <c r="C29">
        <v>-3.7800000000000011</v>
      </c>
      <c r="E29" t="s">
        <v>11769</v>
      </c>
      <c r="F29" t="s">
        <v>11771</v>
      </c>
      <c r="G29">
        <v>79.260000000000005</v>
      </c>
    </row>
    <row r="30" spans="1:9">
      <c r="A30" t="s">
        <v>509</v>
      </c>
      <c r="B30">
        <v>52.83</v>
      </c>
      <c r="C30">
        <v>-26.430000000000007</v>
      </c>
      <c r="D30" t="s">
        <v>11764</v>
      </c>
      <c r="E30" t="s">
        <v>11768</v>
      </c>
      <c r="F30" t="s">
        <v>11771</v>
      </c>
      <c r="I30">
        <v>52.83</v>
      </c>
    </row>
    <row r="31" spans="1:9">
      <c r="A31" t="s">
        <v>519</v>
      </c>
      <c r="B31">
        <v>52.71</v>
      </c>
      <c r="C31">
        <v>-0.11999999999999744</v>
      </c>
      <c r="E31" t="s">
        <v>11768</v>
      </c>
      <c r="F31" t="s">
        <v>11771</v>
      </c>
      <c r="I31">
        <v>52.71</v>
      </c>
    </row>
    <row r="32" spans="1:9">
      <c r="A32" t="s">
        <v>528</v>
      </c>
      <c r="B32">
        <v>52.53</v>
      </c>
      <c r="C32">
        <v>-0.17999999999999972</v>
      </c>
      <c r="E32" t="s">
        <v>11768</v>
      </c>
      <c r="F32" t="s">
        <v>11771</v>
      </c>
      <c r="I32">
        <v>52.53</v>
      </c>
    </row>
    <row r="33" spans="1:10">
      <c r="A33" t="s">
        <v>538</v>
      </c>
      <c r="B33">
        <v>52.47</v>
      </c>
      <c r="C33">
        <v>-6.0000000000002274E-2</v>
      </c>
      <c r="E33" t="s">
        <v>11768</v>
      </c>
      <c r="F33" t="s">
        <v>11771</v>
      </c>
      <c r="I33">
        <v>52.47</v>
      </c>
    </row>
    <row r="34" spans="1:10">
      <c r="A34" t="s">
        <v>547</v>
      </c>
      <c r="B34">
        <v>52.41</v>
      </c>
      <c r="C34">
        <v>-6.0000000000002274E-2</v>
      </c>
      <c r="E34" t="s">
        <v>11768</v>
      </c>
      <c r="F34" t="s">
        <v>11771</v>
      </c>
      <c r="I34">
        <v>52.41</v>
      </c>
    </row>
    <row r="35" spans="1:10">
      <c r="A35" t="s">
        <v>555</v>
      </c>
      <c r="B35">
        <v>52.17</v>
      </c>
      <c r="C35">
        <v>-0.23999999999999488</v>
      </c>
      <c r="E35" t="s">
        <v>11768</v>
      </c>
      <c r="F35" t="s">
        <v>11771</v>
      </c>
      <c r="I35">
        <v>52.17</v>
      </c>
    </row>
    <row r="36" spans="1:10">
      <c r="A36" t="s">
        <v>565</v>
      </c>
      <c r="B36">
        <v>51.99</v>
      </c>
      <c r="C36">
        <v>-0.17999999999999972</v>
      </c>
      <c r="E36" t="s">
        <v>11768</v>
      </c>
      <c r="F36" t="s">
        <v>11771</v>
      </c>
      <c r="I36">
        <v>51.99</v>
      </c>
    </row>
    <row r="37" spans="1:10">
      <c r="A37" t="s">
        <v>575</v>
      </c>
      <c r="B37">
        <v>51.93</v>
      </c>
      <c r="C37">
        <v>-6.0000000000002274E-2</v>
      </c>
      <c r="E37" t="s">
        <v>11768</v>
      </c>
      <c r="F37" t="s">
        <v>11771</v>
      </c>
      <c r="I37">
        <v>51.93</v>
      </c>
    </row>
    <row r="38" spans="1:10">
      <c r="A38" t="s">
        <v>583</v>
      </c>
      <c r="B38">
        <v>51.93</v>
      </c>
      <c r="C38">
        <v>0</v>
      </c>
      <c r="E38" t="s">
        <v>11768</v>
      </c>
      <c r="F38" t="s">
        <v>11770</v>
      </c>
      <c r="J38">
        <v>51.93</v>
      </c>
    </row>
    <row r="39" spans="1:10">
      <c r="A39" t="s">
        <v>589</v>
      </c>
      <c r="B39">
        <v>51.69</v>
      </c>
      <c r="C39">
        <v>-0.24000000000000199</v>
      </c>
      <c r="E39" t="s">
        <v>11768</v>
      </c>
      <c r="F39" t="s">
        <v>11771</v>
      </c>
      <c r="I39">
        <v>51.69</v>
      </c>
    </row>
    <row r="40" spans="1:10">
      <c r="A40" t="s">
        <v>596</v>
      </c>
      <c r="B40">
        <v>51.63</v>
      </c>
      <c r="C40">
        <v>-5.9999999999995168E-2</v>
      </c>
      <c r="E40" t="s">
        <v>11768</v>
      </c>
      <c r="F40" t="s">
        <v>11771</v>
      </c>
      <c r="I40">
        <v>51.63</v>
      </c>
    </row>
    <row r="41" spans="1:10">
      <c r="A41" t="s">
        <v>605</v>
      </c>
      <c r="B41">
        <v>51.6</v>
      </c>
      <c r="C41">
        <v>-3.0000000000001137E-2</v>
      </c>
      <c r="E41" t="s">
        <v>11768</v>
      </c>
      <c r="F41" t="s">
        <v>11771</v>
      </c>
      <c r="I41">
        <v>51.6</v>
      </c>
    </row>
    <row r="42" spans="1:10">
      <c r="A42" t="s">
        <v>613</v>
      </c>
      <c r="B42">
        <v>51.45</v>
      </c>
      <c r="C42">
        <v>-0.14999999999999858</v>
      </c>
      <c r="E42" t="s">
        <v>11768</v>
      </c>
      <c r="F42" t="s">
        <v>11771</v>
      </c>
      <c r="I42">
        <v>51.45</v>
      </c>
    </row>
    <row r="43" spans="1:10">
      <c r="A43" t="s">
        <v>624</v>
      </c>
      <c r="B43">
        <v>51.39</v>
      </c>
      <c r="C43">
        <v>-6.0000000000002274E-2</v>
      </c>
      <c r="E43" t="s">
        <v>11768</v>
      </c>
      <c r="F43" t="s">
        <v>11771</v>
      </c>
      <c r="I43">
        <v>51.39</v>
      </c>
    </row>
    <row r="44" spans="1:10">
      <c r="A44" t="s">
        <v>630</v>
      </c>
      <c r="B44">
        <v>51.24</v>
      </c>
      <c r="C44">
        <v>-0.14999999999999858</v>
      </c>
      <c r="E44" t="s">
        <v>11768</v>
      </c>
      <c r="F44" t="s">
        <v>11771</v>
      </c>
      <c r="I44">
        <v>51.24</v>
      </c>
    </row>
    <row r="45" spans="1:10">
      <c r="A45" t="s">
        <v>638</v>
      </c>
      <c r="B45">
        <v>51.18</v>
      </c>
      <c r="C45">
        <v>-6.0000000000002274E-2</v>
      </c>
      <c r="E45" t="s">
        <v>11768</v>
      </c>
      <c r="F45" t="s">
        <v>11771</v>
      </c>
      <c r="I45">
        <v>51.18</v>
      </c>
    </row>
    <row r="46" spans="1:10">
      <c r="A46" t="s">
        <v>644</v>
      </c>
      <c r="B46">
        <v>51.06</v>
      </c>
      <c r="C46">
        <v>-0.11999999999999744</v>
      </c>
      <c r="E46" t="s">
        <v>11768</v>
      </c>
      <c r="F46" t="s">
        <v>11771</v>
      </c>
      <c r="I46">
        <v>51.06</v>
      </c>
    </row>
    <row r="47" spans="1:10">
      <c r="A47" t="s">
        <v>655</v>
      </c>
      <c r="B47">
        <v>50.94</v>
      </c>
      <c r="C47">
        <v>-0.12000000000000455</v>
      </c>
      <c r="E47" t="s">
        <v>11768</v>
      </c>
      <c r="F47" t="s">
        <v>11771</v>
      </c>
      <c r="I47">
        <v>50.94</v>
      </c>
    </row>
    <row r="48" spans="1:10">
      <c r="A48" t="s">
        <v>661</v>
      </c>
      <c r="B48">
        <v>50.88</v>
      </c>
      <c r="C48">
        <v>-5.9999999999995168E-2</v>
      </c>
      <c r="E48" t="s">
        <v>11768</v>
      </c>
      <c r="F48" t="s">
        <v>11771</v>
      </c>
      <c r="I48">
        <v>50.88</v>
      </c>
    </row>
    <row r="49" spans="1:10">
      <c r="A49" t="s">
        <v>670</v>
      </c>
      <c r="B49">
        <v>50.79</v>
      </c>
      <c r="C49">
        <v>-9.0000000000003411E-2</v>
      </c>
      <c r="E49" t="s">
        <v>11768</v>
      </c>
      <c r="F49" t="s">
        <v>11771</v>
      </c>
      <c r="I49">
        <v>50.79</v>
      </c>
    </row>
    <row r="50" spans="1:10">
      <c r="A50" t="s">
        <v>678</v>
      </c>
      <c r="B50">
        <v>50.7</v>
      </c>
      <c r="C50">
        <v>-8.9999999999996305E-2</v>
      </c>
      <c r="E50" t="s">
        <v>11768</v>
      </c>
      <c r="F50" t="s">
        <v>11771</v>
      </c>
      <c r="I50">
        <v>50.7</v>
      </c>
    </row>
    <row r="51" spans="1:10">
      <c r="A51" t="s">
        <v>688</v>
      </c>
      <c r="B51">
        <v>50.58</v>
      </c>
      <c r="C51">
        <v>-0.12000000000000455</v>
      </c>
      <c r="E51" t="s">
        <v>11768</v>
      </c>
      <c r="F51" t="s">
        <v>11771</v>
      </c>
      <c r="I51">
        <v>50.58</v>
      </c>
    </row>
    <row r="52" spans="1:10">
      <c r="A52" t="s">
        <v>695</v>
      </c>
      <c r="B52">
        <v>50.52</v>
      </c>
      <c r="C52">
        <v>-5.9999999999995168E-2</v>
      </c>
      <c r="E52" t="s">
        <v>11768</v>
      </c>
      <c r="F52" t="s">
        <v>11771</v>
      </c>
      <c r="I52">
        <v>50.52</v>
      </c>
    </row>
    <row r="53" spans="1:10">
      <c r="A53" t="s">
        <v>704</v>
      </c>
      <c r="B53">
        <v>50.46</v>
      </c>
      <c r="C53">
        <v>-6.0000000000002274E-2</v>
      </c>
      <c r="E53" t="s">
        <v>11768</v>
      </c>
      <c r="F53" t="s">
        <v>11771</v>
      </c>
      <c r="I53">
        <v>50.46</v>
      </c>
    </row>
    <row r="54" spans="1:10">
      <c r="A54" t="s">
        <v>711</v>
      </c>
      <c r="B54">
        <v>50.34</v>
      </c>
      <c r="C54">
        <v>-0.11999999999999744</v>
      </c>
      <c r="E54" t="s">
        <v>11768</v>
      </c>
      <c r="F54" t="s">
        <v>11771</v>
      </c>
      <c r="I54">
        <v>50.34</v>
      </c>
    </row>
    <row r="55" spans="1:10">
      <c r="A55" t="s">
        <v>717</v>
      </c>
      <c r="B55">
        <v>50.16</v>
      </c>
      <c r="C55">
        <v>-0.18000000000000682</v>
      </c>
      <c r="E55" t="s">
        <v>11768</v>
      </c>
      <c r="F55" t="s">
        <v>11771</v>
      </c>
      <c r="I55">
        <v>50.16</v>
      </c>
    </row>
    <row r="56" spans="1:10">
      <c r="A56" t="s">
        <v>726</v>
      </c>
      <c r="B56">
        <v>50.16</v>
      </c>
      <c r="C56">
        <v>0</v>
      </c>
      <c r="E56" t="s">
        <v>11768</v>
      </c>
      <c r="F56" t="s">
        <v>11770</v>
      </c>
      <c r="J56">
        <v>50.16</v>
      </c>
    </row>
    <row r="57" spans="1:10">
      <c r="A57" t="s">
        <v>734</v>
      </c>
      <c r="B57">
        <v>80.459999999999994</v>
      </c>
      <c r="C57">
        <v>30.299999999999997</v>
      </c>
      <c r="D57" t="s">
        <v>11764</v>
      </c>
      <c r="E57" t="s">
        <v>11769</v>
      </c>
      <c r="F57" t="s">
        <v>11771</v>
      </c>
      <c r="G57">
        <v>80.459999999999994</v>
      </c>
    </row>
    <row r="58" spans="1:10">
      <c r="A58" t="s">
        <v>746</v>
      </c>
      <c r="B58">
        <v>81.45</v>
      </c>
      <c r="C58">
        <v>0.99000000000000909</v>
      </c>
      <c r="E58" t="s">
        <v>11769</v>
      </c>
      <c r="F58" t="s">
        <v>11771</v>
      </c>
      <c r="G58">
        <v>81.45</v>
      </c>
    </row>
    <row r="59" spans="1:10">
      <c r="A59" t="s">
        <v>755</v>
      </c>
      <c r="B59">
        <v>82.56</v>
      </c>
      <c r="C59">
        <v>1.1099999999999994</v>
      </c>
      <c r="E59" t="s">
        <v>11769</v>
      </c>
      <c r="F59" t="s">
        <v>11771</v>
      </c>
      <c r="G59">
        <v>82.56</v>
      </c>
    </row>
    <row r="60" spans="1:10">
      <c r="A60" t="s">
        <v>765</v>
      </c>
      <c r="B60">
        <v>83.01</v>
      </c>
      <c r="C60">
        <v>0.45000000000000284</v>
      </c>
      <c r="E60" t="s">
        <v>11769</v>
      </c>
      <c r="F60" t="s">
        <v>11771</v>
      </c>
      <c r="G60">
        <v>83.01</v>
      </c>
    </row>
    <row r="61" spans="1:10">
      <c r="A61" t="s">
        <v>775</v>
      </c>
      <c r="B61">
        <v>53.01</v>
      </c>
      <c r="C61">
        <v>-30.000000000000007</v>
      </c>
      <c r="D61" t="s">
        <v>11764</v>
      </c>
      <c r="E61" t="s">
        <v>11768</v>
      </c>
      <c r="F61" t="s">
        <v>11771</v>
      </c>
      <c r="I61">
        <v>53.01</v>
      </c>
    </row>
    <row r="62" spans="1:10">
      <c r="A62" t="s">
        <v>785</v>
      </c>
      <c r="B62">
        <v>52.71</v>
      </c>
      <c r="C62">
        <v>-0.29999999999999716</v>
      </c>
      <c r="E62" t="s">
        <v>11768</v>
      </c>
      <c r="F62" t="s">
        <v>11771</v>
      </c>
      <c r="I62">
        <v>52.71</v>
      </c>
    </row>
    <row r="63" spans="1:10">
      <c r="A63" t="s">
        <v>791</v>
      </c>
      <c r="B63">
        <v>52.56</v>
      </c>
      <c r="C63">
        <v>-0.14999999999999858</v>
      </c>
      <c r="E63" t="s">
        <v>11768</v>
      </c>
      <c r="F63" t="s">
        <v>11771</v>
      </c>
      <c r="I63">
        <v>52.56</v>
      </c>
    </row>
    <row r="64" spans="1:10">
      <c r="A64" t="s">
        <v>797</v>
      </c>
      <c r="B64">
        <v>52.41</v>
      </c>
      <c r="C64">
        <v>-0.15000000000000568</v>
      </c>
      <c r="E64" t="s">
        <v>11768</v>
      </c>
      <c r="F64" t="s">
        <v>11771</v>
      </c>
      <c r="I64">
        <v>52.41</v>
      </c>
    </row>
    <row r="65" spans="1:10">
      <c r="A65" t="s">
        <v>803</v>
      </c>
      <c r="B65">
        <v>52.2</v>
      </c>
      <c r="C65">
        <v>-0.20999999999999375</v>
      </c>
      <c r="E65" t="s">
        <v>11768</v>
      </c>
      <c r="F65" t="s">
        <v>11771</v>
      </c>
      <c r="I65">
        <v>52.2</v>
      </c>
    </row>
    <row r="66" spans="1:10">
      <c r="A66" t="s">
        <v>811</v>
      </c>
      <c r="B66">
        <v>52.23</v>
      </c>
      <c r="C66">
        <v>2.9999999999994031E-2</v>
      </c>
      <c r="E66" t="s">
        <v>11768</v>
      </c>
      <c r="F66" t="s">
        <v>11771</v>
      </c>
      <c r="I66">
        <v>52.23</v>
      </c>
    </row>
    <row r="67" spans="1:10">
      <c r="A67" t="s">
        <v>821</v>
      </c>
      <c r="B67">
        <v>52.05</v>
      </c>
      <c r="C67">
        <v>-0.17999999999999972</v>
      </c>
      <c r="E67" t="s">
        <v>11768</v>
      </c>
      <c r="F67" t="s">
        <v>11771</v>
      </c>
      <c r="I67">
        <v>52.05</v>
      </c>
    </row>
    <row r="68" spans="1:10">
      <c r="A68" t="s">
        <v>829</v>
      </c>
      <c r="B68">
        <v>52.05</v>
      </c>
      <c r="C68">
        <v>0</v>
      </c>
      <c r="E68" t="s">
        <v>11768</v>
      </c>
      <c r="F68" t="s">
        <v>11770</v>
      </c>
      <c r="J68">
        <v>52.05</v>
      </c>
    </row>
    <row r="69" spans="1:10">
      <c r="A69" t="s">
        <v>834</v>
      </c>
      <c r="B69">
        <v>51.81</v>
      </c>
      <c r="C69">
        <v>-0.23999999999999488</v>
      </c>
      <c r="E69" t="s">
        <v>11768</v>
      </c>
      <c r="F69" t="s">
        <v>11771</v>
      </c>
      <c r="I69">
        <v>51.81</v>
      </c>
    </row>
    <row r="70" spans="1:10">
      <c r="A70" t="s">
        <v>842</v>
      </c>
      <c r="B70">
        <v>51.69</v>
      </c>
      <c r="C70">
        <v>-0.12000000000000455</v>
      </c>
      <c r="E70" t="s">
        <v>11768</v>
      </c>
      <c r="F70" t="s">
        <v>11771</v>
      </c>
      <c r="I70">
        <v>51.69</v>
      </c>
    </row>
    <row r="71" spans="1:10">
      <c r="A71" t="s">
        <v>847</v>
      </c>
      <c r="B71">
        <v>51.66</v>
      </c>
      <c r="C71">
        <v>-3.0000000000001137E-2</v>
      </c>
      <c r="E71" t="s">
        <v>11768</v>
      </c>
      <c r="F71" t="s">
        <v>11771</v>
      </c>
      <c r="I71">
        <v>51.66</v>
      </c>
    </row>
    <row r="72" spans="1:10">
      <c r="A72" t="s">
        <v>854</v>
      </c>
      <c r="B72">
        <v>51.57</v>
      </c>
      <c r="C72">
        <v>-8.9999999999996305E-2</v>
      </c>
      <c r="E72" t="s">
        <v>11768</v>
      </c>
      <c r="F72" t="s">
        <v>11771</v>
      </c>
      <c r="I72">
        <v>51.57</v>
      </c>
    </row>
    <row r="73" spans="1:10">
      <c r="A73" t="s">
        <v>861</v>
      </c>
      <c r="B73">
        <v>51.54</v>
      </c>
      <c r="C73">
        <v>-3.0000000000001137E-2</v>
      </c>
      <c r="E73" t="s">
        <v>11768</v>
      </c>
      <c r="F73" t="s">
        <v>11771</v>
      </c>
      <c r="I73">
        <v>51.54</v>
      </c>
    </row>
    <row r="74" spans="1:10">
      <c r="A74" t="s">
        <v>867</v>
      </c>
      <c r="B74">
        <v>51.36</v>
      </c>
      <c r="C74">
        <v>-0.17999999999999972</v>
      </c>
      <c r="E74" t="s">
        <v>11768</v>
      </c>
      <c r="F74" t="s">
        <v>11771</v>
      </c>
      <c r="I74">
        <v>51.36</v>
      </c>
    </row>
    <row r="75" spans="1:10">
      <c r="A75" t="s">
        <v>874</v>
      </c>
      <c r="B75">
        <v>51.24</v>
      </c>
      <c r="C75">
        <v>-0.11999999999999744</v>
      </c>
      <c r="E75" t="s">
        <v>11768</v>
      </c>
      <c r="F75" t="s">
        <v>11771</v>
      </c>
      <c r="I75">
        <v>51.24</v>
      </c>
    </row>
    <row r="76" spans="1:10">
      <c r="A76" t="s">
        <v>880</v>
      </c>
      <c r="B76">
        <v>51.12</v>
      </c>
      <c r="C76">
        <v>-0.12000000000000455</v>
      </c>
      <c r="E76" t="s">
        <v>11768</v>
      </c>
      <c r="F76" t="s">
        <v>11771</v>
      </c>
      <c r="I76">
        <v>51.12</v>
      </c>
    </row>
    <row r="77" spans="1:10">
      <c r="A77" t="s">
        <v>886</v>
      </c>
      <c r="B77">
        <v>51.03</v>
      </c>
      <c r="C77">
        <v>-8.9999999999996305E-2</v>
      </c>
      <c r="E77" t="s">
        <v>11768</v>
      </c>
      <c r="F77" t="s">
        <v>11771</v>
      </c>
      <c r="I77">
        <v>51.03</v>
      </c>
    </row>
    <row r="78" spans="1:10">
      <c r="A78" t="s">
        <v>892</v>
      </c>
      <c r="B78">
        <v>51.03</v>
      </c>
      <c r="C78">
        <v>0</v>
      </c>
      <c r="E78" t="s">
        <v>11768</v>
      </c>
      <c r="F78" t="s">
        <v>11770</v>
      </c>
      <c r="J78">
        <v>51.03</v>
      </c>
    </row>
    <row r="79" spans="1:10">
      <c r="A79" t="s">
        <v>896</v>
      </c>
      <c r="B79">
        <v>50.88</v>
      </c>
      <c r="C79">
        <v>-0.14999999999999858</v>
      </c>
      <c r="E79" t="s">
        <v>11768</v>
      </c>
      <c r="F79" t="s">
        <v>11771</v>
      </c>
      <c r="I79">
        <v>50.88</v>
      </c>
    </row>
    <row r="80" spans="1:10">
      <c r="A80" t="s">
        <v>903</v>
      </c>
      <c r="B80">
        <v>50.7</v>
      </c>
      <c r="C80">
        <v>-0.17999999999999972</v>
      </c>
      <c r="E80" t="s">
        <v>11768</v>
      </c>
      <c r="F80" t="s">
        <v>11771</v>
      </c>
      <c r="I80">
        <v>50.7</v>
      </c>
    </row>
    <row r="81" spans="1:9">
      <c r="A81" t="s">
        <v>908</v>
      </c>
      <c r="B81">
        <v>50.64</v>
      </c>
      <c r="C81">
        <v>-6.0000000000002274E-2</v>
      </c>
      <c r="E81" t="s">
        <v>11768</v>
      </c>
      <c r="F81" t="s">
        <v>11771</v>
      </c>
      <c r="I81">
        <v>50.64</v>
      </c>
    </row>
    <row r="82" spans="1:9">
      <c r="A82" t="s">
        <v>916</v>
      </c>
      <c r="B82">
        <v>50.52</v>
      </c>
      <c r="C82">
        <v>-0.11999999999999744</v>
      </c>
      <c r="E82" t="s">
        <v>11768</v>
      </c>
      <c r="F82" t="s">
        <v>11771</v>
      </c>
      <c r="I82">
        <v>50.52</v>
      </c>
    </row>
    <row r="83" spans="1:9">
      <c r="A83" t="s">
        <v>923</v>
      </c>
      <c r="B83">
        <v>50.46</v>
      </c>
      <c r="C83">
        <v>-6.0000000000002274E-2</v>
      </c>
      <c r="E83" t="s">
        <v>11768</v>
      </c>
      <c r="F83" t="s">
        <v>11771</v>
      </c>
      <c r="I83">
        <v>50.46</v>
      </c>
    </row>
    <row r="84" spans="1:9">
      <c r="A84" t="s">
        <v>930</v>
      </c>
      <c r="B84">
        <v>50.43</v>
      </c>
      <c r="C84">
        <v>-3.0000000000001137E-2</v>
      </c>
      <c r="E84" t="s">
        <v>11768</v>
      </c>
      <c r="F84" t="s">
        <v>11771</v>
      </c>
      <c r="I84">
        <v>50.43</v>
      </c>
    </row>
    <row r="85" spans="1:9">
      <c r="A85" t="s">
        <v>936</v>
      </c>
      <c r="B85">
        <v>50.28</v>
      </c>
      <c r="C85">
        <v>-0.14999999999999858</v>
      </c>
      <c r="E85" t="s">
        <v>11768</v>
      </c>
      <c r="F85" t="s">
        <v>11771</v>
      </c>
      <c r="I85">
        <v>50.28</v>
      </c>
    </row>
    <row r="86" spans="1:9">
      <c r="A86" t="s">
        <v>944</v>
      </c>
      <c r="B86">
        <v>50.13</v>
      </c>
      <c r="C86">
        <v>-0.14999999999999858</v>
      </c>
      <c r="E86" t="s">
        <v>11768</v>
      </c>
      <c r="F86" t="s">
        <v>11771</v>
      </c>
      <c r="I86">
        <v>50.13</v>
      </c>
    </row>
    <row r="87" spans="1:9">
      <c r="A87" t="s">
        <v>951</v>
      </c>
      <c r="B87">
        <v>50.19</v>
      </c>
      <c r="C87">
        <v>5.9999999999995168E-2</v>
      </c>
      <c r="E87" t="s">
        <v>11768</v>
      </c>
      <c r="F87" t="s">
        <v>11771</v>
      </c>
      <c r="I87">
        <v>50.19</v>
      </c>
    </row>
    <row r="88" spans="1:9">
      <c r="A88" t="s">
        <v>958</v>
      </c>
      <c r="B88">
        <v>80.58</v>
      </c>
      <c r="C88">
        <v>30.39</v>
      </c>
      <c r="D88" t="s">
        <v>11764</v>
      </c>
      <c r="E88" t="s">
        <v>11769</v>
      </c>
      <c r="F88" t="s">
        <v>11771</v>
      </c>
      <c r="G88">
        <v>80.58</v>
      </c>
    </row>
    <row r="89" spans="1:9">
      <c r="A89" t="s">
        <v>968</v>
      </c>
      <c r="B89">
        <v>81.66</v>
      </c>
      <c r="C89">
        <v>1.0799999999999983</v>
      </c>
      <c r="E89" t="s">
        <v>11769</v>
      </c>
      <c r="F89" t="s">
        <v>11771</v>
      </c>
      <c r="G89">
        <v>81.66</v>
      </c>
    </row>
    <row r="90" spans="1:9">
      <c r="A90" t="s">
        <v>979</v>
      </c>
      <c r="B90">
        <v>82.71</v>
      </c>
      <c r="C90">
        <v>1.0499999999999972</v>
      </c>
      <c r="E90" t="s">
        <v>11769</v>
      </c>
      <c r="F90" t="s">
        <v>11771</v>
      </c>
      <c r="G90">
        <v>82.71</v>
      </c>
    </row>
    <row r="91" spans="1:9">
      <c r="A91" t="s">
        <v>989</v>
      </c>
      <c r="B91">
        <v>83.13</v>
      </c>
      <c r="C91">
        <v>0.42000000000000171</v>
      </c>
      <c r="E91" t="s">
        <v>11769</v>
      </c>
      <c r="F91" t="s">
        <v>11771</v>
      </c>
      <c r="G91">
        <v>83.13</v>
      </c>
    </row>
    <row r="92" spans="1:9">
      <c r="A92" t="s">
        <v>998</v>
      </c>
      <c r="B92">
        <v>53.25</v>
      </c>
      <c r="C92">
        <v>-29.879999999999995</v>
      </c>
      <c r="D92" t="s">
        <v>11764</v>
      </c>
      <c r="E92" t="s">
        <v>11768</v>
      </c>
      <c r="F92" t="s">
        <v>11771</v>
      </c>
      <c r="I92">
        <v>53.25</v>
      </c>
    </row>
    <row r="93" spans="1:9">
      <c r="A93" t="s">
        <v>1007</v>
      </c>
      <c r="B93">
        <v>52.77</v>
      </c>
      <c r="C93">
        <v>-0.47999999999999687</v>
      </c>
      <c r="E93" t="s">
        <v>11768</v>
      </c>
      <c r="F93" t="s">
        <v>11771</v>
      </c>
      <c r="I93">
        <v>52.77</v>
      </c>
    </row>
    <row r="94" spans="1:9">
      <c r="A94" t="s">
        <v>1016</v>
      </c>
      <c r="B94">
        <v>52.68</v>
      </c>
      <c r="C94">
        <v>-9.0000000000003411E-2</v>
      </c>
      <c r="E94" t="s">
        <v>11768</v>
      </c>
      <c r="F94" t="s">
        <v>11771</v>
      </c>
      <c r="I94">
        <v>52.68</v>
      </c>
    </row>
    <row r="95" spans="1:9">
      <c r="A95" t="s">
        <v>1024</v>
      </c>
      <c r="B95">
        <v>52.53</v>
      </c>
      <c r="C95">
        <v>-0.14999999999999858</v>
      </c>
      <c r="E95" t="s">
        <v>11768</v>
      </c>
      <c r="F95" t="s">
        <v>11771</v>
      </c>
      <c r="I95">
        <v>52.53</v>
      </c>
    </row>
    <row r="96" spans="1:9">
      <c r="A96" t="s">
        <v>1030</v>
      </c>
      <c r="B96">
        <v>52.29</v>
      </c>
      <c r="C96">
        <v>-0.24000000000000199</v>
      </c>
      <c r="E96" t="s">
        <v>11768</v>
      </c>
      <c r="F96" t="s">
        <v>11771</v>
      </c>
      <c r="I96">
        <v>52.29</v>
      </c>
    </row>
    <row r="97" spans="1:9">
      <c r="A97" t="s">
        <v>1036</v>
      </c>
      <c r="B97">
        <v>52.23</v>
      </c>
      <c r="C97">
        <v>-6.0000000000002274E-2</v>
      </c>
      <c r="E97" t="s">
        <v>11768</v>
      </c>
      <c r="F97" t="s">
        <v>11771</v>
      </c>
      <c r="I97">
        <v>52.23</v>
      </c>
    </row>
    <row r="98" spans="1:9">
      <c r="A98" t="s">
        <v>1043</v>
      </c>
      <c r="B98">
        <v>52.05</v>
      </c>
      <c r="C98">
        <v>-0.17999999999999972</v>
      </c>
      <c r="E98" t="s">
        <v>11768</v>
      </c>
      <c r="F98" t="s">
        <v>11771</v>
      </c>
      <c r="I98">
        <v>52.05</v>
      </c>
    </row>
    <row r="99" spans="1:9">
      <c r="A99" t="s">
        <v>1048</v>
      </c>
      <c r="B99">
        <v>52.08</v>
      </c>
      <c r="C99">
        <v>3.0000000000001137E-2</v>
      </c>
      <c r="E99" t="s">
        <v>11768</v>
      </c>
      <c r="F99" t="s">
        <v>11771</v>
      </c>
      <c r="I99">
        <v>52.08</v>
      </c>
    </row>
    <row r="100" spans="1:9">
      <c r="A100" t="s">
        <v>1055</v>
      </c>
      <c r="B100">
        <v>51.9</v>
      </c>
      <c r="C100">
        <v>-0.17999999999999972</v>
      </c>
      <c r="E100" t="s">
        <v>11768</v>
      </c>
      <c r="F100" t="s">
        <v>11771</v>
      </c>
      <c r="I100">
        <v>51.9</v>
      </c>
    </row>
    <row r="101" spans="1:9">
      <c r="A101" t="s">
        <v>1061</v>
      </c>
      <c r="B101">
        <v>51.78</v>
      </c>
      <c r="C101">
        <v>-0.11999999999999744</v>
      </c>
      <c r="E101" t="s">
        <v>11768</v>
      </c>
      <c r="F101" t="s">
        <v>11771</v>
      </c>
      <c r="I101">
        <v>51.78</v>
      </c>
    </row>
    <row r="102" spans="1:9">
      <c r="A102" t="s">
        <v>1067</v>
      </c>
      <c r="B102">
        <v>51.69</v>
      </c>
      <c r="C102">
        <v>-9.0000000000003411E-2</v>
      </c>
      <c r="E102" t="s">
        <v>11768</v>
      </c>
      <c r="F102" t="s">
        <v>11771</v>
      </c>
      <c r="I102">
        <v>51.69</v>
      </c>
    </row>
    <row r="103" spans="1:9">
      <c r="A103" t="s">
        <v>1074</v>
      </c>
      <c r="B103">
        <v>51.6</v>
      </c>
      <c r="C103">
        <v>-8.9999999999996305E-2</v>
      </c>
      <c r="E103" t="s">
        <v>11768</v>
      </c>
      <c r="F103" t="s">
        <v>11771</v>
      </c>
      <c r="I103">
        <v>51.6</v>
      </c>
    </row>
    <row r="104" spans="1:9">
      <c r="A104" t="s">
        <v>1078</v>
      </c>
      <c r="B104">
        <v>51.51</v>
      </c>
      <c r="C104">
        <v>-9.0000000000003411E-2</v>
      </c>
      <c r="E104" t="s">
        <v>11768</v>
      </c>
      <c r="F104" t="s">
        <v>11771</v>
      </c>
      <c r="I104">
        <v>51.51</v>
      </c>
    </row>
    <row r="105" spans="1:9">
      <c r="A105" t="s">
        <v>1086</v>
      </c>
      <c r="B105">
        <v>51.42</v>
      </c>
      <c r="C105">
        <v>-8.9999999999996305E-2</v>
      </c>
      <c r="E105" t="s">
        <v>11768</v>
      </c>
      <c r="F105" t="s">
        <v>11771</v>
      </c>
      <c r="I105">
        <v>51.42</v>
      </c>
    </row>
    <row r="106" spans="1:9">
      <c r="A106" t="s">
        <v>1091</v>
      </c>
      <c r="B106">
        <v>51.36</v>
      </c>
      <c r="C106">
        <v>-6.0000000000002274E-2</v>
      </c>
      <c r="E106" t="s">
        <v>11768</v>
      </c>
      <c r="F106" t="s">
        <v>11771</v>
      </c>
      <c r="I106">
        <v>51.36</v>
      </c>
    </row>
    <row r="107" spans="1:9">
      <c r="A107" t="s">
        <v>1096</v>
      </c>
      <c r="B107">
        <v>51.21</v>
      </c>
      <c r="C107">
        <v>-0.14999999999999858</v>
      </c>
      <c r="E107" t="s">
        <v>11768</v>
      </c>
      <c r="F107" t="s">
        <v>11771</v>
      </c>
      <c r="I107">
        <v>51.21</v>
      </c>
    </row>
    <row r="108" spans="1:9">
      <c r="A108" t="s">
        <v>1101</v>
      </c>
      <c r="B108">
        <v>51.18</v>
      </c>
      <c r="C108">
        <v>-3.0000000000001137E-2</v>
      </c>
      <c r="E108" t="s">
        <v>11768</v>
      </c>
      <c r="F108" t="s">
        <v>11771</v>
      </c>
      <c r="I108">
        <v>51.18</v>
      </c>
    </row>
    <row r="109" spans="1:9">
      <c r="A109" t="s">
        <v>1108</v>
      </c>
      <c r="B109">
        <v>51.15</v>
      </c>
      <c r="C109">
        <v>-3.0000000000001137E-2</v>
      </c>
      <c r="E109" t="s">
        <v>11768</v>
      </c>
      <c r="F109" t="s">
        <v>11771</v>
      </c>
      <c r="I109">
        <v>51.15</v>
      </c>
    </row>
    <row r="110" spans="1:9">
      <c r="A110" t="s">
        <v>1114</v>
      </c>
      <c r="B110">
        <v>50.94</v>
      </c>
      <c r="C110">
        <v>-0.21000000000000085</v>
      </c>
      <c r="E110" t="s">
        <v>11768</v>
      </c>
      <c r="F110" t="s">
        <v>11771</v>
      </c>
      <c r="I110">
        <v>50.94</v>
      </c>
    </row>
    <row r="111" spans="1:9">
      <c r="A111" t="s">
        <v>1120</v>
      </c>
      <c r="B111">
        <v>50.91</v>
      </c>
      <c r="C111">
        <v>-3.0000000000001137E-2</v>
      </c>
      <c r="E111" t="s">
        <v>11768</v>
      </c>
      <c r="F111" t="s">
        <v>11771</v>
      </c>
      <c r="I111">
        <v>50.91</v>
      </c>
    </row>
    <row r="112" spans="1:9">
      <c r="A112" t="s">
        <v>1126</v>
      </c>
      <c r="B112">
        <v>50.76</v>
      </c>
      <c r="C112">
        <v>-0.14999999999999858</v>
      </c>
      <c r="E112" t="s">
        <v>11768</v>
      </c>
      <c r="F112" t="s">
        <v>11771</v>
      </c>
      <c r="I112">
        <v>50.76</v>
      </c>
    </row>
    <row r="113" spans="1:10">
      <c r="A113" t="s">
        <v>1132</v>
      </c>
      <c r="B113">
        <v>50.67</v>
      </c>
      <c r="C113">
        <v>-8.9999999999996305E-2</v>
      </c>
      <c r="E113" t="s">
        <v>11768</v>
      </c>
      <c r="F113" t="s">
        <v>11771</v>
      </c>
      <c r="I113">
        <v>50.67</v>
      </c>
    </row>
    <row r="114" spans="1:10">
      <c r="A114" t="s">
        <v>1138</v>
      </c>
      <c r="B114">
        <v>50.49</v>
      </c>
      <c r="C114">
        <v>-0.17999999999999972</v>
      </c>
      <c r="E114" t="s">
        <v>11768</v>
      </c>
      <c r="F114" t="s">
        <v>11771</v>
      </c>
      <c r="I114">
        <v>50.49</v>
      </c>
    </row>
    <row r="115" spans="1:10">
      <c r="A115" t="s">
        <v>1145</v>
      </c>
      <c r="B115">
        <v>50.49</v>
      </c>
      <c r="C115">
        <v>0</v>
      </c>
      <c r="E115" t="s">
        <v>11768</v>
      </c>
      <c r="F115" t="s">
        <v>11770</v>
      </c>
      <c r="J115">
        <v>50.49</v>
      </c>
    </row>
    <row r="116" spans="1:10">
      <c r="A116" t="s">
        <v>1151</v>
      </c>
      <c r="B116">
        <v>50.52</v>
      </c>
      <c r="C116">
        <v>3.0000000000001137E-2</v>
      </c>
      <c r="E116" t="s">
        <v>11768</v>
      </c>
      <c r="F116" t="s">
        <v>11771</v>
      </c>
      <c r="I116">
        <v>50.52</v>
      </c>
    </row>
    <row r="117" spans="1:10">
      <c r="A117" t="s">
        <v>1155</v>
      </c>
      <c r="B117">
        <v>50.25</v>
      </c>
      <c r="C117">
        <v>-0.27000000000000313</v>
      </c>
      <c r="E117" t="s">
        <v>11768</v>
      </c>
      <c r="F117" t="s">
        <v>11771</v>
      </c>
      <c r="I117">
        <v>50.25</v>
      </c>
    </row>
    <row r="118" spans="1:10">
      <c r="A118" t="s">
        <v>1163</v>
      </c>
      <c r="B118">
        <v>50.22</v>
      </c>
      <c r="C118">
        <v>-3.0000000000001137E-2</v>
      </c>
      <c r="E118" t="s">
        <v>11768</v>
      </c>
      <c r="F118" t="s">
        <v>11771</v>
      </c>
      <c r="I118">
        <v>50.22</v>
      </c>
    </row>
    <row r="119" spans="1:10">
      <c r="A119" t="s">
        <v>1169</v>
      </c>
      <c r="B119">
        <v>50.13</v>
      </c>
      <c r="C119">
        <v>-8.9999999999996305E-2</v>
      </c>
      <c r="E119" t="s">
        <v>11768</v>
      </c>
      <c r="F119" t="s">
        <v>11771</v>
      </c>
      <c r="I119">
        <v>50.13</v>
      </c>
    </row>
    <row r="120" spans="1:10">
      <c r="A120" t="s">
        <v>1175</v>
      </c>
      <c r="B120">
        <v>63.72</v>
      </c>
      <c r="C120">
        <v>13.589999999999996</v>
      </c>
      <c r="E120" t="s">
        <v>11768</v>
      </c>
      <c r="F120" t="s">
        <v>11771</v>
      </c>
      <c r="I120">
        <v>63.72</v>
      </c>
    </row>
    <row r="121" spans="1:10">
      <c r="A121" t="s">
        <v>1186</v>
      </c>
      <c r="B121">
        <v>81.900000000000006</v>
      </c>
      <c r="C121">
        <v>18.180000000000007</v>
      </c>
      <c r="D121" t="s">
        <v>11764</v>
      </c>
      <c r="E121" t="s">
        <v>11769</v>
      </c>
      <c r="F121" t="s">
        <v>11771</v>
      </c>
      <c r="G121">
        <v>81.900000000000006</v>
      </c>
    </row>
    <row r="122" spans="1:10">
      <c r="A122" t="s">
        <v>1194</v>
      </c>
      <c r="B122">
        <v>82.5</v>
      </c>
      <c r="C122">
        <v>0.59999999999999432</v>
      </c>
      <c r="E122" t="s">
        <v>11769</v>
      </c>
      <c r="F122" t="s">
        <v>11771</v>
      </c>
      <c r="G122">
        <v>82.5</v>
      </c>
    </row>
    <row r="123" spans="1:10">
      <c r="A123" t="s">
        <v>1204</v>
      </c>
      <c r="B123">
        <v>83.04</v>
      </c>
      <c r="C123">
        <v>0.54000000000000625</v>
      </c>
      <c r="E123" t="s">
        <v>11769</v>
      </c>
      <c r="F123" t="s">
        <v>11771</v>
      </c>
      <c r="G123">
        <v>83.04</v>
      </c>
    </row>
    <row r="124" spans="1:10">
      <c r="A124" t="s">
        <v>1212</v>
      </c>
      <c r="B124">
        <v>53.01</v>
      </c>
      <c r="C124">
        <v>-30.030000000000008</v>
      </c>
      <c r="D124" t="s">
        <v>11764</v>
      </c>
      <c r="E124" t="s">
        <v>11768</v>
      </c>
      <c r="F124" t="s">
        <v>11771</v>
      </c>
      <c r="I124">
        <v>53.01</v>
      </c>
    </row>
    <row r="125" spans="1:10">
      <c r="A125" t="s">
        <v>1220</v>
      </c>
      <c r="B125">
        <v>52.71</v>
      </c>
      <c r="C125">
        <v>-0.29999999999999716</v>
      </c>
      <c r="E125" t="s">
        <v>11768</v>
      </c>
      <c r="F125" t="s">
        <v>11771</v>
      </c>
      <c r="I125">
        <v>52.71</v>
      </c>
    </row>
    <row r="126" spans="1:10">
      <c r="A126" t="s">
        <v>1224</v>
      </c>
      <c r="B126">
        <v>52.59</v>
      </c>
      <c r="C126">
        <v>-0.11999999999999744</v>
      </c>
      <c r="E126" t="s">
        <v>11768</v>
      </c>
      <c r="F126" t="s">
        <v>11771</v>
      </c>
      <c r="I126">
        <v>52.59</v>
      </c>
    </row>
    <row r="127" spans="1:10">
      <c r="A127" t="s">
        <v>1230</v>
      </c>
      <c r="B127">
        <v>52.5</v>
      </c>
      <c r="C127">
        <v>-9.0000000000003411E-2</v>
      </c>
      <c r="E127" t="s">
        <v>11768</v>
      </c>
      <c r="F127" t="s">
        <v>11771</v>
      </c>
      <c r="I127">
        <v>52.5</v>
      </c>
    </row>
    <row r="128" spans="1:10">
      <c r="A128" t="s">
        <v>1238</v>
      </c>
      <c r="B128">
        <v>52.32</v>
      </c>
      <c r="C128">
        <v>-0.17999999999999972</v>
      </c>
      <c r="E128" t="s">
        <v>11768</v>
      </c>
      <c r="F128" t="s">
        <v>11771</v>
      </c>
      <c r="I128">
        <v>52.32</v>
      </c>
    </row>
    <row r="129" spans="1:10">
      <c r="A129" t="s">
        <v>1244</v>
      </c>
      <c r="B129">
        <v>52.17</v>
      </c>
      <c r="C129">
        <v>-0.14999999999999858</v>
      </c>
      <c r="E129" t="s">
        <v>11768</v>
      </c>
      <c r="F129" t="s">
        <v>11771</v>
      </c>
      <c r="I129">
        <v>52.17</v>
      </c>
    </row>
    <row r="130" spans="1:10">
      <c r="A130" t="s">
        <v>1249</v>
      </c>
      <c r="B130">
        <v>52.11</v>
      </c>
      <c r="C130">
        <v>-6.0000000000002274E-2</v>
      </c>
      <c r="E130" t="s">
        <v>11768</v>
      </c>
      <c r="F130" t="s">
        <v>11771</v>
      </c>
      <c r="I130">
        <v>52.11</v>
      </c>
    </row>
    <row r="131" spans="1:10">
      <c r="A131" t="s">
        <v>1254</v>
      </c>
      <c r="B131">
        <v>52.05</v>
      </c>
      <c r="C131">
        <v>-6.0000000000002274E-2</v>
      </c>
      <c r="E131" t="s">
        <v>11768</v>
      </c>
      <c r="F131" t="s">
        <v>11771</v>
      </c>
      <c r="I131">
        <v>52.05</v>
      </c>
    </row>
    <row r="132" spans="1:10">
      <c r="A132" t="s">
        <v>1261</v>
      </c>
      <c r="B132">
        <v>51.75</v>
      </c>
      <c r="C132">
        <v>-0.29999999999999716</v>
      </c>
      <c r="E132" t="s">
        <v>11768</v>
      </c>
      <c r="F132" t="s">
        <v>11771</v>
      </c>
      <c r="I132">
        <v>51.75</v>
      </c>
    </row>
    <row r="133" spans="1:10">
      <c r="A133" t="s">
        <v>1268</v>
      </c>
      <c r="B133">
        <v>51.81</v>
      </c>
      <c r="C133">
        <v>6.0000000000002274E-2</v>
      </c>
      <c r="E133" t="s">
        <v>11768</v>
      </c>
      <c r="F133" t="s">
        <v>11771</v>
      </c>
      <c r="I133">
        <v>51.81</v>
      </c>
    </row>
    <row r="134" spans="1:10">
      <c r="A134" t="s">
        <v>1273</v>
      </c>
      <c r="B134">
        <v>51.66</v>
      </c>
      <c r="C134">
        <v>-0.15000000000000568</v>
      </c>
      <c r="E134" t="s">
        <v>11768</v>
      </c>
      <c r="F134" t="s">
        <v>11771</v>
      </c>
      <c r="I134">
        <v>51.66</v>
      </c>
    </row>
    <row r="135" spans="1:10">
      <c r="A135" t="s">
        <v>1278</v>
      </c>
      <c r="B135">
        <v>51.75</v>
      </c>
      <c r="C135">
        <v>9.0000000000003411E-2</v>
      </c>
      <c r="E135" t="s">
        <v>11768</v>
      </c>
      <c r="F135" t="s">
        <v>11771</v>
      </c>
      <c r="I135">
        <v>51.75</v>
      </c>
    </row>
    <row r="136" spans="1:10">
      <c r="A136" t="s">
        <v>1282</v>
      </c>
      <c r="B136">
        <v>51.42</v>
      </c>
      <c r="C136">
        <v>-0.32999999999999829</v>
      </c>
      <c r="E136" t="s">
        <v>11768</v>
      </c>
      <c r="F136" t="s">
        <v>11771</v>
      </c>
      <c r="I136">
        <v>51.42</v>
      </c>
    </row>
    <row r="137" spans="1:10">
      <c r="A137" t="s">
        <v>1286</v>
      </c>
      <c r="B137">
        <v>51.36</v>
      </c>
      <c r="C137">
        <v>-6.0000000000002274E-2</v>
      </c>
      <c r="E137" t="s">
        <v>11768</v>
      </c>
      <c r="F137" t="s">
        <v>11771</v>
      </c>
      <c r="I137">
        <v>51.36</v>
      </c>
    </row>
    <row r="138" spans="1:10">
      <c r="A138" t="s">
        <v>1290</v>
      </c>
      <c r="B138">
        <v>51.45</v>
      </c>
      <c r="C138">
        <v>9.0000000000003411E-2</v>
      </c>
      <c r="E138" t="s">
        <v>11768</v>
      </c>
      <c r="F138" t="s">
        <v>11771</v>
      </c>
      <c r="I138">
        <v>51.45</v>
      </c>
    </row>
    <row r="139" spans="1:10">
      <c r="A139" t="s">
        <v>1296</v>
      </c>
      <c r="B139">
        <v>50.61</v>
      </c>
      <c r="C139">
        <v>-0.84000000000000341</v>
      </c>
      <c r="E139" t="s">
        <v>11768</v>
      </c>
      <c r="F139" t="s">
        <v>11771</v>
      </c>
      <c r="I139">
        <v>50.61</v>
      </c>
    </row>
    <row r="140" spans="1:10">
      <c r="A140" t="s">
        <v>1302</v>
      </c>
      <c r="B140">
        <v>50.34</v>
      </c>
      <c r="C140">
        <v>-0.26999999999999602</v>
      </c>
      <c r="E140" t="s">
        <v>11768</v>
      </c>
      <c r="F140" t="s">
        <v>11771</v>
      </c>
      <c r="I140">
        <v>50.34</v>
      </c>
    </row>
    <row r="141" spans="1:10">
      <c r="A141" t="s">
        <v>1308</v>
      </c>
      <c r="B141">
        <v>50.34</v>
      </c>
      <c r="C141">
        <v>0</v>
      </c>
      <c r="E141" t="s">
        <v>11768</v>
      </c>
      <c r="F141" t="s">
        <v>11770</v>
      </c>
      <c r="J141">
        <v>50.34</v>
      </c>
    </row>
    <row r="142" spans="1:10">
      <c r="A142" t="s">
        <v>1313</v>
      </c>
      <c r="B142">
        <v>50.43</v>
      </c>
      <c r="C142">
        <v>8.9999999999996305E-2</v>
      </c>
      <c r="E142" t="s">
        <v>11768</v>
      </c>
      <c r="F142" t="s">
        <v>11771</v>
      </c>
      <c r="I142">
        <v>50.43</v>
      </c>
    </row>
    <row r="143" spans="1:10">
      <c r="A143" t="s">
        <v>1319</v>
      </c>
      <c r="B143">
        <v>50.37</v>
      </c>
      <c r="C143">
        <v>-6.0000000000002274E-2</v>
      </c>
      <c r="E143" t="s">
        <v>11768</v>
      </c>
      <c r="F143" t="s">
        <v>11771</v>
      </c>
      <c r="I143">
        <v>50.37</v>
      </c>
    </row>
    <row r="144" spans="1:10">
      <c r="A144" t="s">
        <v>1323</v>
      </c>
      <c r="B144">
        <v>50.34</v>
      </c>
      <c r="C144">
        <v>-2.9999999999994031E-2</v>
      </c>
      <c r="E144" t="s">
        <v>11768</v>
      </c>
      <c r="F144" t="s">
        <v>11771</v>
      </c>
      <c r="I144">
        <v>50.34</v>
      </c>
    </row>
    <row r="145" spans="1:10">
      <c r="A145" t="s">
        <v>1328</v>
      </c>
      <c r="B145">
        <v>50.31</v>
      </c>
      <c r="C145">
        <v>-3.0000000000001137E-2</v>
      </c>
      <c r="E145" t="s">
        <v>11768</v>
      </c>
      <c r="F145" t="s">
        <v>11771</v>
      </c>
      <c r="I145">
        <v>50.31</v>
      </c>
    </row>
    <row r="146" spans="1:10">
      <c r="A146" t="s">
        <v>1332</v>
      </c>
      <c r="B146">
        <v>50.19</v>
      </c>
      <c r="C146">
        <v>-0.12000000000000455</v>
      </c>
      <c r="E146" t="s">
        <v>11768</v>
      </c>
      <c r="F146" t="s">
        <v>11771</v>
      </c>
      <c r="I146">
        <v>50.19</v>
      </c>
    </row>
    <row r="147" spans="1:10">
      <c r="A147" t="s">
        <v>1337</v>
      </c>
      <c r="B147">
        <v>54.57</v>
      </c>
      <c r="C147">
        <v>4.3800000000000026</v>
      </c>
      <c r="E147" t="s">
        <v>11768</v>
      </c>
      <c r="F147" t="s">
        <v>11771</v>
      </c>
      <c r="I147">
        <v>54.57</v>
      </c>
    </row>
    <row r="148" spans="1:10">
      <c r="A148" t="s">
        <v>1347</v>
      </c>
      <c r="B148">
        <v>80.67</v>
      </c>
      <c r="C148">
        <v>26.1</v>
      </c>
      <c r="D148" t="s">
        <v>11764</v>
      </c>
      <c r="E148" t="s">
        <v>11769</v>
      </c>
      <c r="F148" t="s">
        <v>11771</v>
      </c>
      <c r="G148">
        <v>80.67</v>
      </c>
    </row>
    <row r="149" spans="1:10">
      <c r="A149" t="s">
        <v>1356</v>
      </c>
      <c r="B149">
        <v>82.26</v>
      </c>
      <c r="C149">
        <v>1.5900000000000034</v>
      </c>
      <c r="E149" t="s">
        <v>11769</v>
      </c>
      <c r="F149" t="s">
        <v>11771</v>
      </c>
      <c r="G149">
        <v>82.26</v>
      </c>
    </row>
    <row r="150" spans="1:10">
      <c r="A150" t="s">
        <v>1366</v>
      </c>
      <c r="B150">
        <v>83.19</v>
      </c>
      <c r="C150">
        <v>0.92999999999999261</v>
      </c>
      <c r="E150" t="s">
        <v>11769</v>
      </c>
      <c r="F150" t="s">
        <v>11771</v>
      </c>
      <c r="G150">
        <v>83.19</v>
      </c>
    </row>
    <row r="151" spans="1:10">
      <c r="A151" t="s">
        <v>1375</v>
      </c>
      <c r="B151">
        <v>70.44</v>
      </c>
      <c r="C151">
        <v>-12.75</v>
      </c>
      <c r="E151" t="s">
        <v>11769</v>
      </c>
      <c r="F151" t="s">
        <v>11771</v>
      </c>
      <c r="G151">
        <v>70.44</v>
      </c>
    </row>
    <row r="152" spans="1:10">
      <c r="A152" t="s">
        <v>1387</v>
      </c>
      <c r="B152">
        <v>52.89</v>
      </c>
      <c r="C152">
        <v>-17.549999999999997</v>
      </c>
      <c r="D152" t="s">
        <v>11764</v>
      </c>
      <c r="E152" t="s">
        <v>11768</v>
      </c>
      <c r="F152" t="s">
        <v>11771</v>
      </c>
      <c r="I152">
        <v>52.89</v>
      </c>
    </row>
    <row r="153" spans="1:10">
      <c r="A153" t="s">
        <v>1396</v>
      </c>
      <c r="B153">
        <v>52.77</v>
      </c>
      <c r="C153">
        <v>-0.11999999999999744</v>
      </c>
      <c r="E153" t="s">
        <v>11768</v>
      </c>
      <c r="F153" t="s">
        <v>11771</v>
      </c>
      <c r="I153">
        <v>52.77</v>
      </c>
    </row>
    <row r="154" spans="1:10">
      <c r="A154" t="s">
        <v>1403</v>
      </c>
      <c r="B154">
        <v>52.68</v>
      </c>
      <c r="C154">
        <v>-9.0000000000003411E-2</v>
      </c>
      <c r="E154" t="s">
        <v>11768</v>
      </c>
      <c r="F154" t="s">
        <v>11771</v>
      </c>
      <c r="I154">
        <v>52.68</v>
      </c>
    </row>
    <row r="155" spans="1:10">
      <c r="A155" t="s">
        <v>1410</v>
      </c>
      <c r="B155">
        <v>52.5</v>
      </c>
      <c r="C155">
        <v>-0.17999999999999972</v>
      </c>
      <c r="E155" t="s">
        <v>11768</v>
      </c>
      <c r="F155" t="s">
        <v>11771</v>
      </c>
      <c r="I155">
        <v>52.5</v>
      </c>
    </row>
    <row r="156" spans="1:10">
      <c r="A156" t="s">
        <v>1415</v>
      </c>
      <c r="B156">
        <v>52.5</v>
      </c>
      <c r="C156">
        <v>0</v>
      </c>
      <c r="E156" t="s">
        <v>11768</v>
      </c>
      <c r="F156" t="s">
        <v>11770</v>
      </c>
      <c r="J156">
        <v>52.5</v>
      </c>
    </row>
    <row r="157" spans="1:10">
      <c r="A157" t="s">
        <v>1419</v>
      </c>
      <c r="B157">
        <v>52.35</v>
      </c>
      <c r="C157">
        <v>-0.14999999999999858</v>
      </c>
      <c r="E157" t="s">
        <v>11768</v>
      </c>
      <c r="F157" t="s">
        <v>11771</v>
      </c>
      <c r="I157">
        <v>52.35</v>
      </c>
    </row>
    <row r="158" spans="1:10">
      <c r="A158" t="s">
        <v>1425</v>
      </c>
      <c r="B158">
        <v>52.38</v>
      </c>
      <c r="C158">
        <v>3.0000000000001137E-2</v>
      </c>
      <c r="E158" t="s">
        <v>11768</v>
      </c>
      <c r="F158" t="s">
        <v>11771</v>
      </c>
      <c r="I158">
        <v>52.38</v>
      </c>
    </row>
    <row r="159" spans="1:10">
      <c r="A159" t="s">
        <v>1432</v>
      </c>
      <c r="B159">
        <v>52.17</v>
      </c>
      <c r="C159">
        <v>-0.21000000000000085</v>
      </c>
      <c r="E159" t="s">
        <v>11768</v>
      </c>
      <c r="F159" t="s">
        <v>11771</v>
      </c>
      <c r="I159">
        <v>52.17</v>
      </c>
    </row>
    <row r="160" spans="1:10">
      <c r="A160" t="s">
        <v>1437</v>
      </c>
      <c r="B160">
        <v>52.14</v>
      </c>
      <c r="C160">
        <v>-3.0000000000001137E-2</v>
      </c>
      <c r="E160" t="s">
        <v>11768</v>
      </c>
      <c r="F160" t="s">
        <v>11771</v>
      </c>
      <c r="I160">
        <v>52.14</v>
      </c>
    </row>
    <row r="161" spans="1:10">
      <c r="A161" t="s">
        <v>1441</v>
      </c>
      <c r="B161">
        <v>52.05</v>
      </c>
      <c r="C161">
        <v>-9.0000000000003411E-2</v>
      </c>
      <c r="E161" t="s">
        <v>11768</v>
      </c>
      <c r="F161" t="s">
        <v>11771</v>
      </c>
      <c r="I161">
        <v>52.05</v>
      </c>
    </row>
    <row r="162" spans="1:10">
      <c r="A162" t="s">
        <v>1446</v>
      </c>
      <c r="B162">
        <v>51.93</v>
      </c>
      <c r="C162">
        <v>-0.11999999999999744</v>
      </c>
      <c r="E162" t="s">
        <v>11768</v>
      </c>
      <c r="F162" t="s">
        <v>11771</v>
      </c>
      <c r="I162">
        <v>51.93</v>
      </c>
    </row>
    <row r="163" spans="1:10">
      <c r="A163" t="s">
        <v>1451</v>
      </c>
      <c r="B163">
        <v>51.93</v>
      </c>
      <c r="C163">
        <v>0</v>
      </c>
      <c r="E163" t="s">
        <v>11768</v>
      </c>
      <c r="F163" t="s">
        <v>11770</v>
      </c>
      <c r="J163">
        <v>51.93</v>
      </c>
    </row>
    <row r="164" spans="1:10">
      <c r="A164" t="s">
        <v>1457</v>
      </c>
      <c r="B164">
        <v>51.78</v>
      </c>
      <c r="C164">
        <v>-0.14999999999999858</v>
      </c>
      <c r="E164" t="s">
        <v>11768</v>
      </c>
      <c r="F164" t="s">
        <v>11771</v>
      </c>
      <c r="I164">
        <v>51.78</v>
      </c>
    </row>
    <row r="165" spans="1:10">
      <c r="A165" t="s">
        <v>1461</v>
      </c>
      <c r="B165">
        <v>51.66</v>
      </c>
      <c r="C165">
        <v>-0.12000000000000455</v>
      </c>
      <c r="E165" t="s">
        <v>11768</v>
      </c>
      <c r="F165" t="s">
        <v>11771</v>
      </c>
      <c r="I165">
        <v>51.66</v>
      </c>
    </row>
    <row r="166" spans="1:10">
      <c r="A166" t="s">
        <v>1466</v>
      </c>
      <c r="B166">
        <v>51.72</v>
      </c>
      <c r="C166">
        <v>6.0000000000002274E-2</v>
      </c>
      <c r="E166" t="s">
        <v>11768</v>
      </c>
      <c r="F166" t="s">
        <v>11771</v>
      </c>
      <c r="I166">
        <v>51.72</v>
      </c>
    </row>
    <row r="167" spans="1:10">
      <c r="A167" t="s">
        <v>1472</v>
      </c>
      <c r="B167">
        <v>51.69</v>
      </c>
      <c r="C167">
        <v>-3.0000000000001137E-2</v>
      </c>
      <c r="E167" t="s">
        <v>11768</v>
      </c>
      <c r="F167" t="s">
        <v>11771</v>
      </c>
      <c r="I167">
        <v>51.69</v>
      </c>
    </row>
    <row r="168" spans="1:10">
      <c r="A168" t="s">
        <v>1476</v>
      </c>
      <c r="B168">
        <v>51.57</v>
      </c>
      <c r="C168">
        <v>-0.11999999999999744</v>
      </c>
      <c r="E168" t="s">
        <v>11768</v>
      </c>
      <c r="F168" t="s">
        <v>11771</v>
      </c>
      <c r="I168">
        <v>51.57</v>
      </c>
    </row>
    <row r="169" spans="1:10">
      <c r="A169" t="s">
        <v>1482</v>
      </c>
      <c r="B169">
        <v>51.45</v>
      </c>
      <c r="C169">
        <v>-0.11999999999999744</v>
      </c>
      <c r="E169" t="s">
        <v>11768</v>
      </c>
      <c r="F169" t="s">
        <v>11771</v>
      </c>
      <c r="I169">
        <v>51.45</v>
      </c>
    </row>
    <row r="170" spans="1:10">
      <c r="A170" t="s">
        <v>1488</v>
      </c>
      <c r="B170">
        <v>51.36</v>
      </c>
      <c r="C170">
        <v>-9.0000000000003411E-2</v>
      </c>
      <c r="E170" t="s">
        <v>11768</v>
      </c>
      <c r="F170" t="s">
        <v>11771</v>
      </c>
      <c r="I170">
        <v>51.36</v>
      </c>
    </row>
    <row r="171" spans="1:10">
      <c r="A171" t="s">
        <v>1492</v>
      </c>
      <c r="B171">
        <v>51.27</v>
      </c>
      <c r="C171">
        <v>-8.9999999999996305E-2</v>
      </c>
      <c r="E171" t="s">
        <v>11768</v>
      </c>
      <c r="F171" t="s">
        <v>11771</v>
      </c>
      <c r="I171">
        <v>51.27</v>
      </c>
    </row>
    <row r="172" spans="1:10">
      <c r="A172" t="s">
        <v>1499</v>
      </c>
      <c r="B172">
        <v>51.33</v>
      </c>
      <c r="C172">
        <v>5.9999999999995168E-2</v>
      </c>
      <c r="E172" t="s">
        <v>11768</v>
      </c>
      <c r="F172" t="s">
        <v>11771</v>
      </c>
      <c r="I172">
        <v>51.33</v>
      </c>
    </row>
    <row r="173" spans="1:10">
      <c r="A173" t="s">
        <v>1505</v>
      </c>
      <c r="B173">
        <v>51.18</v>
      </c>
      <c r="C173">
        <v>-0.14999999999999858</v>
      </c>
      <c r="E173" t="s">
        <v>11768</v>
      </c>
      <c r="F173" t="s">
        <v>11771</v>
      </c>
      <c r="I173">
        <v>51.18</v>
      </c>
    </row>
    <row r="174" spans="1:10">
      <c r="A174" t="s">
        <v>1510</v>
      </c>
      <c r="B174">
        <v>51.18</v>
      </c>
      <c r="C174">
        <v>0</v>
      </c>
      <c r="E174" t="s">
        <v>11768</v>
      </c>
      <c r="F174" t="s">
        <v>11770</v>
      </c>
      <c r="J174">
        <v>51.18</v>
      </c>
    </row>
    <row r="175" spans="1:10">
      <c r="A175" t="s">
        <v>1516</v>
      </c>
      <c r="B175">
        <v>51.09</v>
      </c>
      <c r="C175">
        <v>-8.9999999999996305E-2</v>
      </c>
      <c r="E175" t="s">
        <v>11768</v>
      </c>
      <c r="F175" t="s">
        <v>11771</v>
      </c>
      <c r="I175">
        <v>51.09</v>
      </c>
    </row>
    <row r="176" spans="1:10">
      <c r="A176" t="s">
        <v>1522</v>
      </c>
      <c r="B176">
        <v>50.97</v>
      </c>
      <c r="C176">
        <v>-0.12000000000000455</v>
      </c>
      <c r="E176" t="s">
        <v>11768</v>
      </c>
      <c r="F176" t="s">
        <v>11771</v>
      </c>
      <c r="I176">
        <v>50.97</v>
      </c>
    </row>
    <row r="177" spans="1:9">
      <c r="A177" t="s">
        <v>1527</v>
      </c>
      <c r="B177">
        <v>51.03</v>
      </c>
      <c r="C177">
        <v>6.0000000000002274E-2</v>
      </c>
      <c r="E177" t="s">
        <v>11768</v>
      </c>
      <c r="F177" t="s">
        <v>11771</v>
      </c>
      <c r="I177">
        <v>51.03</v>
      </c>
    </row>
    <row r="178" spans="1:9">
      <c r="A178" t="s">
        <v>1531</v>
      </c>
      <c r="B178">
        <v>50.91</v>
      </c>
      <c r="C178">
        <v>-0.12000000000000455</v>
      </c>
      <c r="E178" t="s">
        <v>11768</v>
      </c>
      <c r="F178" t="s">
        <v>11771</v>
      </c>
      <c r="I178">
        <v>50.91</v>
      </c>
    </row>
    <row r="179" spans="1:9">
      <c r="A179" t="s">
        <v>1535</v>
      </c>
      <c r="B179">
        <v>50.97</v>
      </c>
      <c r="C179">
        <v>6.0000000000002274E-2</v>
      </c>
      <c r="E179" t="s">
        <v>11768</v>
      </c>
      <c r="F179" t="s">
        <v>11771</v>
      </c>
      <c r="I179">
        <v>50.97</v>
      </c>
    </row>
    <row r="180" spans="1:9">
      <c r="A180" t="s">
        <v>1540</v>
      </c>
      <c r="B180">
        <v>50.76</v>
      </c>
      <c r="C180">
        <v>-0.21000000000000085</v>
      </c>
      <c r="E180" t="s">
        <v>11768</v>
      </c>
      <c r="F180" t="s">
        <v>11771</v>
      </c>
      <c r="I180">
        <v>50.76</v>
      </c>
    </row>
    <row r="181" spans="1:9">
      <c r="A181" t="s">
        <v>1545</v>
      </c>
      <c r="B181">
        <v>50.82</v>
      </c>
      <c r="C181">
        <v>6.0000000000002274E-2</v>
      </c>
      <c r="E181" t="s">
        <v>11768</v>
      </c>
      <c r="F181" t="s">
        <v>11771</v>
      </c>
      <c r="I181">
        <v>50.82</v>
      </c>
    </row>
    <row r="182" spans="1:9">
      <c r="A182" t="s">
        <v>1551</v>
      </c>
      <c r="B182">
        <v>50.76</v>
      </c>
      <c r="C182">
        <v>-6.0000000000002274E-2</v>
      </c>
      <c r="E182" t="s">
        <v>11768</v>
      </c>
      <c r="F182" t="s">
        <v>11771</v>
      </c>
      <c r="I182">
        <v>50.76</v>
      </c>
    </row>
    <row r="183" spans="1:9">
      <c r="A183" t="s">
        <v>1556</v>
      </c>
      <c r="B183">
        <v>50.82</v>
      </c>
      <c r="C183">
        <v>6.0000000000002274E-2</v>
      </c>
      <c r="E183" t="s">
        <v>11768</v>
      </c>
      <c r="F183" t="s">
        <v>11771</v>
      </c>
      <c r="I183">
        <v>50.82</v>
      </c>
    </row>
    <row r="184" spans="1:9">
      <c r="A184" t="s">
        <v>1560</v>
      </c>
      <c r="B184">
        <v>50.73</v>
      </c>
      <c r="C184">
        <v>-9.0000000000003411E-2</v>
      </c>
      <c r="E184" t="s">
        <v>11768</v>
      </c>
      <c r="F184" t="s">
        <v>11771</v>
      </c>
      <c r="I184">
        <v>50.73</v>
      </c>
    </row>
    <row r="185" spans="1:9">
      <c r="A185" t="s">
        <v>1567</v>
      </c>
      <c r="B185">
        <v>50.64</v>
      </c>
      <c r="C185">
        <v>-8.9999999999996305E-2</v>
      </c>
      <c r="E185" t="s">
        <v>11768</v>
      </c>
      <c r="F185" t="s">
        <v>11771</v>
      </c>
      <c r="I185">
        <v>50.64</v>
      </c>
    </row>
    <row r="186" spans="1:9">
      <c r="A186" t="s">
        <v>1573</v>
      </c>
      <c r="B186">
        <v>50.58</v>
      </c>
      <c r="C186">
        <v>-6.0000000000002274E-2</v>
      </c>
      <c r="E186" t="s">
        <v>11768</v>
      </c>
      <c r="F186" t="s">
        <v>11771</v>
      </c>
      <c r="I186">
        <v>50.58</v>
      </c>
    </row>
    <row r="187" spans="1:9">
      <c r="A187" t="s">
        <v>1578</v>
      </c>
      <c r="B187">
        <v>50.55</v>
      </c>
      <c r="C187">
        <v>-3.0000000000001137E-2</v>
      </c>
      <c r="E187" t="s">
        <v>11768</v>
      </c>
      <c r="F187" t="s">
        <v>11771</v>
      </c>
      <c r="I187">
        <v>50.55</v>
      </c>
    </row>
    <row r="188" spans="1:9">
      <c r="A188" t="s">
        <v>1583</v>
      </c>
      <c r="B188">
        <v>50.49</v>
      </c>
      <c r="C188">
        <v>-5.9999999999995168E-2</v>
      </c>
      <c r="E188" t="s">
        <v>11768</v>
      </c>
      <c r="F188" t="s">
        <v>11771</v>
      </c>
      <c r="I188">
        <v>50.49</v>
      </c>
    </row>
    <row r="189" spans="1:9">
      <c r="A189" t="s">
        <v>1589</v>
      </c>
      <c r="B189">
        <v>50.58</v>
      </c>
      <c r="C189">
        <v>8.9999999999996305E-2</v>
      </c>
      <c r="E189" t="s">
        <v>11768</v>
      </c>
      <c r="F189" t="s">
        <v>11771</v>
      </c>
      <c r="I189">
        <v>50.58</v>
      </c>
    </row>
    <row r="190" spans="1:9">
      <c r="A190" t="s">
        <v>1595</v>
      </c>
      <c r="B190">
        <v>50.49</v>
      </c>
      <c r="C190">
        <v>-8.9999999999996305E-2</v>
      </c>
      <c r="E190" t="s">
        <v>11768</v>
      </c>
      <c r="F190" t="s">
        <v>11771</v>
      </c>
      <c r="I190">
        <v>50.49</v>
      </c>
    </row>
    <row r="191" spans="1:9">
      <c r="A191" t="s">
        <v>1599</v>
      </c>
      <c r="B191">
        <v>50.46</v>
      </c>
      <c r="C191">
        <v>-3.0000000000001137E-2</v>
      </c>
      <c r="E191" t="s">
        <v>11768</v>
      </c>
      <c r="F191" t="s">
        <v>11771</v>
      </c>
      <c r="I191">
        <v>50.46</v>
      </c>
    </row>
    <row r="192" spans="1:9">
      <c r="A192" t="s">
        <v>1603</v>
      </c>
      <c r="B192">
        <v>50.34</v>
      </c>
      <c r="C192">
        <v>-0.11999999999999744</v>
      </c>
      <c r="E192" t="s">
        <v>11768</v>
      </c>
      <c r="F192" t="s">
        <v>11771</v>
      </c>
      <c r="I192">
        <v>50.34</v>
      </c>
    </row>
    <row r="193" spans="1:10">
      <c r="A193" t="s">
        <v>1609</v>
      </c>
      <c r="B193">
        <v>50.34</v>
      </c>
      <c r="C193">
        <v>0</v>
      </c>
      <c r="E193" t="s">
        <v>11768</v>
      </c>
      <c r="F193" t="s">
        <v>11770</v>
      </c>
      <c r="J193">
        <v>50.34</v>
      </c>
    </row>
    <row r="194" spans="1:10">
      <c r="A194" t="s">
        <v>1614</v>
      </c>
      <c r="B194">
        <v>50.31</v>
      </c>
      <c r="C194">
        <v>-3.0000000000001137E-2</v>
      </c>
      <c r="E194" t="s">
        <v>11768</v>
      </c>
      <c r="F194" t="s">
        <v>11771</v>
      </c>
      <c r="I194">
        <v>50.31</v>
      </c>
    </row>
    <row r="195" spans="1:10">
      <c r="A195" t="s">
        <v>1618</v>
      </c>
      <c r="B195">
        <v>50.13</v>
      </c>
      <c r="C195">
        <v>-0.17999999999999972</v>
      </c>
      <c r="E195" t="s">
        <v>11768</v>
      </c>
      <c r="F195" t="s">
        <v>11771</v>
      </c>
      <c r="I195">
        <v>50.13</v>
      </c>
    </row>
    <row r="196" spans="1:10">
      <c r="A196" t="s">
        <v>1624</v>
      </c>
      <c r="B196">
        <v>50.25</v>
      </c>
      <c r="C196">
        <v>0.11999999999999744</v>
      </c>
      <c r="E196" t="s">
        <v>11768</v>
      </c>
      <c r="F196" t="s">
        <v>11771</v>
      </c>
      <c r="I196">
        <v>50.25</v>
      </c>
    </row>
    <row r="197" spans="1:10">
      <c r="A197" t="s">
        <v>1629</v>
      </c>
      <c r="B197">
        <v>50.1</v>
      </c>
      <c r="C197">
        <v>-0.14999999999999858</v>
      </c>
      <c r="E197" t="s">
        <v>11768</v>
      </c>
      <c r="F197" t="s">
        <v>11771</v>
      </c>
      <c r="I197">
        <v>50.1</v>
      </c>
    </row>
    <row r="198" spans="1:10">
      <c r="A198" t="s">
        <v>1635</v>
      </c>
      <c r="B198">
        <v>50.04</v>
      </c>
      <c r="C198">
        <v>-6.0000000000002274E-2</v>
      </c>
      <c r="E198" t="s">
        <v>11768</v>
      </c>
      <c r="F198" t="s">
        <v>11771</v>
      </c>
      <c r="I198">
        <v>50.04</v>
      </c>
    </row>
    <row r="199" spans="1:10">
      <c r="A199" t="s">
        <v>1639</v>
      </c>
      <c r="B199">
        <v>81.45</v>
      </c>
      <c r="C199">
        <v>31.410000000000004</v>
      </c>
      <c r="D199" t="s">
        <v>11764</v>
      </c>
      <c r="E199" t="s">
        <v>11769</v>
      </c>
      <c r="F199" t="s">
        <v>11771</v>
      </c>
      <c r="G199">
        <v>81.45</v>
      </c>
    </row>
    <row r="200" spans="1:10">
      <c r="A200" t="s">
        <v>1646</v>
      </c>
      <c r="B200">
        <v>82.17</v>
      </c>
      <c r="C200">
        <v>0.71999999999999886</v>
      </c>
      <c r="E200" t="s">
        <v>11769</v>
      </c>
      <c r="F200" t="s">
        <v>11771</v>
      </c>
      <c r="G200">
        <v>82.17</v>
      </c>
    </row>
    <row r="201" spans="1:10">
      <c r="A201" t="s">
        <v>1654</v>
      </c>
      <c r="B201">
        <v>83.28</v>
      </c>
      <c r="C201">
        <v>1.1099999999999994</v>
      </c>
      <c r="E201" t="s">
        <v>11769</v>
      </c>
      <c r="F201" t="s">
        <v>11771</v>
      </c>
      <c r="G201">
        <v>83.28</v>
      </c>
    </row>
    <row r="202" spans="1:10">
      <c r="A202" t="s">
        <v>1664</v>
      </c>
      <c r="B202">
        <v>75.33</v>
      </c>
      <c r="C202">
        <v>-7.9500000000000028</v>
      </c>
      <c r="E202" t="s">
        <v>11769</v>
      </c>
      <c r="F202" t="s">
        <v>11771</v>
      </c>
      <c r="G202">
        <v>75.33</v>
      </c>
    </row>
    <row r="203" spans="1:10">
      <c r="A203" t="s">
        <v>1676</v>
      </c>
      <c r="B203">
        <v>53.1</v>
      </c>
      <c r="C203">
        <v>-22.229999999999997</v>
      </c>
      <c r="D203" t="s">
        <v>11764</v>
      </c>
      <c r="E203" t="s">
        <v>11768</v>
      </c>
      <c r="F203" t="s">
        <v>11771</v>
      </c>
      <c r="I203">
        <v>53.1</v>
      </c>
    </row>
    <row r="204" spans="1:10">
      <c r="A204" t="s">
        <v>1685</v>
      </c>
      <c r="B204">
        <v>52.86</v>
      </c>
      <c r="C204">
        <v>-0.24000000000000199</v>
      </c>
      <c r="E204" t="s">
        <v>11768</v>
      </c>
      <c r="F204" t="s">
        <v>11771</v>
      </c>
      <c r="I204">
        <v>52.86</v>
      </c>
    </row>
    <row r="205" spans="1:10">
      <c r="A205" t="s">
        <v>1691</v>
      </c>
      <c r="B205">
        <v>52.77</v>
      </c>
      <c r="C205">
        <v>-8.9999999999996305E-2</v>
      </c>
      <c r="E205" t="s">
        <v>11768</v>
      </c>
      <c r="F205" t="s">
        <v>11771</v>
      </c>
      <c r="I205">
        <v>52.77</v>
      </c>
    </row>
    <row r="206" spans="1:10">
      <c r="A206" t="s">
        <v>1696</v>
      </c>
      <c r="B206">
        <v>52.8</v>
      </c>
      <c r="C206">
        <v>2.9999999999994031E-2</v>
      </c>
      <c r="E206" t="s">
        <v>11768</v>
      </c>
      <c r="F206" t="s">
        <v>11771</v>
      </c>
      <c r="I206">
        <v>52.8</v>
      </c>
    </row>
    <row r="207" spans="1:10">
      <c r="A207" t="s">
        <v>1703</v>
      </c>
      <c r="B207">
        <v>52.71</v>
      </c>
      <c r="C207">
        <v>-8.9999999999996305E-2</v>
      </c>
      <c r="E207" t="s">
        <v>11768</v>
      </c>
      <c r="F207" t="s">
        <v>11771</v>
      </c>
      <c r="I207">
        <v>52.71</v>
      </c>
    </row>
    <row r="208" spans="1:10">
      <c r="A208" t="s">
        <v>1708</v>
      </c>
      <c r="B208">
        <v>52.56</v>
      </c>
      <c r="C208">
        <v>-0.14999999999999858</v>
      </c>
      <c r="E208" t="s">
        <v>11768</v>
      </c>
      <c r="F208" t="s">
        <v>11771</v>
      </c>
      <c r="I208">
        <v>52.56</v>
      </c>
    </row>
    <row r="209" spans="1:10">
      <c r="A209" t="s">
        <v>1714</v>
      </c>
      <c r="B209">
        <v>52.59</v>
      </c>
      <c r="C209">
        <v>3.0000000000001137E-2</v>
      </c>
      <c r="E209" t="s">
        <v>11768</v>
      </c>
      <c r="F209" t="s">
        <v>11771</v>
      </c>
      <c r="I209">
        <v>52.59</v>
      </c>
    </row>
    <row r="210" spans="1:10">
      <c r="A210" t="s">
        <v>1720</v>
      </c>
      <c r="B210">
        <v>52.5</v>
      </c>
      <c r="C210">
        <v>-9.0000000000003411E-2</v>
      </c>
      <c r="E210" t="s">
        <v>11768</v>
      </c>
      <c r="F210" t="s">
        <v>11771</v>
      </c>
      <c r="I210">
        <v>52.5</v>
      </c>
    </row>
    <row r="211" spans="1:10">
      <c r="A211" t="s">
        <v>1724</v>
      </c>
      <c r="B211">
        <v>52.44</v>
      </c>
      <c r="C211">
        <v>-6.0000000000002274E-2</v>
      </c>
      <c r="E211" t="s">
        <v>11768</v>
      </c>
      <c r="F211" t="s">
        <v>11771</v>
      </c>
      <c r="I211">
        <v>52.44</v>
      </c>
    </row>
    <row r="212" spans="1:10">
      <c r="A212" t="s">
        <v>1731</v>
      </c>
      <c r="B212">
        <v>52.29</v>
      </c>
      <c r="C212">
        <v>-0.14999999999999858</v>
      </c>
      <c r="E212" t="s">
        <v>11768</v>
      </c>
      <c r="F212" t="s">
        <v>11771</v>
      </c>
      <c r="I212">
        <v>52.29</v>
      </c>
    </row>
    <row r="213" spans="1:10">
      <c r="A213" t="s">
        <v>1735</v>
      </c>
      <c r="B213">
        <v>52.29</v>
      </c>
      <c r="C213">
        <v>0</v>
      </c>
      <c r="E213" t="s">
        <v>11768</v>
      </c>
      <c r="F213" t="s">
        <v>11770</v>
      </c>
      <c r="J213">
        <v>52.29</v>
      </c>
    </row>
    <row r="214" spans="1:10">
      <c r="A214" t="s">
        <v>1739</v>
      </c>
      <c r="B214">
        <v>52.29</v>
      </c>
      <c r="C214">
        <v>0</v>
      </c>
      <c r="E214" t="s">
        <v>11768</v>
      </c>
      <c r="F214" t="s">
        <v>11770</v>
      </c>
      <c r="J214">
        <v>52.29</v>
      </c>
    </row>
    <row r="215" spans="1:10">
      <c r="A215" t="s">
        <v>1744</v>
      </c>
      <c r="B215">
        <v>52.26</v>
      </c>
      <c r="C215">
        <v>-3.0000000000001137E-2</v>
      </c>
      <c r="E215" t="s">
        <v>11768</v>
      </c>
      <c r="F215" t="s">
        <v>11771</v>
      </c>
      <c r="I215">
        <v>52.26</v>
      </c>
    </row>
    <row r="216" spans="1:10">
      <c r="A216" t="s">
        <v>1751</v>
      </c>
      <c r="B216">
        <v>52.05</v>
      </c>
      <c r="C216">
        <v>-0.21000000000000085</v>
      </c>
      <c r="E216" t="s">
        <v>11768</v>
      </c>
      <c r="F216" t="s">
        <v>11771</v>
      </c>
      <c r="I216">
        <v>52.05</v>
      </c>
    </row>
    <row r="217" spans="1:10">
      <c r="A217" t="s">
        <v>1755</v>
      </c>
      <c r="B217">
        <v>52.11</v>
      </c>
      <c r="C217">
        <v>6.0000000000002274E-2</v>
      </c>
      <c r="E217" t="s">
        <v>11768</v>
      </c>
      <c r="F217" t="s">
        <v>11771</v>
      </c>
      <c r="I217">
        <v>52.11</v>
      </c>
    </row>
    <row r="218" spans="1:10">
      <c r="A218" t="s">
        <v>1760</v>
      </c>
      <c r="B218">
        <v>52.02</v>
      </c>
      <c r="C218">
        <v>-8.9999999999996305E-2</v>
      </c>
      <c r="E218" t="s">
        <v>11768</v>
      </c>
      <c r="F218" t="s">
        <v>11771</v>
      </c>
      <c r="I218">
        <v>52.02</v>
      </c>
    </row>
    <row r="219" spans="1:10">
      <c r="A219" t="s">
        <v>1764</v>
      </c>
      <c r="B219">
        <v>52.11</v>
      </c>
      <c r="C219">
        <v>8.9999999999996305E-2</v>
      </c>
      <c r="E219" t="s">
        <v>11768</v>
      </c>
      <c r="F219" t="s">
        <v>11771</v>
      </c>
      <c r="I219">
        <v>52.11</v>
      </c>
    </row>
    <row r="220" spans="1:10">
      <c r="A220" t="s">
        <v>1768</v>
      </c>
      <c r="B220">
        <v>51.99</v>
      </c>
      <c r="C220">
        <v>-0.11999999999999744</v>
      </c>
      <c r="E220" t="s">
        <v>11768</v>
      </c>
      <c r="F220" t="s">
        <v>11771</v>
      </c>
      <c r="I220">
        <v>51.99</v>
      </c>
    </row>
    <row r="221" spans="1:10">
      <c r="A221" t="s">
        <v>1774</v>
      </c>
      <c r="B221">
        <v>51.87</v>
      </c>
      <c r="C221">
        <v>-0.12000000000000455</v>
      </c>
      <c r="E221" t="s">
        <v>11768</v>
      </c>
      <c r="F221" t="s">
        <v>11771</v>
      </c>
      <c r="I221">
        <v>51.87</v>
      </c>
    </row>
    <row r="222" spans="1:10">
      <c r="A222" t="s">
        <v>1780</v>
      </c>
      <c r="B222">
        <v>51.9</v>
      </c>
      <c r="C222">
        <v>3.0000000000001137E-2</v>
      </c>
      <c r="E222" t="s">
        <v>11768</v>
      </c>
      <c r="F222" t="s">
        <v>11771</v>
      </c>
      <c r="I222">
        <v>51.9</v>
      </c>
    </row>
    <row r="223" spans="1:10">
      <c r="A223" t="s">
        <v>1785</v>
      </c>
      <c r="B223">
        <v>51.9</v>
      </c>
      <c r="C223">
        <v>0</v>
      </c>
      <c r="E223" t="s">
        <v>11768</v>
      </c>
      <c r="F223" t="s">
        <v>11770</v>
      </c>
      <c r="J223">
        <v>51.9</v>
      </c>
    </row>
    <row r="224" spans="1:10">
      <c r="A224" t="s">
        <v>1790</v>
      </c>
      <c r="B224">
        <v>51.69</v>
      </c>
      <c r="C224">
        <v>-0.21000000000000085</v>
      </c>
      <c r="E224" t="s">
        <v>11768</v>
      </c>
      <c r="F224" t="s">
        <v>11771</v>
      </c>
      <c r="I224">
        <v>51.69</v>
      </c>
    </row>
    <row r="225" spans="1:10">
      <c r="A225" t="s">
        <v>1794</v>
      </c>
      <c r="B225">
        <v>51.66</v>
      </c>
      <c r="C225">
        <v>-3.0000000000001137E-2</v>
      </c>
      <c r="E225" t="s">
        <v>11768</v>
      </c>
      <c r="F225" t="s">
        <v>11771</v>
      </c>
      <c r="I225">
        <v>51.66</v>
      </c>
    </row>
    <row r="226" spans="1:10">
      <c r="A226" t="s">
        <v>1798</v>
      </c>
      <c r="B226">
        <v>51.69</v>
      </c>
      <c r="C226">
        <v>3.0000000000001137E-2</v>
      </c>
      <c r="E226" t="s">
        <v>11768</v>
      </c>
      <c r="F226" t="s">
        <v>11771</v>
      </c>
      <c r="I226">
        <v>51.69</v>
      </c>
    </row>
    <row r="227" spans="1:10">
      <c r="A227" t="s">
        <v>1802</v>
      </c>
      <c r="B227">
        <v>51.69</v>
      </c>
      <c r="C227">
        <v>0</v>
      </c>
      <c r="E227" t="s">
        <v>11768</v>
      </c>
      <c r="F227" t="s">
        <v>11770</v>
      </c>
      <c r="J227">
        <v>51.69</v>
      </c>
    </row>
    <row r="228" spans="1:10">
      <c r="A228" t="s">
        <v>1806</v>
      </c>
      <c r="B228">
        <v>51.72</v>
      </c>
      <c r="C228">
        <v>3.0000000000001137E-2</v>
      </c>
      <c r="E228" t="s">
        <v>11768</v>
      </c>
      <c r="F228" t="s">
        <v>11771</v>
      </c>
      <c r="I228">
        <v>51.72</v>
      </c>
    </row>
    <row r="229" spans="1:10">
      <c r="A229" t="s">
        <v>1810</v>
      </c>
      <c r="B229">
        <v>51.48</v>
      </c>
      <c r="C229">
        <v>-0.24000000000000199</v>
      </c>
      <c r="E229" t="s">
        <v>11768</v>
      </c>
      <c r="F229" t="s">
        <v>11771</v>
      </c>
      <c r="I229">
        <v>51.48</v>
      </c>
    </row>
    <row r="230" spans="1:10">
      <c r="A230" t="s">
        <v>1816</v>
      </c>
      <c r="B230">
        <v>51.51</v>
      </c>
      <c r="C230">
        <v>3.0000000000001137E-2</v>
      </c>
      <c r="E230" t="s">
        <v>11768</v>
      </c>
      <c r="F230" t="s">
        <v>11771</v>
      </c>
      <c r="I230">
        <v>51.51</v>
      </c>
    </row>
    <row r="231" spans="1:10">
      <c r="A231" t="s">
        <v>1822</v>
      </c>
      <c r="B231">
        <v>51.57</v>
      </c>
      <c r="C231">
        <v>6.0000000000002274E-2</v>
      </c>
      <c r="E231" t="s">
        <v>11768</v>
      </c>
      <c r="F231" t="s">
        <v>11771</v>
      </c>
      <c r="I231">
        <v>51.57</v>
      </c>
    </row>
    <row r="232" spans="1:10">
      <c r="A232" t="s">
        <v>1826</v>
      </c>
      <c r="B232">
        <v>51.33</v>
      </c>
      <c r="C232">
        <v>-0.24000000000000199</v>
      </c>
      <c r="E232" t="s">
        <v>11768</v>
      </c>
      <c r="F232" t="s">
        <v>11771</v>
      </c>
      <c r="I232">
        <v>51.33</v>
      </c>
    </row>
    <row r="233" spans="1:10">
      <c r="A233" t="s">
        <v>1831</v>
      </c>
      <c r="B233">
        <v>51.24</v>
      </c>
      <c r="C233">
        <v>-8.9999999999996305E-2</v>
      </c>
      <c r="E233" t="s">
        <v>11768</v>
      </c>
      <c r="F233" t="s">
        <v>11771</v>
      </c>
      <c r="I233">
        <v>51.24</v>
      </c>
    </row>
    <row r="234" spans="1:10">
      <c r="A234" t="s">
        <v>1836</v>
      </c>
      <c r="B234">
        <v>51.36</v>
      </c>
      <c r="C234">
        <v>0.11999999999999744</v>
      </c>
      <c r="E234" t="s">
        <v>11768</v>
      </c>
      <c r="F234" t="s">
        <v>11771</v>
      </c>
      <c r="I234">
        <v>51.36</v>
      </c>
    </row>
    <row r="235" spans="1:10">
      <c r="A235" t="s">
        <v>1840</v>
      </c>
      <c r="B235">
        <v>51.3</v>
      </c>
      <c r="C235">
        <v>-6.0000000000002274E-2</v>
      </c>
      <c r="E235" t="s">
        <v>11768</v>
      </c>
      <c r="F235" t="s">
        <v>11771</v>
      </c>
      <c r="I235">
        <v>51.3</v>
      </c>
    </row>
    <row r="236" spans="1:10">
      <c r="A236" t="s">
        <v>1846</v>
      </c>
      <c r="B236">
        <v>51.24</v>
      </c>
      <c r="C236">
        <v>-5.9999999999995168E-2</v>
      </c>
      <c r="E236" t="s">
        <v>11768</v>
      </c>
      <c r="F236" t="s">
        <v>11771</v>
      </c>
      <c r="I236">
        <v>51.24</v>
      </c>
    </row>
    <row r="237" spans="1:10">
      <c r="A237" t="s">
        <v>1850</v>
      </c>
      <c r="B237">
        <v>51.15</v>
      </c>
      <c r="C237">
        <v>-9.0000000000003411E-2</v>
      </c>
      <c r="E237" t="s">
        <v>11768</v>
      </c>
      <c r="F237" t="s">
        <v>11771</v>
      </c>
      <c r="I237">
        <v>51.15</v>
      </c>
    </row>
    <row r="238" spans="1:10">
      <c r="A238" t="s">
        <v>1854</v>
      </c>
      <c r="B238">
        <v>51.18</v>
      </c>
      <c r="C238">
        <v>3.0000000000001137E-2</v>
      </c>
      <c r="E238" t="s">
        <v>11768</v>
      </c>
      <c r="F238" t="s">
        <v>11771</v>
      </c>
      <c r="I238">
        <v>51.18</v>
      </c>
    </row>
    <row r="239" spans="1:10">
      <c r="A239" t="s">
        <v>1858</v>
      </c>
      <c r="B239">
        <v>51</v>
      </c>
      <c r="C239">
        <v>-0.17999999999999972</v>
      </c>
      <c r="E239" t="s">
        <v>11768</v>
      </c>
      <c r="F239" t="s">
        <v>11771</v>
      </c>
      <c r="I239">
        <v>51</v>
      </c>
    </row>
    <row r="240" spans="1:10">
      <c r="A240" t="s">
        <v>1863</v>
      </c>
      <c r="B240">
        <v>51.12</v>
      </c>
      <c r="C240">
        <v>0.11999999999999744</v>
      </c>
      <c r="E240" t="s">
        <v>11768</v>
      </c>
      <c r="F240" t="s">
        <v>11771</v>
      </c>
      <c r="I240">
        <v>51.12</v>
      </c>
    </row>
    <row r="241" spans="1:10">
      <c r="A241" t="s">
        <v>1867</v>
      </c>
      <c r="B241">
        <v>51.09</v>
      </c>
      <c r="C241">
        <v>-2.9999999999994031E-2</v>
      </c>
      <c r="E241" t="s">
        <v>11768</v>
      </c>
      <c r="F241" t="s">
        <v>11771</v>
      </c>
      <c r="I241">
        <v>51.09</v>
      </c>
    </row>
    <row r="242" spans="1:10">
      <c r="A242" t="s">
        <v>1872</v>
      </c>
      <c r="B242">
        <v>51</v>
      </c>
      <c r="C242">
        <v>-9.0000000000003411E-2</v>
      </c>
      <c r="E242" t="s">
        <v>11768</v>
      </c>
      <c r="F242" t="s">
        <v>11771</v>
      </c>
      <c r="I242">
        <v>51</v>
      </c>
    </row>
    <row r="243" spans="1:10">
      <c r="A243" t="s">
        <v>1876</v>
      </c>
      <c r="B243">
        <v>50.88</v>
      </c>
      <c r="C243">
        <v>-0.11999999999999744</v>
      </c>
      <c r="E243" t="s">
        <v>11768</v>
      </c>
      <c r="F243" t="s">
        <v>11771</v>
      </c>
      <c r="I243">
        <v>50.88</v>
      </c>
    </row>
    <row r="244" spans="1:10">
      <c r="A244" t="s">
        <v>1881</v>
      </c>
      <c r="B244">
        <v>50.85</v>
      </c>
      <c r="C244">
        <v>-3.0000000000001137E-2</v>
      </c>
      <c r="E244" t="s">
        <v>11768</v>
      </c>
      <c r="F244" t="s">
        <v>11771</v>
      </c>
      <c r="I244">
        <v>50.85</v>
      </c>
    </row>
    <row r="245" spans="1:10">
      <c r="A245" t="s">
        <v>1886</v>
      </c>
      <c r="B245">
        <v>50.88</v>
      </c>
      <c r="C245">
        <v>3.0000000000001137E-2</v>
      </c>
      <c r="E245" t="s">
        <v>11768</v>
      </c>
      <c r="F245" t="s">
        <v>11771</v>
      </c>
      <c r="I245">
        <v>50.88</v>
      </c>
    </row>
    <row r="246" spans="1:10">
      <c r="A246" t="s">
        <v>1890</v>
      </c>
      <c r="B246">
        <v>50.76</v>
      </c>
      <c r="C246">
        <v>-0.12000000000000455</v>
      </c>
      <c r="E246" t="s">
        <v>11768</v>
      </c>
      <c r="F246" t="s">
        <v>11771</v>
      </c>
      <c r="I246">
        <v>50.76</v>
      </c>
    </row>
    <row r="247" spans="1:10">
      <c r="A247" t="s">
        <v>1894</v>
      </c>
      <c r="B247">
        <v>50.61</v>
      </c>
      <c r="C247">
        <v>-0.14999999999999858</v>
      </c>
      <c r="E247" t="s">
        <v>11768</v>
      </c>
      <c r="F247" t="s">
        <v>11771</v>
      </c>
      <c r="I247">
        <v>50.61</v>
      </c>
    </row>
    <row r="248" spans="1:10">
      <c r="A248" t="s">
        <v>1898</v>
      </c>
      <c r="B248">
        <v>50.61</v>
      </c>
      <c r="C248">
        <v>0</v>
      </c>
      <c r="E248" t="s">
        <v>11768</v>
      </c>
      <c r="F248" t="s">
        <v>11770</v>
      </c>
      <c r="J248">
        <v>50.61</v>
      </c>
    </row>
    <row r="249" spans="1:10">
      <c r="A249" t="s">
        <v>1902</v>
      </c>
      <c r="B249">
        <v>50.61</v>
      </c>
      <c r="C249">
        <v>0</v>
      </c>
      <c r="E249" t="s">
        <v>11768</v>
      </c>
      <c r="F249" t="s">
        <v>11770</v>
      </c>
      <c r="J249">
        <v>50.61</v>
      </c>
    </row>
    <row r="250" spans="1:10">
      <c r="A250" t="s">
        <v>1906</v>
      </c>
      <c r="B250">
        <v>50.43</v>
      </c>
      <c r="C250">
        <v>-0.17999999999999972</v>
      </c>
      <c r="E250" t="s">
        <v>11768</v>
      </c>
      <c r="F250" t="s">
        <v>11771</v>
      </c>
      <c r="I250">
        <v>50.43</v>
      </c>
    </row>
    <row r="251" spans="1:10">
      <c r="A251" t="s">
        <v>1910</v>
      </c>
      <c r="B251">
        <v>50.46</v>
      </c>
      <c r="C251">
        <v>3.0000000000001137E-2</v>
      </c>
      <c r="E251" t="s">
        <v>11768</v>
      </c>
      <c r="F251" t="s">
        <v>11771</v>
      </c>
      <c r="I251">
        <v>50.46</v>
      </c>
    </row>
    <row r="252" spans="1:10">
      <c r="A252" t="s">
        <v>1914</v>
      </c>
      <c r="B252">
        <v>50.31</v>
      </c>
      <c r="C252">
        <v>-0.14999999999999858</v>
      </c>
      <c r="E252" t="s">
        <v>11768</v>
      </c>
      <c r="F252" t="s">
        <v>11771</v>
      </c>
      <c r="I252">
        <v>50.31</v>
      </c>
    </row>
    <row r="253" spans="1:10">
      <c r="A253" t="s">
        <v>1918</v>
      </c>
      <c r="B253">
        <v>50.37</v>
      </c>
      <c r="C253">
        <v>5.9999999999995168E-2</v>
      </c>
      <c r="E253" t="s">
        <v>11768</v>
      </c>
      <c r="F253" t="s">
        <v>11771</v>
      </c>
      <c r="I253">
        <v>50.37</v>
      </c>
    </row>
    <row r="254" spans="1:10">
      <c r="A254" t="s">
        <v>1922</v>
      </c>
      <c r="B254">
        <v>50.4</v>
      </c>
      <c r="C254">
        <v>3.0000000000001137E-2</v>
      </c>
      <c r="E254" t="s">
        <v>11768</v>
      </c>
      <c r="F254" t="s">
        <v>11771</v>
      </c>
      <c r="I254">
        <v>50.4</v>
      </c>
    </row>
    <row r="255" spans="1:10">
      <c r="A255" t="s">
        <v>1927</v>
      </c>
      <c r="B255">
        <v>50.31</v>
      </c>
      <c r="C255">
        <v>-8.9999999999996305E-2</v>
      </c>
      <c r="E255" t="s">
        <v>11768</v>
      </c>
      <c r="F255" t="s">
        <v>11771</v>
      </c>
      <c r="I255">
        <v>50.31</v>
      </c>
    </row>
    <row r="256" spans="1:10">
      <c r="A256" t="s">
        <v>1931</v>
      </c>
      <c r="B256">
        <v>50.4</v>
      </c>
      <c r="C256">
        <v>8.9999999999996305E-2</v>
      </c>
      <c r="E256" t="s">
        <v>11768</v>
      </c>
      <c r="F256" t="s">
        <v>11771</v>
      </c>
      <c r="I256">
        <v>50.4</v>
      </c>
    </row>
    <row r="257" spans="1:10">
      <c r="A257" t="s">
        <v>1935</v>
      </c>
      <c r="B257">
        <v>50.34</v>
      </c>
      <c r="C257">
        <v>-5.9999999999995168E-2</v>
      </c>
      <c r="E257" t="s">
        <v>11768</v>
      </c>
      <c r="F257" t="s">
        <v>11771</v>
      </c>
      <c r="I257">
        <v>50.34</v>
      </c>
    </row>
    <row r="258" spans="1:10">
      <c r="A258" t="s">
        <v>1940</v>
      </c>
      <c r="B258">
        <v>50.28</v>
      </c>
      <c r="C258">
        <v>-6.0000000000002274E-2</v>
      </c>
      <c r="E258" t="s">
        <v>11768</v>
      </c>
      <c r="F258" t="s">
        <v>11771</v>
      </c>
      <c r="I258">
        <v>50.28</v>
      </c>
    </row>
    <row r="259" spans="1:10">
      <c r="A259" t="s">
        <v>1944</v>
      </c>
      <c r="B259">
        <v>50.22</v>
      </c>
      <c r="C259">
        <v>-6.0000000000002274E-2</v>
      </c>
      <c r="E259" t="s">
        <v>11768</v>
      </c>
      <c r="F259" t="s">
        <v>11771</v>
      </c>
      <c r="I259">
        <v>50.22</v>
      </c>
    </row>
    <row r="260" spans="1:10">
      <c r="A260" t="s">
        <v>1950</v>
      </c>
      <c r="B260">
        <v>50.13</v>
      </c>
      <c r="C260">
        <v>-8.9999999999996305E-2</v>
      </c>
      <c r="E260" t="s">
        <v>11768</v>
      </c>
      <c r="F260" t="s">
        <v>11771</v>
      </c>
      <c r="I260">
        <v>50.13</v>
      </c>
    </row>
    <row r="261" spans="1:10">
      <c r="A261" t="s">
        <v>1955</v>
      </c>
      <c r="B261">
        <v>50.19</v>
      </c>
      <c r="C261">
        <v>5.9999999999995168E-2</v>
      </c>
      <c r="E261" t="s">
        <v>11768</v>
      </c>
      <c r="F261" t="s">
        <v>11771</v>
      </c>
      <c r="I261">
        <v>50.19</v>
      </c>
    </row>
    <row r="262" spans="1:10">
      <c r="A262" t="s">
        <v>1959</v>
      </c>
      <c r="B262">
        <v>68.28</v>
      </c>
      <c r="C262">
        <v>18.090000000000003</v>
      </c>
      <c r="D262" t="s">
        <v>11764</v>
      </c>
      <c r="E262" t="s">
        <v>11769</v>
      </c>
      <c r="F262" t="s">
        <v>11771</v>
      </c>
      <c r="G262">
        <v>68.28</v>
      </c>
    </row>
    <row r="263" spans="1:10">
      <c r="A263" t="s">
        <v>1967</v>
      </c>
      <c r="B263">
        <v>82.02</v>
      </c>
      <c r="C263">
        <v>13.739999999999995</v>
      </c>
      <c r="E263" t="s">
        <v>11769</v>
      </c>
      <c r="F263" t="s">
        <v>11771</v>
      </c>
      <c r="G263">
        <v>82.02</v>
      </c>
    </row>
    <row r="264" spans="1:10">
      <c r="A264" t="s">
        <v>1976</v>
      </c>
      <c r="B264">
        <v>82.65</v>
      </c>
      <c r="C264">
        <v>0.63000000000000966</v>
      </c>
      <c r="E264" t="s">
        <v>11769</v>
      </c>
      <c r="F264" t="s">
        <v>11771</v>
      </c>
      <c r="G264">
        <v>82.65</v>
      </c>
    </row>
    <row r="265" spans="1:10">
      <c r="A265" t="s">
        <v>1985</v>
      </c>
      <c r="B265">
        <v>82.62</v>
      </c>
      <c r="C265">
        <v>-3.0000000000001137E-2</v>
      </c>
      <c r="E265" t="s">
        <v>11769</v>
      </c>
      <c r="F265" t="s">
        <v>11771</v>
      </c>
      <c r="G265">
        <v>82.62</v>
      </c>
    </row>
    <row r="266" spans="1:10">
      <c r="A266" t="s">
        <v>1993</v>
      </c>
      <c r="B266">
        <v>56.13</v>
      </c>
      <c r="C266">
        <v>-26.490000000000002</v>
      </c>
      <c r="D266" t="s">
        <v>11764</v>
      </c>
      <c r="E266" t="s">
        <v>11768</v>
      </c>
      <c r="F266" t="s">
        <v>11771</v>
      </c>
      <c r="I266">
        <v>56.13</v>
      </c>
    </row>
    <row r="267" spans="1:10">
      <c r="A267" t="s">
        <v>2003</v>
      </c>
      <c r="B267">
        <v>53.01</v>
      </c>
      <c r="C267">
        <v>-3.1200000000000045</v>
      </c>
      <c r="E267" t="s">
        <v>11768</v>
      </c>
      <c r="F267" t="s">
        <v>11771</v>
      </c>
      <c r="I267">
        <v>53.01</v>
      </c>
    </row>
    <row r="268" spans="1:10">
      <c r="A268" t="s">
        <v>2009</v>
      </c>
      <c r="B268">
        <v>52.92</v>
      </c>
      <c r="C268">
        <v>-8.9999999999996305E-2</v>
      </c>
      <c r="E268" t="s">
        <v>11768</v>
      </c>
      <c r="F268" t="s">
        <v>11771</v>
      </c>
      <c r="I268">
        <v>52.92</v>
      </c>
    </row>
    <row r="269" spans="1:10">
      <c r="A269" t="s">
        <v>2015</v>
      </c>
      <c r="B269">
        <v>52.92</v>
      </c>
      <c r="C269">
        <v>0</v>
      </c>
      <c r="E269" t="s">
        <v>11768</v>
      </c>
      <c r="F269" t="s">
        <v>11770</v>
      </c>
      <c r="J269">
        <v>52.92</v>
      </c>
    </row>
    <row r="270" spans="1:10">
      <c r="A270" t="s">
        <v>2022</v>
      </c>
      <c r="B270">
        <v>52.65</v>
      </c>
      <c r="C270">
        <v>-0.27000000000000313</v>
      </c>
      <c r="E270" t="s">
        <v>11768</v>
      </c>
      <c r="F270" t="s">
        <v>11771</v>
      </c>
      <c r="I270">
        <v>52.65</v>
      </c>
    </row>
    <row r="271" spans="1:10">
      <c r="A271" t="s">
        <v>2028</v>
      </c>
      <c r="B271">
        <v>52.74</v>
      </c>
      <c r="C271">
        <v>9.0000000000003411E-2</v>
      </c>
      <c r="E271" t="s">
        <v>11768</v>
      </c>
      <c r="F271" t="s">
        <v>11771</v>
      </c>
      <c r="I271">
        <v>52.74</v>
      </c>
    </row>
    <row r="272" spans="1:10">
      <c r="A272" t="s">
        <v>2033</v>
      </c>
      <c r="B272">
        <v>52.74</v>
      </c>
      <c r="C272">
        <v>0</v>
      </c>
      <c r="E272" t="s">
        <v>11768</v>
      </c>
      <c r="F272" t="s">
        <v>11770</v>
      </c>
      <c r="J272">
        <v>52.74</v>
      </c>
    </row>
    <row r="273" spans="1:10">
      <c r="A273" t="s">
        <v>2038</v>
      </c>
      <c r="B273">
        <v>52.71</v>
      </c>
      <c r="C273">
        <v>-3.0000000000001137E-2</v>
      </c>
      <c r="E273" t="s">
        <v>11768</v>
      </c>
      <c r="F273" t="s">
        <v>11771</v>
      </c>
      <c r="I273">
        <v>52.71</v>
      </c>
    </row>
    <row r="274" spans="1:10">
      <c r="A274" t="s">
        <v>2042</v>
      </c>
      <c r="B274">
        <v>52.53</v>
      </c>
      <c r="C274">
        <v>-0.17999999999999972</v>
      </c>
      <c r="E274" t="s">
        <v>11768</v>
      </c>
      <c r="F274" t="s">
        <v>11771</v>
      </c>
      <c r="I274">
        <v>52.53</v>
      </c>
    </row>
    <row r="275" spans="1:10">
      <c r="A275" t="s">
        <v>2048</v>
      </c>
      <c r="B275">
        <v>52.47</v>
      </c>
      <c r="C275">
        <v>-6.0000000000002274E-2</v>
      </c>
      <c r="E275" t="s">
        <v>11768</v>
      </c>
      <c r="F275" t="s">
        <v>11771</v>
      </c>
      <c r="I275">
        <v>52.47</v>
      </c>
    </row>
    <row r="276" spans="1:10">
      <c r="A276" t="s">
        <v>2052</v>
      </c>
      <c r="B276">
        <v>52.47</v>
      </c>
      <c r="C276">
        <v>0</v>
      </c>
      <c r="E276" t="s">
        <v>11768</v>
      </c>
      <c r="F276" t="s">
        <v>11770</v>
      </c>
      <c r="J276">
        <v>52.47</v>
      </c>
    </row>
    <row r="277" spans="1:10">
      <c r="A277" t="s">
        <v>2057</v>
      </c>
      <c r="B277">
        <v>52.47</v>
      </c>
      <c r="C277">
        <v>0</v>
      </c>
      <c r="E277" t="s">
        <v>11768</v>
      </c>
      <c r="F277" t="s">
        <v>11770</v>
      </c>
      <c r="J277">
        <v>52.47</v>
      </c>
    </row>
    <row r="278" spans="1:10">
      <c r="A278" t="s">
        <v>2061</v>
      </c>
      <c r="B278">
        <v>52.41</v>
      </c>
      <c r="C278">
        <v>-6.0000000000002274E-2</v>
      </c>
      <c r="E278" t="s">
        <v>11768</v>
      </c>
      <c r="F278" t="s">
        <v>11771</v>
      </c>
      <c r="I278">
        <v>52.41</v>
      </c>
    </row>
    <row r="279" spans="1:10">
      <c r="A279" t="s">
        <v>2065</v>
      </c>
      <c r="B279">
        <v>52.29</v>
      </c>
      <c r="C279">
        <v>-0.11999999999999744</v>
      </c>
      <c r="E279" t="s">
        <v>11768</v>
      </c>
      <c r="F279" t="s">
        <v>11771</v>
      </c>
      <c r="I279">
        <v>52.29</v>
      </c>
    </row>
    <row r="280" spans="1:10">
      <c r="A280" t="s">
        <v>2069</v>
      </c>
      <c r="B280">
        <v>52.41</v>
      </c>
      <c r="C280">
        <v>0.11999999999999744</v>
      </c>
      <c r="E280" t="s">
        <v>11768</v>
      </c>
      <c r="F280" t="s">
        <v>11771</v>
      </c>
      <c r="I280">
        <v>52.41</v>
      </c>
    </row>
    <row r="281" spans="1:10">
      <c r="A281" t="s">
        <v>2073</v>
      </c>
      <c r="B281">
        <v>52.23</v>
      </c>
      <c r="C281">
        <v>-0.17999999999999972</v>
      </c>
      <c r="E281" t="s">
        <v>11768</v>
      </c>
      <c r="F281" t="s">
        <v>11771</v>
      </c>
      <c r="I281">
        <v>52.23</v>
      </c>
    </row>
    <row r="282" spans="1:10">
      <c r="A282" t="s">
        <v>2079</v>
      </c>
      <c r="B282">
        <v>52.38</v>
      </c>
      <c r="C282">
        <v>0.15000000000000568</v>
      </c>
      <c r="E282" t="s">
        <v>11768</v>
      </c>
      <c r="F282" t="s">
        <v>11771</v>
      </c>
      <c r="I282">
        <v>52.38</v>
      </c>
    </row>
    <row r="283" spans="1:10">
      <c r="A283" t="s">
        <v>2084</v>
      </c>
      <c r="B283">
        <v>52.29</v>
      </c>
      <c r="C283">
        <v>-9.0000000000003411E-2</v>
      </c>
      <c r="E283" t="s">
        <v>11768</v>
      </c>
      <c r="F283" t="s">
        <v>11771</v>
      </c>
      <c r="I283">
        <v>52.29</v>
      </c>
    </row>
    <row r="284" spans="1:10">
      <c r="A284" t="s">
        <v>2089</v>
      </c>
      <c r="B284">
        <v>52.26</v>
      </c>
      <c r="C284">
        <v>-3.0000000000001137E-2</v>
      </c>
      <c r="E284" t="s">
        <v>11768</v>
      </c>
      <c r="F284" t="s">
        <v>11771</v>
      </c>
      <c r="I284">
        <v>52.26</v>
      </c>
    </row>
    <row r="285" spans="1:10">
      <c r="A285" t="s">
        <v>2093</v>
      </c>
      <c r="B285">
        <v>52.14</v>
      </c>
      <c r="C285">
        <v>-0.11999999999999744</v>
      </c>
      <c r="E285" t="s">
        <v>11768</v>
      </c>
      <c r="F285" t="s">
        <v>11771</v>
      </c>
      <c r="I285">
        <v>52.14</v>
      </c>
    </row>
    <row r="286" spans="1:10">
      <c r="A286" t="s">
        <v>2097</v>
      </c>
      <c r="B286">
        <v>52.08</v>
      </c>
      <c r="C286">
        <v>-6.0000000000002274E-2</v>
      </c>
      <c r="E286" t="s">
        <v>11768</v>
      </c>
      <c r="F286" t="s">
        <v>11771</v>
      </c>
      <c r="I286">
        <v>52.08</v>
      </c>
    </row>
    <row r="287" spans="1:10">
      <c r="A287" t="s">
        <v>2101</v>
      </c>
      <c r="B287">
        <v>52.08</v>
      </c>
      <c r="C287">
        <v>0</v>
      </c>
      <c r="E287" t="s">
        <v>11768</v>
      </c>
      <c r="F287" t="s">
        <v>11770</v>
      </c>
      <c r="J287">
        <v>52.08</v>
      </c>
    </row>
    <row r="288" spans="1:10">
      <c r="A288" t="s">
        <v>2105</v>
      </c>
      <c r="B288">
        <v>52.17</v>
      </c>
      <c r="C288">
        <v>9.0000000000003411E-2</v>
      </c>
      <c r="E288" t="s">
        <v>11768</v>
      </c>
      <c r="F288" t="s">
        <v>11771</v>
      </c>
      <c r="I288">
        <v>52.17</v>
      </c>
    </row>
    <row r="289" spans="1:10">
      <c r="A289" t="s">
        <v>2109</v>
      </c>
      <c r="B289">
        <v>52.11</v>
      </c>
      <c r="C289">
        <v>-6.0000000000002274E-2</v>
      </c>
      <c r="E289" t="s">
        <v>11768</v>
      </c>
      <c r="F289" t="s">
        <v>11771</v>
      </c>
      <c r="I289">
        <v>52.11</v>
      </c>
    </row>
    <row r="290" spans="1:10">
      <c r="A290" t="s">
        <v>2113</v>
      </c>
      <c r="B290">
        <v>52.02</v>
      </c>
      <c r="C290">
        <v>-8.9999999999996305E-2</v>
      </c>
      <c r="E290" t="s">
        <v>11768</v>
      </c>
      <c r="F290" t="s">
        <v>11771</v>
      </c>
      <c r="I290">
        <v>52.02</v>
      </c>
    </row>
    <row r="291" spans="1:10">
      <c r="A291" t="s">
        <v>2117</v>
      </c>
      <c r="B291">
        <v>52.02</v>
      </c>
      <c r="C291">
        <v>0</v>
      </c>
      <c r="E291" t="s">
        <v>11768</v>
      </c>
      <c r="F291" t="s">
        <v>11770</v>
      </c>
      <c r="J291">
        <v>52.02</v>
      </c>
    </row>
    <row r="292" spans="1:10">
      <c r="A292" t="s">
        <v>2121</v>
      </c>
      <c r="B292">
        <v>52.02</v>
      </c>
      <c r="C292">
        <v>0</v>
      </c>
      <c r="E292" t="s">
        <v>11768</v>
      </c>
      <c r="F292" t="s">
        <v>11770</v>
      </c>
      <c r="J292">
        <v>52.02</v>
      </c>
    </row>
    <row r="293" spans="1:10">
      <c r="A293" t="s">
        <v>2125</v>
      </c>
      <c r="B293">
        <v>51.84</v>
      </c>
      <c r="C293">
        <v>-0.17999999999999972</v>
      </c>
      <c r="E293" t="s">
        <v>11768</v>
      </c>
      <c r="F293" t="s">
        <v>11771</v>
      </c>
      <c r="I293">
        <v>51.84</v>
      </c>
    </row>
    <row r="294" spans="1:10">
      <c r="A294" t="s">
        <v>2129</v>
      </c>
      <c r="B294">
        <v>51.72</v>
      </c>
      <c r="C294">
        <v>-0.12000000000000455</v>
      </c>
      <c r="E294" t="s">
        <v>11768</v>
      </c>
      <c r="F294" t="s">
        <v>11771</v>
      </c>
      <c r="I294">
        <v>51.72</v>
      </c>
    </row>
    <row r="295" spans="1:10">
      <c r="A295" t="s">
        <v>2133</v>
      </c>
      <c r="B295">
        <v>51.72</v>
      </c>
      <c r="C295">
        <v>0</v>
      </c>
      <c r="E295" t="s">
        <v>11768</v>
      </c>
      <c r="F295" t="s">
        <v>11770</v>
      </c>
      <c r="J295">
        <v>51.72</v>
      </c>
    </row>
    <row r="296" spans="1:10">
      <c r="A296" t="s">
        <v>2137</v>
      </c>
      <c r="B296">
        <v>51.54</v>
      </c>
      <c r="C296">
        <v>-0.17999999999999972</v>
      </c>
      <c r="E296" t="s">
        <v>11768</v>
      </c>
      <c r="F296" t="s">
        <v>11771</v>
      </c>
      <c r="I296">
        <v>51.54</v>
      </c>
    </row>
    <row r="297" spans="1:10">
      <c r="A297" t="s">
        <v>2141</v>
      </c>
      <c r="B297">
        <v>51.54</v>
      </c>
      <c r="C297">
        <v>0</v>
      </c>
      <c r="E297" t="s">
        <v>11768</v>
      </c>
      <c r="F297" t="s">
        <v>11770</v>
      </c>
      <c r="J297">
        <v>51.54</v>
      </c>
    </row>
    <row r="298" spans="1:10">
      <c r="A298" t="s">
        <v>2146</v>
      </c>
      <c r="B298">
        <v>51.48</v>
      </c>
      <c r="C298">
        <v>-6.0000000000002274E-2</v>
      </c>
      <c r="E298" t="s">
        <v>11768</v>
      </c>
      <c r="F298" t="s">
        <v>11771</v>
      </c>
      <c r="I298">
        <v>51.48</v>
      </c>
    </row>
    <row r="299" spans="1:10">
      <c r="A299" t="s">
        <v>2150</v>
      </c>
      <c r="B299">
        <v>51.36</v>
      </c>
      <c r="C299">
        <v>-0.11999999999999744</v>
      </c>
      <c r="E299" t="s">
        <v>11768</v>
      </c>
      <c r="F299" t="s">
        <v>11771</v>
      </c>
      <c r="I299">
        <v>51.36</v>
      </c>
    </row>
    <row r="300" spans="1:10">
      <c r="A300" t="s">
        <v>2155</v>
      </c>
      <c r="B300">
        <v>51.33</v>
      </c>
      <c r="C300">
        <v>-3.0000000000001137E-2</v>
      </c>
      <c r="E300" t="s">
        <v>11768</v>
      </c>
      <c r="F300" t="s">
        <v>11771</v>
      </c>
      <c r="I300">
        <v>51.33</v>
      </c>
    </row>
    <row r="301" spans="1:10">
      <c r="A301" t="s">
        <v>2159</v>
      </c>
      <c r="B301">
        <v>51.15</v>
      </c>
      <c r="C301">
        <v>-0.17999999999999972</v>
      </c>
      <c r="E301" t="s">
        <v>11768</v>
      </c>
      <c r="F301" t="s">
        <v>11771</v>
      </c>
      <c r="I301">
        <v>51.15</v>
      </c>
    </row>
    <row r="302" spans="1:10">
      <c r="A302" t="s">
        <v>2164</v>
      </c>
      <c r="B302">
        <v>51.24</v>
      </c>
      <c r="C302">
        <v>9.0000000000003411E-2</v>
      </c>
      <c r="E302" t="s">
        <v>11768</v>
      </c>
      <c r="F302" t="s">
        <v>11771</v>
      </c>
      <c r="I302">
        <v>51.24</v>
      </c>
    </row>
    <row r="303" spans="1:10">
      <c r="A303" t="s">
        <v>2168</v>
      </c>
      <c r="B303">
        <v>51.15</v>
      </c>
      <c r="C303">
        <v>-9.0000000000003411E-2</v>
      </c>
      <c r="E303" t="s">
        <v>11768</v>
      </c>
      <c r="F303" t="s">
        <v>11771</v>
      </c>
      <c r="I303">
        <v>51.15</v>
      </c>
    </row>
    <row r="304" spans="1:10">
      <c r="A304" t="s">
        <v>2172</v>
      </c>
      <c r="B304">
        <v>51.18</v>
      </c>
      <c r="C304">
        <v>3.0000000000001137E-2</v>
      </c>
      <c r="E304" t="s">
        <v>11768</v>
      </c>
      <c r="F304" t="s">
        <v>11771</v>
      </c>
      <c r="I304">
        <v>51.18</v>
      </c>
    </row>
    <row r="305" spans="1:10">
      <c r="A305" t="s">
        <v>2176</v>
      </c>
      <c r="B305">
        <v>50.91</v>
      </c>
      <c r="C305">
        <v>-0.27000000000000313</v>
      </c>
      <c r="E305" t="s">
        <v>11768</v>
      </c>
      <c r="F305" t="s">
        <v>11771</v>
      </c>
      <c r="I305">
        <v>50.91</v>
      </c>
    </row>
    <row r="306" spans="1:10">
      <c r="A306" t="s">
        <v>2181</v>
      </c>
      <c r="B306">
        <v>50.91</v>
      </c>
      <c r="C306">
        <v>0</v>
      </c>
      <c r="E306" t="s">
        <v>11768</v>
      </c>
      <c r="F306" t="s">
        <v>11770</v>
      </c>
      <c r="J306">
        <v>50.91</v>
      </c>
    </row>
    <row r="307" spans="1:10">
      <c r="A307" t="s">
        <v>2185</v>
      </c>
      <c r="B307">
        <v>50.94</v>
      </c>
      <c r="C307">
        <v>3.0000000000001137E-2</v>
      </c>
      <c r="E307" t="s">
        <v>11768</v>
      </c>
      <c r="F307" t="s">
        <v>11771</v>
      </c>
      <c r="I307">
        <v>50.94</v>
      </c>
    </row>
    <row r="308" spans="1:10">
      <c r="A308" t="s">
        <v>2189</v>
      </c>
      <c r="B308">
        <v>50.82</v>
      </c>
      <c r="C308">
        <v>-0.11999999999999744</v>
      </c>
      <c r="E308" t="s">
        <v>11768</v>
      </c>
      <c r="F308" t="s">
        <v>11771</v>
      </c>
      <c r="I308">
        <v>50.82</v>
      </c>
    </row>
    <row r="309" spans="1:10">
      <c r="A309" t="s">
        <v>2193</v>
      </c>
      <c r="B309">
        <v>50.79</v>
      </c>
      <c r="C309">
        <v>-3.0000000000001137E-2</v>
      </c>
      <c r="E309" t="s">
        <v>11768</v>
      </c>
      <c r="F309" t="s">
        <v>11771</v>
      </c>
      <c r="I309">
        <v>50.79</v>
      </c>
    </row>
    <row r="310" spans="1:10">
      <c r="A310" t="s">
        <v>2197</v>
      </c>
      <c r="B310">
        <v>50.61</v>
      </c>
      <c r="C310">
        <v>-0.17999999999999972</v>
      </c>
      <c r="E310" t="s">
        <v>11768</v>
      </c>
      <c r="F310" t="s">
        <v>11771</v>
      </c>
      <c r="I310">
        <v>50.61</v>
      </c>
    </row>
    <row r="311" spans="1:10">
      <c r="A311" t="s">
        <v>2201</v>
      </c>
      <c r="B311">
        <v>50.61</v>
      </c>
      <c r="C311">
        <v>0</v>
      </c>
      <c r="E311" t="s">
        <v>11768</v>
      </c>
      <c r="F311" t="s">
        <v>11770</v>
      </c>
      <c r="J311">
        <v>50.61</v>
      </c>
    </row>
    <row r="312" spans="1:10">
      <c r="A312" t="s">
        <v>2205</v>
      </c>
      <c r="B312">
        <v>50.49</v>
      </c>
      <c r="C312">
        <v>-0.11999999999999744</v>
      </c>
      <c r="E312" t="s">
        <v>11768</v>
      </c>
      <c r="F312" t="s">
        <v>11771</v>
      </c>
      <c r="I312">
        <v>50.49</v>
      </c>
    </row>
    <row r="313" spans="1:10">
      <c r="A313" t="s">
        <v>2210</v>
      </c>
      <c r="B313">
        <v>50.52</v>
      </c>
      <c r="C313">
        <v>3.0000000000001137E-2</v>
      </c>
      <c r="E313" t="s">
        <v>11768</v>
      </c>
      <c r="F313" t="s">
        <v>11771</v>
      </c>
      <c r="I313">
        <v>50.52</v>
      </c>
    </row>
    <row r="314" spans="1:10">
      <c r="A314" t="s">
        <v>2214</v>
      </c>
      <c r="B314">
        <v>50.4</v>
      </c>
      <c r="C314">
        <v>-0.12000000000000455</v>
      </c>
      <c r="E314" t="s">
        <v>11768</v>
      </c>
      <c r="F314" t="s">
        <v>11771</v>
      </c>
      <c r="I314">
        <v>50.4</v>
      </c>
    </row>
    <row r="315" spans="1:10">
      <c r="A315" t="s">
        <v>2218</v>
      </c>
      <c r="B315">
        <v>50.49</v>
      </c>
      <c r="C315">
        <v>9.0000000000003411E-2</v>
      </c>
      <c r="E315" t="s">
        <v>11768</v>
      </c>
      <c r="F315" t="s">
        <v>11771</v>
      </c>
      <c r="I315">
        <v>50.49</v>
      </c>
    </row>
    <row r="316" spans="1:10">
      <c r="A316" t="s">
        <v>2222</v>
      </c>
      <c r="B316">
        <v>50.16</v>
      </c>
      <c r="C316">
        <v>-0.3300000000000054</v>
      </c>
      <c r="E316" t="s">
        <v>11768</v>
      </c>
      <c r="F316" t="s">
        <v>11771</v>
      </c>
      <c r="I316">
        <v>50.16</v>
      </c>
    </row>
    <row r="317" spans="1:10">
      <c r="A317" t="s">
        <v>2226</v>
      </c>
      <c r="B317">
        <v>50.16</v>
      </c>
      <c r="C317">
        <v>0</v>
      </c>
      <c r="E317" t="s">
        <v>11768</v>
      </c>
      <c r="F317" t="s">
        <v>11770</v>
      </c>
      <c r="J317">
        <v>50.16</v>
      </c>
    </row>
    <row r="318" spans="1:10">
      <c r="A318" t="s">
        <v>2232</v>
      </c>
      <c r="B318">
        <v>50.13</v>
      </c>
      <c r="C318">
        <v>-2.9999999999994031E-2</v>
      </c>
      <c r="E318" t="s">
        <v>11768</v>
      </c>
      <c r="F318" t="s">
        <v>11771</v>
      </c>
      <c r="I318">
        <v>50.13</v>
      </c>
    </row>
    <row r="319" spans="1:10">
      <c r="A319" t="s">
        <v>2236</v>
      </c>
      <c r="B319">
        <v>81.12</v>
      </c>
      <c r="C319">
        <v>30.990000000000002</v>
      </c>
      <c r="D319" t="s">
        <v>11764</v>
      </c>
      <c r="E319" t="s">
        <v>11769</v>
      </c>
      <c r="F319" t="s">
        <v>11771</v>
      </c>
      <c r="G319">
        <v>81.12</v>
      </c>
    </row>
    <row r="320" spans="1:10">
      <c r="A320" t="s">
        <v>2246</v>
      </c>
      <c r="B320">
        <v>81.96</v>
      </c>
      <c r="C320">
        <v>0.8399999999999892</v>
      </c>
      <c r="E320" t="s">
        <v>11769</v>
      </c>
      <c r="F320" t="s">
        <v>11771</v>
      </c>
      <c r="G320">
        <v>81.96</v>
      </c>
    </row>
    <row r="321" spans="1:9">
      <c r="A321" t="s">
        <v>2254</v>
      </c>
      <c r="B321">
        <v>82.86</v>
      </c>
      <c r="C321">
        <v>0.90000000000000568</v>
      </c>
      <c r="E321" t="s">
        <v>11769</v>
      </c>
      <c r="F321" t="s">
        <v>11771</v>
      </c>
      <c r="G321">
        <v>82.86</v>
      </c>
    </row>
    <row r="322" spans="1:9">
      <c r="A322" t="s">
        <v>2263</v>
      </c>
      <c r="B322">
        <v>58.44</v>
      </c>
      <c r="C322">
        <v>-24.42</v>
      </c>
      <c r="D322" t="s">
        <v>11764</v>
      </c>
      <c r="E322" t="s">
        <v>11768</v>
      </c>
      <c r="F322" t="s">
        <v>11771</v>
      </c>
      <c r="I322">
        <v>58.44</v>
      </c>
    </row>
    <row r="323" spans="1:9">
      <c r="A323" t="s">
        <v>2273</v>
      </c>
      <c r="B323">
        <v>53.1</v>
      </c>
      <c r="C323">
        <v>-5.3399999999999963</v>
      </c>
      <c r="E323" t="s">
        <v>11768</v>
      </c>
      <c r="F323" t="s">
        <v>11771</v>
      </c>
      <c r="I323">
        <v>53.1</v>
      </c>
    </row>
    <row r="324" spans="1:9">
      <c r="A324" t="s">
        <v>2281</v>
      </c>
      <c r="B324">
        <v>52.89</v>
      </c>
      <c r="C324">
        <v>-0.21000000000000085</v>
      </c>
      <c r="E324" t="s">
        <v>11768</v>
      </c>
      <c r="F324" t="s">
        <v>11771</v>
      </c>
      <c r="I324">
        <v>52.89</v>
      </c>
    </row>
    <row r="325" spans="1:9">
      <c r="A325" t="s">
        <v>2286</v>
      </c>
      <c r="B325">
        <v>52.8</v>
      </c>
      <c r="C325">
        <v>-9.0000000000003411E-2</v>
      </c>
      <c r="E325" t="s">
        <v>11768</v>
      </c>
      <c r="F325" t="s">
        <v>11771</v>
      </c>
      <c r="I325">
        <v>52.8</v>
      </c>
    </row>
    <row r="326" spans="1:9">
      <c r="A326" t="s">
        <v>2290</v>
      </c>
      <c r="B326">
        <v>52.77</v>
      </c>
      <c r="C326">
        <v>-2.9999999999994031E-2</v>
      </c>
      <c r="E326" t="s">
        <v>11768</v>
      </c>
      <c r="F326" t="s">
        <v>11771</v>
      </c>
      <c r="I326">
        <v>52.77</v>
      </c>
    </row>
    <row r="327" spans="1:9">
      <c r="A327" t="s">
        <v>2295</v>
      </c>
      <c r="B327">
        <v>52.44</v>
      </c>
      <c r="C327">
        <v>-0.3300000000000054</v>
      </c>
      <c r="E327" t="s">
        <v>11768</v>
      </c>
      <c r="F327" t="s">
        <v>11771</v>
      </c>
      <c r="I327">
        <v>52.44</v>
      </c>
    </row>
    <row r="328" spans="1:9">
      <c r="A328" t="s">
        <v>2299</v>
      </c>
      <c r="B328">
        <v>52.41</v>
      </c>
      <c r="C328">
        <v>-3.0000000000001137E-2</v>
      </c>
      <c r="E328" t="s">
        <v>11768</v>
      </c>
      <c r="F328" t="s">
        <v>11771</v>
      </c>
      <c r="I328">
        <v>52.41</v>
      </c>
    </row>
    <row r="329" spans="1:9">
      <c r="A329" t="s">
        <v>2304</v>
      </c>
      <c r="B329">
        <v>52.5</v>
      </c>
      <c r="C329">
        <v>9.0000000000003411E-2</v>
      </c>
      <c r="E329" t="s">
        <v>11768</v>
      </c>
      <c r="F329" t="s">
        <v>11771</v>
      </c>
      <c r="I329">
        <v>52.5</v>
      </c>
    </row>
    <row r="330" spans="1:9">
      <c r="A330" t="s">
        <v>2309</v>
      </c>
      <c r="B330">
        <v>52.26</v>
      </c>
      <c r="C330">
        <v>-0.24000000000000199</v>
      </c>
      <c r="E330" t="s">
        <v>11768</v>
      </c>
      <c r="F330" t="s">
        <v>11771</v>
      </c>
      <c r="I330">
        <v>52.26</v>
      </c>
    </row>
    <row r="331" spans="1:9">
      <c r="A331" t="s">
        <v>2313</v>
      </c>
      <c r="B331">
        <v>52.23</v>
      </c>
      <c r="C331">
        <v>-3.0000000000001137E-2</v>
      </c>
      <c r="E331" t="s">
        <v>11768</v>
      </c>
      <c r="F331" t="s">
        <v>11771</v>
      </c>
      <c r="I331">
        <v>52.23</v>
      </c>
    </row>
    <row r="332" spans="1:9">
      <c r="A332" t="s">
        <v>2319</v>
      </c>
      <c r="B332">
        <v>51.99</v>
      </c>
      <c r="C332">
        <v>-0.23999999999999488</v>
      </c>
      <c r="E332" t="s">
        <v>11768</v>
      </c>
      <c r="F332" t="s">
        <v>11771</v>
      </c>
      <c r="I332">
        <v>51.99</v>
      </c>
    </row>
    <row r="333" spans="1:9">
      <c r="A333" t="s">
        <v>2323</v>
      </c>
      <c r="B333">
        <v>52.2</v>
      </c>
      <c r="C333">
        <v>0.21000000000000085</v>
      </c>
      <c r="E333" t="s">
        <v>11768</v>
      </c>
      <c r="F333" t="s">
        <v>11771</v>
      </c>
      <c r="I333">
        <v>52.2</v>
      </c>
    </row>
    <row r="334" spans="1:9">
      <c r="A334" t="s">
        <v>2328</v>
      </c>
      <c r="B334">
        <v>51.96</v>
      </c>
      <c r="C334">
        <v>-0.24000000000000199</v>
      </c>
      <c r="E334" t="s">
        <v>11768</v>
      </c>
      <c r="F334" t="s">
        <v>11771</v>
      </c>
      <c r="I334">
        <v>51.96</v>
      </c>
    </row>
    <row r="335" spans="1:9">
      <c r="A335" t="s">
        <v>2334</v>
      </c>
      <c r="B335">
        <v>51.9</v>
      </c>
      <c r="C335">
        <v>-6.0000000000002274E-2</v>
      </c>
      <c r="E335" t="s">
        <v>11768</v>
      </c>
      <c r="F335" t="s">
        <v>11771</v>
      </c>
      <c r="I335">
        <v>51.9</v>
      </c>
    </row>
    <row r="336" spans="1:9">
      <c r="A336" t="s">
        <v>2338</v>
      </c>
      <c r="B336">
        <v>51.84</v>
      </c>
      <c r="C336">
        <v>-5.9999999999995168E-2</v>
      </c>
      <c r="E336" t="s">
        <v>11768</v>
      </c>
      <c r="F336" t="s">
        <v>11771</v>
      </c>
      <c r="I336">
        <v>51.84</v>
      </c>
    </row>
    <row r="337" spans="1:9">
      <c r="A337" t="s">
        <v>2342</v>
      </c>
      <c r="B337">
        <v>51.66</v>
      </c>
      <c r="C337">
        <v>-0.18000000000000682</v>
      </c>
      <c r="E337" t="s">
        <v>11768</v>
      </c>
      <c r="F337" t="s">
        <v>11771</v>
      </c>
      <c r="I337">
        <v>51.66</v>
      </c>
    </row>
    <row r="338" spans="1:9">
      <c r="A338" t="s">
        <v>2347</v>
      </c>
      <c r="B338">
        <v>51.69</v>
      </c>
      <c r="C338">
        <v>3.0000000000001137E-2</v>
      </c>
      <c r="E338" t="s">
        <v>11768</v>
      </c>
      <c r="F338" t="s">
        <v>11771</v>
      </c>
      <c r="I338">
        <v>51.69</v>
      </c>
    </row>
    <row r="339" spans="1:9">
      <c r="A339" t="s">
        <v>2351</v>
      </c>
      <c r="B339">
        <v>51.57</v>
      </c>
      <c r="C339">
        <v>-0.11999999999999744</v>
      </c>
      <c r="E339" t="s">
        <v>11768</v>
      </c>
      <c r="F339" t="s">
        <v>11771</v>
      </c>
      <c r="I339">
        <v>51.57</v>
      </c>
    </row>
    <row r="340" spans="1:9">
      <c r="A340" t="s">
        <v>2355</v>
      </c>
      <c r="B340">
        <v>51.51</v>
      </c>
      <c r="C340">
        <v>-6.0000000000002274E-2</v>
      </c>
      <c r="E340" t="s">
        <v>11768</v>
      </c>
      <c r="F340" t="s">
        <v>11771</v>
      </c>
      <c r="I340">
        <v>51.51</v>
      </c>
    </row>
    <row r="341" spans="1:9">
      <c r="A341" t="s">
        <v>2359</v>
      </c>
      <c r="B341">
        <v>51.39</v>
      </c>
      <c r="C341">
        <v>-0.11999999999999744</v>
      </c>
      <c r="E341" t="s">
        <v>11768</v>
      </c>
      <c r="F341" t="s">
        <v>11771</v>
      </c>
      <c r="I341">
        <v>51.39</v>
      </c>
    </row>
    <row r="342" spans="1:9">
      <c r="A342" t="s">
        <v>2363</v>
      </c>
      <c r="B342">
        <v>51.33</v>
      </c>
      <c r="C342">
        <v>-6.0000000000002274E-2</v>
      </c>
      <c r="E342" t="s">
        <v>11768</v>
      </c>
      <c r="F342" t="s">
        <v>11771</v>
      </c>
      <c r="I342">
        <v>51.33</v>
      </c>
    </row>
    <row r="343" spans="1:9">
      <c r="A343" t="s">
        <v>2367</v>
      </c>
      <c r="B343">
        <v>51.18</v>
      </c>
      <c r="C343">
        <v>-0.14999999999999858</v>
      </c>
      <c r="E343" t="s">
        <v>11768</v>
      </c>
      <c r="F343" t="s">
        <v>11771</v>
      </c>
      <c r="I343">
        <v>51.18</v>
      </c>
    </row>
    <row r="344" spans="1:9">
      <c r="A344" t="s">
        <v>2371</v>
      </c>
      <c r="B344">
        <v>51.06</v>
      </c>
      <c r="C344">
        <v>-0.11999999999999744</v>
      </c>
      <c r="E344" t="s">
        <v>11768</v>
      </c>
      <c r="F344" t="s">
        <v>11771</v>
      </c>
      <c r="I344">
        <v>51.06</v>
      </c>
    </row>
    <row r="345" spans="1:9">
      <c r="A345" t="s">
        <v>2376</v>
      </c>
      <c r="B345">
        <v>51</v>
      </c>
      <c r="C345">
        <v>-6.0000000000002274E-2</v>
      </c>
      <c r="E345" t="s">
        <v>11768</v>
      </c>
      <c r="F345" t="s">
        <v>11771</v>
      </c>
      <c r="I345">
        <v>51</v>
      </c>
    </row>
    <row r="346" spans="1:9">
      <c r="A346" t="s">
        <v>2380</v>
      </c>
      <c r="B346">
        <v>50.82</v>
      </c>
      <c r="C346">
        <v>-0.17999999999999972</v>
      </c>
      <c r="E346" t="s">
        <v>11768</v>
      </c>
      <c r="F346" t="s">
        <v>11771</v>
      </c>
      <c r="I346">
        <v>50.82</v>
      </c>
    </row>
    <row r="347" spans="1:9">
      <c r="A347" t="s">
        <v>2384</v>
      </c>
      <c r="B347">
        <v>50.85</v>
      </c>
      <c r="C347">
        <v>3.0000000000001137E-2</v>
      </c>
      <c r="E347" t="s">
        <v>11768</v>
      </c>
      <c r="F347" t="s">
        <v>11771</v>
      </c>
      <c r="I347">
        <v>50.85</v>
      </c>
    </row>
    <row r="348" spans="1:9">
      <c r="A348" t="s">
        <v>2388</v>
      </c>
      <c r="B348">
        <v>50.7</v>
      </c>
      <c r="C348">
        <v>-0.14999999999999858</v>
      </c>
      <c r="E348" t="s">
        <v>11768</v>
      </c>
      <c r="F348" t="s">
        <v>11771</v>
      </c>
      <c r="I348">
        <v>50.7</v>
      </c>
    </row>
    <row r="349" spans="1:9">
      <c r="A349" t="s">
        <v>2392</v>
      </c>
      <c r="B349">
        <v>50.61</v>
      </c>
      <c r="C349">
        <v>-9.0000000000003411E-2</v>
      </c>
      <c r="E349" t="s">
        <v>11768</v>
      </c>
      <c r="F349" t="s">
        <v>11771</v>
      </c>
      <c r="I349">
        <v>50.61</v>
      </c>
    </row>
    <row r="350" spans="1:9">
      <c r="A350" t="s">
        <v>2397</v>
      </c>
      <c r="B350">
        <v>50.64</v>
      </c>
      <c r="C350">
        <v>3.0000000000001137E-2</v>
      </c>
      <c r="E350" t="s">
        <v>11768</v>
      </c>
      <c r="F350" t="s">
        <v>11771</v>
      </c>
      <c r="I350">
        <v>50.64</v>
      </c>
    </row>
    <row r="351" spans="1:9">
      <c r="A351" t="s">
        <v>2401</v>
      </c>
      <c r="B351">
        <v>50.4</v>
      </c>
      <c r="C351">
        <v>-0.24000000000000199</v>
      </c>
      <c r="E351" t="s">
        <v>11768</v>
      </c>
      <c r="F351" t="s">
        <v>11771</v>
      </c>
      <c r="I351">
        <v>50.4</v>
      </c>
    </row>
    <row r="352" spans="1:9">
      <c r="A352" t="s">
        <v>2405</v>
      </c>
      <c r="B352">
        <v>50.31</v>
      </c>
      <c r="C352">
        <v>-8.9999999999996305E-2</v>
      </c>
      <c r="E352" t="s">
        <v>11768</v>
      </c>
      <c r="F352" t="s">
        <v>11771</v>
      </c>
      <c r="I352">
        <v>50.31</v>
      </c>
    </row>
    <row r="353" spans="1:9">
      <c r="A353" t="s">
        <v>2409</v>
      </c>
      <c r="B353">
        <v>50.37</v>
      </c>
      <c r="C353">
        <v>5.9999999999995168E-2</v>
      </c>
      <c r="E353" t="s">
        <v>11768</v>
      </c>
      <c r="F353" t="s">
        <v>11771</v>
      </c>
      <c r="I353">
        <v>50.37</v>
      </c>
    </row>
    <row r="354" spans="1:9">
      <c r="A354" t="s">
        <v>2414</v>
      </c>
      <c r="B354">
        <v>50.22</v>
      </c>
      <c r="C354">
        <v>-0.14999999999999858</v>
      </c>
      <c r="E354" t="s">
        <v>11768</v>
      </c>
      <c r="F354" t="s">
        <v>11771</v>
      </c>
      <c r="I354">
        <v>50.22</v>
      </c>
    </row>
    <row r="355" spans="1:9">
      <c r="A355" t="s">
        <v>2418</v>
      </c>
      <c r="B355">
        <v>50.1</v>
      </c>
      <c r="C355">
        <v>-0.11999999999999744</v>
      </c>
      <c r="E355" t="s">
        <v>11768</v>
      </c>
      <c r="F355" t="s">
        <v>11771</v>
      </c>
      <c r="I355">
        <v>50.1</v>
      </c>
    </row>
    <row r="356" spans="1:9">
      <c r="A356" t="s">
        <v>2423</v>
      </c>
      <c r="B356">
        <v>80.52</v>
      </c>
      <c r="C356">
        <v>30.419999999999995</v>
      </c>
      <c r="D356" t="s">
        <v>11764</v>
      </c>
      <c r="E356" t="s">
        <v>11769</v>
      </c>
      <c r="F356" t="s">
        <v>11771</v>
      </c>
      <c r="G356">
        <v>80.52</v>
      </c>
    </row>
    <row r="357" spans="1:9">
      <c r="A357" t="s">
        <v>2430</v>
      </c>
      <c r="B357">
        <v>81.599999999999994</v>
      </c>
      <c r="C357">
        <v>1.0799999999999983</v>
      </c>
      <c r="E357" t="s">
        <v>11769</v>
      </c>
      <c r="F357" t="s">
        <v>11771</v>
      </c>
      <c r="G357">
        <v>81.599999999999994</v>
      </c>
    </row>
    <row r="358" spans="1:9">
      <c r="A358" t="s">
        <v>2439</v>
      </c>
      <c r="B358">
        <v>82.68</v>
      </c>
      <c r="C358">
        <v>1.0800000000000125</v>
      </c>
      <c r="E358" t="s">
        <v>11769</v>
      </c>
      <c r="F358" t="s">
        <v>11771</v>
      </c>
      <c r="G358">
        <v>82.68</v>
      </c>
    </row>
    <row r="359" spans="1:9">
      <c r="A359" t="s">
        <v>2447</v>
      </c>
      <c r="B359">
        <v>83.13</v>
      </c>
      <c r="C359">
        <v>0.44999999999998863</v>
      </c>
      <c r="E359" t="s">
        <v>11769</v>
      </c>
      <c r="F359" t="s">
        <v>11771</v>
      </c>
      <c r="G359">
        <v>83.13</v>
      </c>
    </row>
    <row r="360" spans="1:9">
      <c r="A360" t="s">
        <v>2454</v>
      </c>
      <c r="B360">
        <v>53.22</v>
      </c>
      <c r="C360">
        <v>-29.909999999999997</v>
      </c>
      <c r="D360" t="s">
        <v>11764</v>
      </c>
      <c r="E360" t="s">
        <v>11768</v>
      </c>
      <c r="F360" t="s">
        <v>11771</v>
      </c>
      <c r="I360">
        <v>53.22</v>
      </c>
    </row>
    <row r="361" spans="1:9">
      <c r="A361" t="s">
        <v>2462</v>
      </c>
      <c r="B361">
        <v>52.86</v>
      </c>
      <c r="C361">
        <v>-0.35999999999999943</v>
      </c>
      <c r="E361" t="s">
        <v>11768</v>
      </c>
      <c r="F361" t="s">
        <v>11771</v>
      </c>
      <c r="I361">
        <v>52.86</v>
      </c>
    </row>
    <row r="362" spans="1:9">
      <c r="A362" t="s">
        <v>2467</v>
      </c>
      <c r="B362">
        <v>52.8</v>
      </c>
      <c r="C362">
        <v>-6.0000000000002274E-2</v>
      </c>
      <c r="E362" t="s">
        <v>11768</v>
      </c>
      <c r="F362" t="s">
        <v>11771</v>
      </c>
      <c r="I362">
        <v>52.8</v>
      </c>
    </row>
    <row r="363" spans="1:9">
      <c r="A363" t="s">
        <v>2471</v>
      </c>
      <c r="B363">
        <v>52.62</v>
      </c>
      <c r="C363">
        <v>-0.17999999999999972</v>
      </c>
      <c r="E363" t="s">
        <v>11768</v>
      </c>
      <c r="F363" t="s">
        <v>11771</v>
      </c>
      <c r="I363">
        <v>52.62</v>
      </c>
    </row>
    <row r="364" spans="1:9">
      <c r="A364" t="s">
        <v>2477</v>
      </c>
      <c r="B364">
        <v>52.65</v>
      </c>
      <c r="C364">
        <v>3.0000000000001137E-2</v>
      </c>
      <c r="E364" t="s">
        <v>11768</v>
      </c>
      <c r="F364" t="s">
        <v>11771</v>
      </c>
      <c r="I364">
        <v>52.65</v>
      </c>
    </row>
    <row r="365" spans="1:9">
      <c r="A365" t="s">
        <v>2482</v>
      </c>
      <c r="B365">
        <v>52.47</v>
      </c>
      <c r="C365">
        <v>-0.17999999999999972</v>
      </c>
      <c r="E365" t="s">
        <v>11768</v>
      </c>
      <c r="F365" t="s">
        <v>11771</v>
      </c>
      <c r="I365">
        <v>52.47</v>
      </c>
    </row>
    <row r="366" spans="1:9">
      <c r="A366" t="s">
        <v>2486</v>
      </c>
      <c r="B366">
        <v>52.32</v>
      </c>
      <c r="C366">
        <v>-0.14999999999999858</v>
      </c>
      <c r="E366" t="s">
        <v>11768</v>
      </c>
      <c r="F366" t="s">
        <v>11771</v>
      </c>
      <c r="I366">
        <v>52.32</v>
      </c>
    </row>
    <row r="367" spans="1:9">
      <c r="A367" t="s">
        <v>2490</v>
      </c>
      <c r="B367">
        <v>52.29</v>
      </c>
      <c r="C367">
        <v>-3.0000000000001137E-2</v>
      </c>
      <c r="E367" t="s">
        <v>11768</v>
      </c>
      <c r="F367" t="s">
        <v>11771</v>
      </c>
      <c r="I367">
        <v>52.29</v>
      </c>
    </row>
    <row r="368" spans="1:9">
      <c r="A368" t="s">
        <v>2494</v>
      </c>
      <c r="B368">
        <v>52.17</v>
      </c>
      <c r="C368">
        <v>-0.11999999999999744</v>
      </c>
      <c r="E368" t="s">
        <v>11768</v>
      </c>
      <c r="F368" t="s">
        <v>11771</v>
      </c>
      <c r="I368">
        <v>52.17</v>
      </c>
    </row>
    <row r="369" spans="1:10">
      <c r="A369" t="s">
        <v>2498</v>
      </c>
      <c r="B369">
        <v>52.23</v>
      </c>
      <c r="C369">
        <v>5.9999999999995168E-2</v>
      </c>
      <c r="E369" t="s">
        <v>11768</v>
      </c>
      <c r="F369" t="s">
        <v>11771</v>
      </c>
      <c r="I369">
        <v>52.23</v>
      </c>
    </row>
    <row r="370" spans="1:10">
      <c r="A370" t="s">
        <v>2502</v>
      </c>
      <c r="B370">
        <v>52.05</v>
      </c>
      <c r="C370">
        <v>-0.17999999999999972</v>
      </c>
      <c r="E370" t="s">
        <v>11768</v>
      </c>
      <c r="F370" t="s">
        <v>11771</v>
      </c>
      <c r="I370">
        <v>52.05</v>
      </c>
    </row>
    <row r="371" spans="1:10">
      <c r="A371" t="s">
        <v>2506</v>
      </c>
      <c r="B371">
        <v>52.02</v>
      </c>
      <c r="C371">
        <v>-2.9999999999994031E-2</v>
      </c>
      <c r="E371" t="s">
        <v>11768</v>
      </c>
      <c r="F371" t="s">
        <v>11771</v>
      </c>
      <c r="I371">
        <v>52.02</v>
      </c>
    </row>
    <row r="372" spans="1:10">
      <c r="A372" t="s">
        <v>2510</v>
      </c>
      <c r="B372">
        <v>51.84</v>
      </c>
      <c r="C372">
        <v>-0.17999999999999972</v>
      </c>
      <c r="E372" t="s">
        <v>11768</v>
      </c>
      <c r="F372" t="s">
        <v>11771</v>
      </c>
      <c r="I372">
        <v>51.84</v>
      </c>
    </row>
    <row r="373" spans="1:10">
      <c r="A373" t="s">
        <v>2514</v>
      </c>
      <c r="B373">
        <v>51.84</v>
      </c>
      <c r="C373">
        <v>0</v>
      </c>
      <c r="E373" t="s">
        <v>11768</v>
      </c>
      <c r="F373" t="s">
        <v>11770</v>
      </c>
      <c r="J373">
        <v>51.84</v>
      </c>
    </row>
    <row r="374" spans="1:10">
      <c r="A374" t="s">
        <v>2518</v>
      </c>
      <c r="B374">
        <v>51.75</v>
      </c>
      <c r="C374">
        <v>-9.0000000000003411E-2</v>
      </c>
      <c r="E374" t="s">
        <v>11768</v>
      </c>
      <c r="F374" t="s">
        <v>11771</v>
      </c>
      <c r="I374">
        <v>51.75</v>
      </c>
    </row>
    <row r="375" spans="1:10">
      <c r="A375" t="s">
        <v>2522</v>
      </c>
      <c r="B375">
        <v>51.69</v>
      </c>
      <c r="C375">
        <v>-6.0000000000002274E-2</v>
      </c>
      <c r="E375" t="s">
        <v>11768</v>
      </c>
      <c r="F375" t="s">
        <v>11771</v>
      </c>
      <c r="I375">
        <v>51.69</v>
      </c>
    </row>
    <row r="376" spans="1:10">
      <c r="A376" t="s">
        <v>2526</v>
      </c>
      <c r="B376">
        <v>51.57</v>
      </c>
      <c r="C376">
        <v>-0.11999999999999744</v>
      </c>
      <c r="E376" t="s">
        <v>11768</v>
      </c>
      <c r="F376" t="s">
        <v>11771</v>
      </c>
      <c r="I376">
        <v>51.57</v>
      </c>
    </row>
    <row r="377" spans="1:10">
      <c r="A377" t="s">
        <v>2530</v>
      </c>
      <c r="B377">
        <v>51.63</v>
      </c>
      <c r="C377">
        <v>6.0000000000002274E-2</v>
      </c>
      <c r="E377" t="s">
        <v>11768</v>
      </c>
      <c r="F377" t="s">
        <v>11771</v>
      </c>
      <c r="I377">
        <v>51.63</v>
      </c>
    </row>
    <row r="378" spans="1:10">
      <c r="A378" t="s">
        <v>2534</v>
      </c>
      <c r="B378">
        <v>51.42</v>
      </c>
      <c r="C378">
        <v>-0.21000000000000085</v>
      </c>
      <c r="E378" t="s">
        <v>11768</v>
      </c>
      <c r="F378" t="s">
        <v>11771</v>
      </c>
      <c r="I378">
        <v>51.42</v>
      </c>
    </row>
    <row r="379" spans="1:10">
      <c r="A379" t="s">
        <v>2539</v>
      </c>
      <c r="B379">
        <v>51.24</v>
      </c>
      <c r="C379">
        <v>-0.17999999999999972</v>
      </c>
      <c r="E379" t="s">
        <v>11768</v>
      </c>
      <c r="F379" t="s">
        <v>11771</v>
      </c>
      <c r="I379">
        <v>51.24</v>
      </c>
    </row>
    <row r="380" spans="1:10">
      <c r="A380" t="s">
        <v>2543</v>
      </c>
      <c r="B380">
        <v>51.36</v>
      </c>
      <c r="C380">
        <v>0.11999999999999744</v>
      </c>
      <c r="E380" t="s">
        <v>11768</v>
      </c>
      <c r="F380" t="s">
        <v>11771</v>
      </c>
      <c r="I380">
        <v>51.36</v>
      </c>
    </row>
    <row r="381" spans="1:10">
      <c r="A381" t="s">
        <v>2548</v>
      </c>
      <c r="B381">
        <v>51.27</v>
      </c>
      <c r="C381">
        <v>-8.9999999999996305E-2</v>
      </c>
      <c r="E381" t="s">
        <v>11768</v>
      </c>
      <c r="F381" t="s">
        <v>11771</v>
      </c>
      <c r="I381">
        <v>51.27</v>
      </c>
    </row>
    <row r="382" spans="1:10">
      <c r="A382" t="s">
        <v>2553</v>
      </c>
      <c r="B382">
        <v>51.24</v>
      </c>
      <c r="C382">
        <v>-3.0000000000001137E-2</v>
      </c>
      <c r="E382" t="s">
        <v>11768</v>
      </c>
      <c r="F382" t="s">
        <v>11771</v>
      </c>
      <c r="I382">
        <v>51.24</v>
      </c>
    </row>
    <row r="383" spans="1:10">
      <c r="A383" t="s">
        <v>2557</v>
      </c>
      <c r="B383">
        <v>51.15</v>
      </c>
      <c r="C383">
        <v>-9.0000000000003411E-2</v>
      </c>
      <c r="E383" t="s">
        <v>11768</v>
      </c>
      <c r="F383" t="s">
        <v>11771</v>
      </c>
      <c r="I383">
        <v>51.15</v>
      </c>
    </row>
    <row r="384" spans="1:10">
      <c r="A384" t="s">
        <v>2561</v>
      </c>
      <c r="B384">
        <v>51.03</v>
      </c>
      <c r="C384">
        <v>-0.11999999999999744</v>
      </c>
      <c r="E384" t="s">
        <v>11768</v>
      </c>
      <c r="F384" t="s">
        <v>11771</v>
      </c>
      <c r="I384">
        <v>51.03</v>
      </c>
    </row>
    <row r="385" spans="1:10">
      <c r="A385" t="s">
        <v>2565</v>
      </c>
      <c r="B385">
        <v>50.97</v>
      </c>
      <c r="C385">
        <v>-6.0000000000002274E-2</v>
      </c>
      <c r="E385" t="s">
        <v>11768</v>
      </c>
      <c r="F385" t="s">
        <v>11771</v>
      </c>
      <c r="I385">
        <v>50.97</v>
      </c>
    </row>
    <row r="386" spans="1:10">
      <c r="A386" t="s">
        <v>2569</v>
      </c>
      <c r="B386">
        <v>50.97</v>
      </c>
      <c r="C386">
        <v>0</v>
      </c>
      <c r="E386" t="s">
        <v>11768</v>
      </c>
      <c r="F386" t="s">
        <v>11770</v>
      </c>
      <c r="J386">
        <v>50.97</v>
      </c>
    </row>
    <row r="387" spans="1:10">
      <c r="A387" t="s">
        <v>2573</v>
      </c>
      <c r="B387">
        <v>50.79</v>
      </c>
      <c r="C387">
        <v>-0.17999999999999972</v>
      </c>
      <c r="E387" t="s">
        <v>11768</v>
      </c>
      <c r="F387" t="s">
        <v>11771</v>
      </c>
      <c r="I387">
        <v>50.79</v>
      </c>
    </row>
    <row r="388" spans="1:10">
      <c r="A388" t="s">
        <v>2578</v>
      </c>
      <c r="B388">
        <v>50.82</v>
      </c>
      <c r="C388">
        <v>3.0000000000001137E-2</v>
      </c>
      <c r="E388" t="s">
        <v>11768</v>
      </c>
      <c r="F388" t="s">
        <v>11771</v>
      </c>
      <c r="I388">
        <v>50.82</v>
      </c>
    </row>
    <row r="389" spans="1:10">
      <c r="A389" t="s">
        <v>2583</v>
      </c>
      <c r="B389">
        <v>50.73</v>
      </c>
      <c r="C389">
        <v>-9.0000000000003411E-2</v>
      </c>
      <c r="E389" t="s">
        <v>11768</v>
      </c>
      <c r="F389" t="s">
        <v>11771</v>
      </c>
      <c r="I389">
        <v>50.73</v>
      </c>
    </row>
    <row r="390" spans="1:10">
      <c r="A390" t="s">
        <v>2588</v>
      </c>
      <c r="B390">
        <v>50.61</v>
      </c>
      <c r="C390">
        <v>-0.11999999999999744</v>
      </c>
      <c r="E390" t="s">
        <v>11768</v>
      </c>
      <c r="F390" t="s">
        <v>11771</v>
      </c>
      <c r="I390">
        <v>50.61</v>
      </c>
    </row>
    <row r="391" spans="1:10">
      <c r="A391" t="s">
        <v>2592</v>
      </c>
      <c r="B391">
        <v>50.61</v>
      </c>
      <c r="C391">
        <v>0</v>
      </c>
      <c r="E391" t="s">
        <v>11768</v>
      </c>
      <c r="F391" t="s">
        <v>11770</v>
      </c>
      <c r="J391">
        <v>50.61</v>
      </c>
    </row>
    <row r="392" spans="1:10">
      <c r="A392" t="s">
        <v>2596</v>
      </c>
      <c r="B392">
        <v>50.4</v>
      </c>
      <c r="C392">
        <v>-0.21000000000000085</v>
      </c>
      <c r="E392" t="s">
        <v>11768</v>
      </c>
      <c r="F392" t="s">
        <v>11771</v>
      </c>
      <c r="I392">
        <v>50.4</v>
      </c>
    </row>
    <row r="393" spans="1:10">
      <c r="A393" t="s">
        <v>2600</v>
      </c>
      <c r="B393">
        <v>50.43</v>
      </c>
      <c r="C393">
        <v>3.0000000000001137E-2</v>
      </c>
      <c r="E393" t="s">
        <v>11768</v>
      </c>
      <c r="F393" t="s">
        <v>11771</v>
      </c>
      <c r="I393">
        <v>50.43</v>
      </c>
    </row>
    <row r="394" spans="1:10">
      <c r="A394" t="s">
        <v>2604</v>
      </c>
      <c r="B394">
        <v>50.31</v>
      </c>
      <c r="C394">
        <v>-0.11999999999999744</v>
      </c>
      <c r="E394" t="s">
        <v>11768</v>
      </c>
      <c r="F394" t="s">
        <v>11771</v>
      </c>
      <c r="I394">
        <v>50.31</v>
      </c>
    </row>
    <row r="395" spans="1:10">
      <c r="A395" t="s">
        <v>2608</v>
      </c>
      <c r="B395">
        <v>50.43</v>
      </c>
      <c r="C395">
        <v>0.11999999999999744</v>
      </c>
      <c r="E395" t="s">
        <v>11768</v>
      </c>
      <c r="F395" t="s">
        <v>11771</v>
      </c>
      <c r="I395">
        <v>50.43</v>
      </c>
    </row>
    <row r="396" spans="1:10">
      <c r="A396" t="s">
        <v>2612</v>
      </c>
      <c r="B396">
        <v>50.22</v>
      </c>
      <c r="C396">
        <v>-0.21000000000000085</v>
      </c>
      <c r="E396" t="s">
        <v>11768</v>
      </c>
      <c r="F396" t="s">
        <v>11771</v>
      </c>
      <c r="I396">
        <v>50.22</v>
      </c>
    </row>
    <row r="397" spans="1:10">
      <c r="A397" t="s">
        <v>2616</v>
      </c>
      <c r="B397">
        <v>50.13</v>
      </c>
      <c r="C397">
        <v>-8.9999999999996305E-2</v>
      </c>
      <c r="E397" t="s">
        <v>11768</v>
      </c>
      <c r="F397" t="s">
        <v>11771</v>
      </c>
      <c r="I397">
        <v>50.13</v>
      </c>
    </row>
    <row r="398" spans="1:10">
      <c r="A398" t="s">
        <v>2621</v>
      </c>
      <c r="B398">
        <v>50.19</v>
      </c>
      <c r="C398">
        <v>5.9999999999995168E-2</v>
      </c>
      <c r="E398" t="s">
        <v>11768</v>
      </c>
      <c r="F398" t="s">
        <v>11771</v>
      </c>
      <c r="I398">
        <v>50.19</v>
      </c>
    </row>
    <row r="399" spans="1:10">
      <c r="A399" t="s">
        <v>2625</v>
      </c>
      <c r="B399">
        <v>81.09</v>
      </c>
      <c r="C399">
        <v>30.900000000000006</v>
      </c>
      <c r="D399" t="s">
        <v>11764</v>
      </c>
      <c r="E399" t="s">
        <v>11769</v>
      </c>
      <c r="F399" t="s">
        <v>11771</v>
      </c>
      <c r="G399">
        <v>81.09</v>
      </c>
    </row>
    <row r="400" spans="1:10">
      <c r="A400" t="s">
        <v>2635</v>
      </c>
      <c r="B400">
        <v>81.96</v>
      </c>
      <c r="C400">
        <v>0.86999999999999034</v>
      </c>
      <c r="E400" t="s">
        <v>11769</v>
      </c>
      <c r="F400" t="s">
        <v>11771</v>
      </c>
      <c r="G400">
        <v>81.96</v>
      </c>
    </row>
    <row r="401" spans="1:10">
      <c r="A401" t="s">
        <v>2643</v>
      </c>
      <c r="B401">
        <v>82.92</v>
      </c>
      <c r="C401">
        <v>0.96000000000000796</v>
      </c>
      <c r="E401" t="s">
        <v>11769</v>
      </c>
      <c r="F401" t="s">
        <v>11771</v>
      </c>
      <c r="G401">
        <v>82.92</v>
      </c>
    </row>
    <row r="402" spans="1:10">
      <c r="A402" t="s">
        <v>2651</v>
      </c>
      <c r="B402">
        <v>57.42</v>
      </c>
      <c r="C402">
        <v>-25.5</v>
      </c>
      <c r="D402" t="s">
        <v>11764</v>
      </c>
      <c r="E402" t="s">
        <v>11768</v>
      </c>
      <c r="F402" t="s">
        <v>11771</v>
      </c>
      <c r="I402">
        <v>57.42</v>
      </c>
    </row>
    <row r="403" spans="1:10">
      <c r="A403" t="s">
        <v>2661</v>
      </c>
      <c r="B403">
        <v>53.01</v>
      </c>
      <c r="C403">
        <v>-4.4100000000000037</v>
      </c>
      <c r="E403" t="s">
        <v>11768</v>
      </c>
      <c r="F403" t="s">
        <v>11771</v>
      </c>
      <c r="I403">
        <v>53.01</v>
      </c>
    </row>
    <row r="404" spans="1:10">
      <c r="A404" t="s">
        <v>2667</v>
      </c>
      <c r="B404">
        <v>52.74</v>
      </c>
      <c r="C404">
        <v>-0.26999999999999602</v>
      </c>
      <c r="E404" t="s">
        <v>11768</v>
      </c>
      <c r="F404" t="s">
        <v>11771</v>
      </c>
      <c r="I404">
        <v>52.74</v>
      </c>
    </row>
    <row r="405" spans="1:10">
      <c r="A405" t="s">
        <v>2672</v>
      </c>
      <c r="B405">
        <v>52.77</v>
      </c>
      <c r="C405">
        <v>3.0000000000001137E-2</v>
      </c>
      <c r="E405" t="s">
        <v>11768</v>
      </c>
      <c r="F405" t="s">
        <v>11771</v>
      </c>
      <c r="I405">
        <v>52.77</v>
      </c>
    </row>
    <row r="406" spans="1:10">
      <c r="A406" t="s">
        <v>2676</v>
      </c>
      <c r="B406">
        <v>52.71</v>
      </c>
      <c r="C406">
        <v>-6.0000000000002274E-2</v>
      </c>
      <c r="E406" t="s">
        <v>11768</v>
      </c>
      <c r="F406" t="s">
        <v>11771</v>
      </c>
      <c r="I406">
        <v>52.71</v>
      </c>
    </row>
    <row r="407" spans="1:10">
      <c r="A407" t="s">
        <v>2680</v>
      </c>
      <c r="B407">
        <v>52.53</v>
      </c>
      <c r="C407">
        <v>-0.17999999999999972</v>
      </c>
      <c r="E407" t="s">
        <v>11768</v>
      </c>
      <c r="F407" t="s">
        <v>11771</v>
      </c>
      <c r="I407">
        <v>52.53</v>
      </c>
    </row>
    <row r="408" spans="1:10">
      <c r="A408" t="s">
        <v>2685</v>
      </c>
      <c r="B408">
        <v>52.44</v>
      </c>
      <c r="C408">
        <v>-9.0000000000003411E-2</v>
      </c>
      <c r="E408" t="s">
        <v>11768</v>
      </c>
      <c r="F408" t="s">
        <v>11771</v>
      </c>
      <c r="I408">
        <v>52.44</v>
      </c>
    </row>
    <row r="409" spans="1:10">
      <c r="A409" t="s">
        <v>2690</v>
      </c>
      <c r="B409">
        <v>52.44</v>
      </c>
      <c r="C409">
        <v>0</v>
      </c>
      <c r="E409" t="s">
        <v>11768</v>
      </c>
      <c r="F409" t="s">
        <v>11770</v>
      </c>
      <c r="J409">
        <v>52.44</v>
      </c>
    </row>
    <row r="410" spans="1:10">
      <c r="A410" t="s">
        <v>2694</v>
      </c>
      <c r="B410">
        <v>52.32</v>
      </c>
      <c r="C410">
        <v>-0.11999999999999744</v>
      </c>
      <c r="E410" t="s">
        <v>11768</v>
      </c>
      <c r="F410" t="s">
        <v>11771</v>
      </c>
      <c r="I410">
        <v>52.32</v>
      </c>
    </row>
    <row r="411" spans="1:10">
      <c r="A411" t="s">
        <v>2698</v>
      </c>
      <c r="B411">
        <v>52.2</v>
      </c>
      <c r="C411">
        <v>-0.11999999999999744</v>
      </c>
      <c r="E411" t="s">
        <v>11768</v>
      </c>
      <c r="F411" t="s">
        <v>11771</v>
      </c>
      <c r="I411">
        <v>52.2</v>
      </c>
    </row>
    <row r="412" spans="1:10">
      <c r="A412" t="s">
        <v>2702</v>
      </c>
      <c r="B412">
        <v>52.08</v>
      </c>
      <c r="C412">
        <v>-0.12000000000000455</v>
      </c>
      <c r="E412" t="s">
        <v>11768</v>
      </c>
      <c r="F412" t="s">
        <v>11771</v>
      </c>
      <c r="I412">
        <v>52.08</v>
      </c>
    </row>
    <row r="413" spans="1:10">
      <c r="A413" t="s">
        <v>2706</v>
      </c>
      <c r="B413">
        <v>51.93</v>
      </c>
      <c r="C413">
        <v>-0.14999999999999858</v>
      </c>
      <c r="E413" t="s">
        <v>11768</v>
      </c>
      <c r="F413" t="s">
        <v>11771</v>
      </c>
      <c r="I413">
        <v>51.93</v>
      </c>
    </row>
    <row r="414" spans="1:10">
      <c r="A414" t="s">
        <v>2710</v>
      </c>
      <c r="B414">
        <v>52.02</v>
      </c>
      <c r="C414">
        <v>9.0000000000003411E-2</v>
      </c>
      <c r="E414" t="s">
        <v>11768</v>
      </c>
      <c r="F414" t="s">
        <v>11771</v>
      </c>
      <c r="I414">
        <v>52.02</v>
      </c>
    </row>
    <row r="415" spans="1:10">
      <c r="A415" t="s">
        <v>2714</v>
      </c>
      <c r="B415">
        <v>51.84</v>
      </c>
      <c r="C415">
        <v>-0.17999999999999972</v>
      </c>
      <c r="E415" t="s">
        <v>11768</v>
      </c>
      <c r="F415" t="s">
        <v>11771</v>
      </c>
      <c r="I415">
        <v>51.84</v>
      </c>
    </row>
    <row r="416" spans="1:10">
      <c r="A416" t="s">
        <v>2718</v>
      </c>
      <c r="B416">
        <v>51.84</v>
      </c>
      <c r="C416">
        <v>0</v>
      </c>
      <c r="E416" t="s">
        <v>11768</v>
      </c>
      <c r="F416" t="s">
        <v>11770</v>
      </c>
      <c r="J416">
        <v>51.84</v>
      </c>
    </row>
    <row r="417" spans="1:10">
      <c r="A417" t="s">
        <v>2722</v>
      </c>
      <c r="B417">
        <v>51.6</v>
      </c>
      <c r="C417">
        <v>-0.24000000000000199</v>
      </c>
      <c r="E417" t="s">
        <v>11768</v>
      </c>
      <c r="F417" t="s">
        <v>11771</v>
      </c>
      <c r="I417">
        <v>51.6</v>
      </c>
    </row>
    <row r="418" spans="1:10">
      <c r="A418" t="s">
        <v>2726</v>
      </c>
      <c r="B418">
        <v>51.69</v>
      </c>
      <c r="C418">
        <v>8.9999999999996305E-2</v>
      </c>
      <c r="E418" t="s">
        <v>11768</v>
      </c>
      <c r="F418" t="s">
        <v>11771</v>
      </c>
      <c r="I418">
        <v>51.69</v>
      </c>
    </row>
    <row r="419" spans="1:10">
      <c r="A419" t="s">
        <v>2730</v>
      </c>
      <c r="B419">
        <v>51.6</v>
      </c>
      <c r="C419">
        <v>-8.9999999999996305E-2</v>
      </c>
      <c r="E419" t="s">
        <v>11768</v>
      </c>
      <c r="F419" t="s">
        <v>11771</v>
      </c>
      <c r="I419">
        <v>51.6</v>
      </c>
    </row>
    <row r="420" spans="1:10">
      <c r="A420" t="s">
        <v>2735</v>
      </c>
      <c r="B420">
        <v>51.51</v>
      </c>
      <c r="C420">
        <v>-9.0000000000003411E-2</v>
      </c>
      <c r="E420" t="s">
        <v>11768</v>
      </c>
      <c r="F420" t="s">
        <v>11771</v>
      </c>
      <c r="I420">
        <v>51.51</v>
      </c>
    </row>
    <row r="421" spans="1:10">
      <c r="A421" t="s">
        <v>2739</v>
      </c>
      <c r="B421">
        <v>51.51</v>
      </c>
      <c r="C421">
        <v>0</v>
      </c>
      <c r="E421" t="s">
        <v>11768</v>
      </c>
      <c r="F421" t="s">
        <v>11770</v>
      </c>
      <c r="J421">
        <v>51.51</v>
      </c>
    </row>
    <row r="422" spans="1:10">
      <c r="A422" t="s">
        <v>2743</v>
      </c>
      <c r="B422">
        <v>51.33</v>
      </c>
      <c r="C422">
        <v>-0.17999999999999972</v>
      </c>
      <c r="E422" t="s">
        <v>11768</v>
      </c>
      <c r="F422" t="s">
        <v>11771</v>
      </c>
      <c r="I422">
        <v>51.33</v>
      </c>
    </row>
    <row r="423" spans="1:10">
      <c r="A423" t="s">
        <v>2747</v>
      </c>
      <c r="B423">
        <v>51.39</v>
      </c>
      <c r="C423">
        <v>6.0000000000002274E-2</v>
      </c>
      <c r="E423" t="s">
        <v>11768</v>
      </c>
      <c r="F423" t="s">
        <v>11771</v>
      </c>
      <c r="I423">
        <v>51.39</v>
      </c>
    </row>
    <row r="424" spans="1:10">
      <c r="A424" t="s">
        <v>2751</v>
      </c>
      <c r="B424">
        <v>51.27</v>
      </c>
      <c r="C424">
        <v>-0.11999999999999744</v>
      </c>
      <c r="E424" t="s">
        <v>11768</v>
      </c>
      <c r="F424" t="s">
        <v>11771</v>
      </c>
      <c r="I424">
        <v>51.27</v>
      </c>
    </row>
    <row r="425" spans="1:10">
      <c r="A425" t="s">
        <v>2755</v>
      </c>
      <c r="B425">
        <v>51.06</v>
      </c>
      <c r="C425">
        <v>-0.21000000000000085</v>
      </c>
      <c r="E425" t="s">
        <v>11768</v>
      </c>
      <c r="F425" t="s">
        <v>11771</v>
      </c>
      <c r="I425">
        <v>51.06</v>
      </c>
    </row>
    <row r="426" spans="1:10">
      <c r="A426" t="s">
        <v>2759</v>
      </c>
      <c r="B426">
        <v>51.18</v>
      </c>
      <c r="C426">
        <v>0.11999999999999744</v>
      </c>
      <c r="E426" t="s">
        <v>11768</v>
      </c>
      <c r="F426" t="s">
        <v>11771</v>
      </c>
      <c r="I426">
        <v>51.18</v>
      </c>
    </row>
    <row r="427" spans="1:10">
      <c r="A427" t="s">
        <v>2763</v>
      </c>
      <c r="B427">
        <v>51.18</v>
      </c>
      <c r="C427">
        <v>0</v>
      </c>
      <c r="E427" t="s">
        <v>11768</v>
      </c>
      <c r="F427" t="s">
        <v>11770</v>
      </c>
      <c r="J427">
        <v>51.18</v>
      </c>
    </row>
    <row r="428" spans="1:10">
      <c r="A428" t="s">
        <v>2768</v>
      </c>
      <c r="B428">
        <v>50.94</v>
      </c>
      <c r="C428">
        <v>-0.24000000000000199</v>
      </c>
      <c r="E428" t="s">
        <v>11768</v>
      </c>
      <c r="F428" t="s">
        <v>11771</v>
      </c>
      <c r="I428">
        <v>50.94</v>
      </c>
    </row>
    <row r="429" spans="1:10">
      <c r="A429" t="s">
        <v>2773</v>
      </c>
      <c r="B429">
        <v>50.88</v>
      </c>
      <c r="C429">
        <v>-5.9999999999995168E-2</v>
      </c>
      <c r="E429" t="s">
        <v>11768</v>
      </c>
      <c r="F429" t="s">
        <v>11771</v>
      </c>
      <c r="I429">
        <v>50.88</v>
      </c>
    </row>
    <row r="430" spans="1:10">
      <c r="A430" t="s">
        <v>2778</v>
      </c>
      <c r="B430">
        <v>50.85</v>
      </c>
      <c r="C430">
        <v>-3.0000000000001137E-2</v>
      </c>
      <c r="E430" t="s">
        <v>11768</v>
      </c>
      <c r="F430" t="s">
        <v>11771</v>
      </c>
      <c r="I430">
        <v>50.85</v>
      </c>
    </row>
    <row r="431" spans="1:10">
      <c r="A431" t="s">
        <v>2782</v>
      </c>
      <c r="B431">
        <v>50.79</v>
      </c>
      <c r="C431">
        <v>-6.0000000000002274E-2</v>
      </c>
      <c r="E431" t="s">
        <v>11768</v>
      </c>
      <c r="F431" t="s">
        <v>11771</v>
      </c>
      <c r="I431">
        <v>50.79</v>
      </c>
    </row>
    <row r="432" spans="1:10">
      <c r="A432" t="s">
        <v>2786</v>
      </c>
      <c r="B432">
        <v>50.7</v>
      </c>
      <c r="C432">
        <v>-8.9999999999996305E-2</v>
      </c>
      <c r="E432" t="s">
        <v>11768</v>
      </c>
      <c r="F432" t="s">
        <v>11771</v>
      </c>
      <c r="I432">
        <v>50.7</v>
      </c>
    </row>
    <row r="433" spans="1:10">
      <c r="A433" t="s">
        <v>2790</v>
      </c>
      <c r="B433">
        <v>50.64</v>
      </c>
      <c r="C433">
        <v>-6.0000000000002274E-2</v>
      </c>
      <c r="E433" t="s">
        <v>11768</v>
      </c>
      <c r="F433" t="s">
        <v>11771</v>
      </c>
      <c r="I433">
        <v>50.64</v>
      </c>
    </row>
    <row r="434" spans="1:10">
      <c r="A434" t="s">
        <v>2794</v>
      </c>
      <c r="B434">
        <v>50.55</v>
      </c>
      <c r="C434">
        <v>-9.0000000000003411E-2</v>
      </c>
      <c r="E434" t="s">
        <v>11768</v>
      </c>
      <c r="F434" t="s">
        <v>11771</v>
      </c>
      <c r="I434">
        <v>50.55</v>
      </c>
    </row>
    <row r="435" spans="1:10">
      <c r="A435" t="s">
        <v>2798</v>
      </c>
      <c r="B435">
        <v>50.49</v>
      </c>
      <c r="C435">
        <v>-5.9999999999995168E-2</v>
      </c>
      <c r="E435" t="s">
        <v>11768</v>
      </c>
      <c r="F435" t="s">
        <v>11771</v>
      </c>
      <c r="I435">
        <v>50.49</v>
      </c>
    </row>
    <row r="436" spans="1:10">
      <c r="A436" t="s">
        <v>2802</v>
      </c>
      <c r="B436">
        <v>55.05</v>
      </c>
      <c r="C436">
        <v>4.5599999999999952</v>
      </c>
      <c r="E436" t="s">
        <v>11768</v>
      </c>
      <c r="F436" t="s">
        <v>11771</v>
      </c>
      <c r="I436">
        <v>55.05</v>
      </c>
    </row>
    <row r="437" spans="1:10">
      <c r="A437" t="s">
        <v>2809</v>
      </c>
      <c r="B437">
        <v>81.540000000000006</v>
      </c>
      <c r="C437">
        <v>26.490000000000009</v>
      </c>
      <c r="D437" t="s">
        <v>11764</v>
      </c>
      <c r="E437" t="s">
        <v>11769</v>
      </c>
      <c r="F437" t="s">
        <v>11771</v>
      </c>
      <c r="G437">
        <v>81.540000000000006</v>
      </c>
    </row>
    <row r="438" spans="1:10">
      <c r="A438" t="s">
        <v>2820</v>
      </c>
      <c r="B438">
        <v>82.62</v>
      </c>
      <c r="C438">
        <v>1.0799999999999983</v>
      </c>
      <c r="E438" t="s">
        <v>11769</v>
      </c>
      <c r="F438" t="s">
        <v>11771</v>
      </c>
      <c r="G438">
        <v>82.62</v>
      </c>
    </row>
    <row r="439" spans="1:10">
      <c r="A439" t="s">
        <v>2827</v>
      </c>
      <c r="B439">
        <v>83.04</v>
      </c>
      <c r="C439">
        <v>0.42000000000000171</v>
      </c>
      <c r="E439" t="s">
        <v>11769</v>
      </c>
      <c r="F439" t="s">
        <v>11771</v>
      </c>
      <c r="G439">
        <v>83.04</v>
      </c>
    </row>
    <row r="440" spans="1:10">
      <c r="A440" t="s">
        <v>2831</v>
      </c>
      <c r="B440">
        <v>53.1</v>
      </c>
      <c r="C440">
        <v>-29.940000000000005</v>
      </c>
      <c r="D440" t="s">
        <v>11764</v>
      </c>
      <c r="E440" t="s">
        <v>11768</v>
      </c>
      <c r="F440" t="s">
        <v>11771</v>
      </c>
      <c r="I440">
        <v>53.1</v>
      </c>
    </row>
    <row r="441" spans="1:10">
      <c r="A441" t="s">
        <v>2836</v>
      </c>
      <c r="B441">
        <v>52.77</v>
      </c>
      <c r="C441">
        <v>-0.32999999999999829</v>
      </c>
      <c r="E441" t="s">
        <v>11768</v>
      </c>
      <c r="F441" t="s">
        <v>11771</v>
      </c>
      <c r="I441">
        <v>52.77</v>
      </c>
    </row>
    <row r="442" spans="1:10">
      <c r="A442" t="s">
        <v>2840</v>
      </c>
      <c r="B442">
        <v>52.53</v>
      </c>
      <c r="C442">
        <v>-0.24000000000000199</v>
      </c>
      <c r="E442" t="s">
        <v>11768</v>
      </c>
      <c r="F442" t="s">
        <v>11771</v>
      </c>
      <c r="I442">
        <v>52.53</v>
      </c>
    </row>
    <row r="443" spans="1:10">
      <c r="A443" t="s">
        <v>2844</v>
      </c>
      <c r="B443">
        <v>52.71</v>
      </c>
      <c r="C443">
        <v>0.17999999999999972</v>
      </c>
      <c r="E443" t="s">
        <v>11768</v>
      </c>
      <c r="F443" t="s">
        <v>11771</v>
      </c>
      <c r="I443">
        <v>52.71</v>
      </c>
    </row>
    <row r="444" spans="1:10">
      <c r="A444" t="s">
        <v>2848</v>
      </c>
      <c r="B444">
        <v>52.56</v>
      </c>
      <c r="C444">
        <v>-0.14999999999999858</v>
      </c>
      <c r="E444" t="s">
        <v>11768</v>
      </c>
      <c r="F444" t="s">
        <v>11771</v>
      </c>
      <c r="I444">
        <v>52.56</v>
      </c>
    </row>
    <row r="445" spans="1:10">
      <c r="A445" t="s">
        <v>2852</v>
      </c>
      <c r="B445">
        <v>52.38</v>
      </c>
      <c r="C445">
        <v>-0.17999999999999972</v>
      </c>
      <c r="E445" t="s">
        <v>11768</v>
      </c>
      <c r="F445" t="s">
        <v>11771</v>
      </c>
      <c r="I445">
        <v>52.38</v>
      </c>
    </row>
    <row r="446" spans="1:10">
      <c r="A446" t="s">
        <v>2856</v>
      </c>
      <c r="B446">
        <v>52.38</v>
      </c>
      <c r="C446">
        <v>0</v>
      </c>
      <c r="E446" t="s">
        <v>11768</v>
      </c>
      <c r="F446" t="s">
        <v>11770</v>
      </c>
      <c r="J446">
        <v>52.38</v>
      </c>
    </row>
    <row r="447" spans="1:10">
      <c r="A447" t="s">
        <v>2860</v>
      </c>
      <c r="B447">
        <v>52.35</v>
      </c>
      <c r="C447">
        <v>-3.0000000000001137E-2</v>
      </c>
      <c r="E447" t="s">
        <v>11768</v>
      </c>
      <c r="F447" t="s">
        <v>11771</v>
      </c>
      <c r="I447">
        <v>52.35</v>
      </c>
    </row>
    <row r="448" spans="1:10">
      <c r="A448" t="s">
        <v>2865</v>
      </c>
      <c r="B448">
        <v>52.41</v>
      </c>
      <c r="C448">
        <v>5.9999999999995168E-2</v>
      </c>
      <c r="E448" t="s">
        <v>11768</v>
      </c>
      <c r="F448" t="s">
        <v>11771</v>
      </c>
      <c r="I448">
        <v>52.41</v>
      </c>
    </row>
    <row r="449" spans="1:10">
      <c r="A449" t="s">
        <v>2869</v>
      </c>
      <c r="B449">
        <v>52.32</v>
      </c>
      <c r="C449">
        <v>-8.9999999999996305E-2</v>
      </c>
      <c r="E449" t="s">
        <v>11768</v>
      </c>
      <c r="F449" t="s">
        <v>11771</v>
      </c>
      <c r="I449">
        <v>52.32</v>
      </c>
    </row>
    <row r="450" spans="1:10">
      <c r="A450" t="s">
        <v>2874</v>
      </c>
      <c r="B450">
        <v>52.14</v>
      </c>
      <c r="C450">
        <v>-0.17999999999999972</v>
      </c>
      <c r="E450" t="s">
        <v>11768</v>
      </c>
      <c r="F450" t="s">
        <v>11771</v>
      </c>
      <c r="I450">
        <v>52.14</v>
      </c>
    </row>
    <row r="451" spans="1:10">
      <c r="A451" t="s">
        <v>2879</v>
      </c>
      <c r="B451">
        <v>52.2</v>
      </c>
      <c r="C451">
        <v>6.0000000000002274E-2</v>
      </c>
      <c r="E451" t="s">
        <v>11768</v>
      </c>
      <c r="F451" t="s">
        <v>11771</v>
      </c>
      <c r="I451">
        <v>52.2</v>
      </c>
    </row>
    <row r="452" spans="1:10">
      <c r="A452" t="s">
        <v>2887</v>
      </c>
      <c r="B452">
        <v>52.14</v>
      </c>
      <c r="C452">
        <v>-6.0000000000002274E-2</v>
      </c>
      <c r="E452" t="s">
        <v>11768</v>
      </c>
      <c r="F452" t="s">
        <v>11771</v>
      </c>
      <c r="I452">
        <v>52.14</v>
      </c>
    </row>
    <row r="453" spans="1:10">
      <c r="A453" t="s">
        <v>2892</v>
      </c>
      <c r="B453">
        <v>52.02</v>
      </c>
      <c r="C453">
        <v>-0.11999999999999744</v>
      </c>
      <c r="E453" t="s">
        <v>11768</v>
      </c>
      <c r="F453" t="s">
        <v>11771</v>
      </c>
      <c r="I453">
        <v>52.02</v>
      </c>
    </row>
    <row r="454" spans="1:10">
      <c r="A454" t="s">
        <v>2897</v>
      </c>
      <c r="B454">
        <v>52.14</v>
      </c>
      <c r="C454">
        <v>0.11999999999999744</v>
      </c>
      <c r="E454" t="s">
        <v>11768</v>
      </c>
      <c r="F454" t="s">
        <v>11771</v>
      </c>
      <c r="I454">
        <v>52.14</v>
      </c>
    </row>
    <row r="455" spans="1:10">
      <c r="A455" t="s">
        <v>2901</v>
      </c>
      <c r="B455">
        <v>51.99</v>
      </c>
      <c r="C455">
        <v>-0.14999999999999858</v>
      </c>
      <c r="E455" t="s">
        <v>11768</v>
      </c>
      <c r="F455" t="s">
        <v>11771</v>
      </c>
      <c r="I455">
        <v>51.99</v>
      </c>
    </row>
    <row r="456" spans="1:10">
      <c r="A456" t="s">
        <v>2905</v>
      </c>
      <c r="B456">
        <v>52.02</v>
      </c>
      <c r="C456">
        <v>3.0000000000001137E-2</v>
      </c>
      <c r="E456" t="s">
        <v>11768</v>
      </c>
      <c r="F456" t="s">
        <v>11771</v>
      </c>
      <c r="I456">
        <v>52.02</v>
      </c>
    </row>
    <row r="457" spans="1:10">
      <c r="A457" t="s">
        <v>2909</v>
      </c>
      <c r="B457">
        <v>51.9</v>
      </c>
      <c r="C457">
        <v>-0.12000000000000455</v>
      </c>
      <c r="E457" t="s">
        <v>11768</v>
      </c>
      <c r="F457" t="s">
        <v>11771</v>
      </c>
      <c r="I457">
        <v>51.9</v>
      </c>
    </row>
    <row r="458" spans="1:10">
      <c r="A458" t="s">
        <v>2914</v>
      </c>
      <c r="B458">
        <v>51.84</v>
      </c>
      <c r="C458">
        <v>-5.9999999999995168E-2</v>
      </c>
      <c r="E458" t="s">
        <v>11768</v>
      </c>
      <c r="F458" t="s">
        <v>11771</v>
      </c>
      <c r="I458">
        <v>51.84</v>
      </c>
    </row>
    <row r="459" spans="1:10">
      <c r="A459" t="s">
        <v>2918</v>
      </c>
      <c r="B459">
        <v>51.75</v>
      </c>
      <c r="C459">
        <v>-9.0000000000003411E-2</v>
      </c>
      <c r="E459" t="s">
        <v>11768</v>
      </c>
      <c r="F459" t="s">
        <v>11771</v>
      </c>
      <c r="I459">
        <v>51.75</v>
      </c>
    </row>
    <row r="460" spans="1:10">
      <c r="A460" t="s">
        <v>2922</v>
      </c>
      <c r="B460">
        <v>51.75</v>
      </c>
      <c r="C460">
        <v>0</v>
      </c>
      <c r="E460" t="s">
        <v>11768</v>
      </c>
      <c r="F460" t="s">
        <v>11770</v>
      </c>
      <c r="J460">
        <v>51.75</v>
      </c>
    </row>
    <row r="461" spans="1:10">
      <c r="A461" t="s">
        <v>2926</v>
      </c>
      <c r="B461">
        <v>51.66</v>
      </c>
      <c r="C461">
        <v>-9.0000000000003411E-2</v>
      </c>
      <c r="E461" t="s">
        <v>11768</v>
      </c>
      <c r="F461" t="s">
        <v>11771</v>
      </c>
      <c r="I461">
        <v>51.66</v>
      </c>
    </row>
    <row r="462" spans="1:10">
      <c r="A462" t="s">
        <v>2931</v>
      </c>
      <c r="B462">
        <v>51.63</v>
      </c>
      <c r="C462">
        <v>-2.9999999999994031E-2</v>
      </c>
      <c r="E462" t="s">
        <v>11768</v>
      </c>
      <c r="F462" t="s">
        <v>11771</v>
      </c>
      <c r="I462">
        <v>51.63</v>
      </c>
    </row>
    <row r="463" spans="1:10">
      <c r="A463" t="s">
        <v>2936</v>
      </c>
      <c r="B463">
        <v>51.54</v>
      </c>
      <c r="C463">
        <v>-9.0000000000003411E-2</v>
      </c>
      <c r="E463" t="s">
        <v>11768</v>
      </c>
      <c r="F463" t="s">
        <v>11771</v>
      </c>
      <c r="I463">
        <v>51.54</v>
      </c>
    </row>
    <row r="464" spans="1:10">
      <c r="A464" t="s">
        <v>2940</v>
      </c>
      <c r="B464">
        <v>51.42</v>
      </c>
      <c r="C464">
        <v>-0.11999999999999744</v>
      </c>
      <c r="E464" t="s">
        <v>11768</v>
      </c>
      <c r="F464" t="s">
        <v>11771</v>
      </c>
      <c r="I464">
        <v>51.42</v>
      </c>
    </row>
    <row r="465" spans="1:10">
      <c r="A465" t="s">
        <v>2944</v>
      </c>
      <c r="B465">
        <v>51.54</v>
      </c>
      <c r="C465">
        <v>0.11999999999999744</v>
      </c>
      <c r="E465" t="s">
        <v>11768</v>
      </c>
      <c r="F465" t="s">
        <v>11771</v>
      </c>
      <c r="I465">
        <v>51.54</v>
      </c>
    </row>
    <row r="466" spans="1:10">
      <c r="A466" t="s">
        <v>2948</v>
      </c>
      <c r="B466">
        <v>51.48</v>
      </c>
      <c r="C466">
        <v>-6.0000000000002274E-2</v>
      </c>
      <c r="E466" t="s">
        <v>11768</v>
      </c>
      <c r="F466" t="s">
        <v>11771</v>
      </c>
      <c r="I466">
        <v>51.48</v>
      </c>
    </row>
    <row r="467" spans="1:10">
      <c r="A467" t="s">
        <v>2952</v>
      </c>
      <c r="B467">
        <v>51.45</v>
      </c>
      <c r="C467">
        <v>-2.9999999999994031E-2</v>
      </c>
      <c r="E467" t="s">
        <v>11768</v>
      </c>
      <c r="F467" t="s">
        <v>11771</v>
      </c>
      <c r="I467">
        <v>51.45</v>
      </c>
    </row>
    <row r="468" spans="1:10">
      <c r="A468" t="s">
        <v>2956</v>
      </c>
      <c r="B468">
        <v>51.39</v>
      </c>
      <c r="C468">
        <v>-6.0000000000002274E-2</v>
      </c>
      <c r="E468" t="s">
        <v>11768</v>
      </c>
      <c r="F468" t="s">
        <v>11771</v>
      </c>
      <c r="I468">
        <v>51.39</v>
      </c>
    </row>
    <row r="469" spans="1:10">
      <c r="A469" t="s">
        <v>2960</v>
      </c>
      <c r="B469">
        <v>51.36</v>
      </c>
      <c r="C469">
        <v>-3.0000000000001137E-2</v>
      </c>
      <c r="E469" t="s">
        <v>11768</v>
      </c>
      <c r="F469" t="s">
        <v>11771</v>
      </c>
      <c r="I469">
        <v>51.36</v>
      </c>
    </row>
    <row r="470" spans="1:10">
      <c r="A470" t="s">
        <v>2964</v>
      </c>
      <c r="B470">
        <v>51.21</v>
      </c>
      <c r="C470">
        <v>-0.14999999999999858</v>
      </c>
      <c r="E470" t="s">
        <v>11768</v>
      </c>
      <c r="F470" t="s">
        <v>11771</v>
      </c>
      <c r="I470">
        <v>51.21</v>
      </c>
    </row>
    <row r="471" spans="1:10">
      <c r="A471" t="s">
        <v>2968</v>
      </c>
      <c r="B471">
        <v>51.33</v>
      </c>
      <c r="C471">
        <v>0.11999999999999744</v>
      </c>
      <c r="E471" t="s">
        <v>11768</v>
      </c>
      <c r="F471" t="s">
        <v>11771</v>
      </c>
      <c r="I471">
        <v>51.33</v>
      </c>
    </row>
    <row r="472" spans="1:10">
      <c r="A472" t="s">
        <v>2972</v>
      </c>
      <c r="B472">
        <v>51.21</v>
      </c>
      <c r="C472">
        <v>-0.11999999999999744</v>
      </c>
      <c r="E472" t="s">
        <v>11768</v>
      </c>
      <c r="F472" t="s">
        <v>11771</v>
      </c>
      <c r="I472">
        <v>51.21</v>
      </c>
    </row>
    <row r="473" spans="1:10">
      <c r="A473" t="s">
        <v>2976</v>
      </c>
      <c r="B473">
        <v>51.15</v>
      </c>
      <c r="C473">
        <v>-6.0000000000002274E-2</v>
      </c>
      <c r="E473" t="s">
        <v>11768</v>
      </c>
      <c r="F473" t="s">
        <v>11771</v>
      </c>
      <c r="I473">
        <v>51.15</v>
      </c>
    </row>
    <row r="474" spans="1:10">
      <c r="A474" t="s">
        <v>2980</v>
      </c>
      <c r="B474">
        <v>51.09</v>
      </c>
      <c r="C474">
        <v>-5.9999999999995168E-2</v>
      </c>
      <c r="E474" t="s">
        <v>11768</v>
      </c>
      <c r="F474" t="s">
        <v>11771</v>
      </c>
      <c r="I474">
        <v>51.09</v>
      </c>
    </row>
    <row r="475" spans="1:10">
      <c r="A475" t="s">
        <v>2985</v>
      </c>
      <c r="B475">
        <v>51.09</v>
      </c>
      <c r="C475">
        <v>0</v>
      </c>
      <c r="E475" t="s">
        <v>11768</v>
      </c>
      <c r="F475" t="s">
        <v>11770</v>
      </c>
      <c r="J475">
        <v>51.09</v>
      </c>
    </row>
    <row r="476" spans="1:10">
      <c r="A476" t="s">
        <v>2989</v>
      </c>
      <c r="B476">
        <v>51.21</v>
      </c>
      <c r="C476">
        <v>0.11999999999999744</v>
      </c>
      <c r="E476" t="s">
        <v>11768</v>
      </c>
      <c r="F476" t="s">
        <v>11771</v>
      </c>
      <c r="I476">
        <v>51.21</v>
      </c>
    </row>
    <row r="477" spans="1:10">
      <c r="A477" t="s">
        <v>2993</v>
      </c>
      <c r="B477">
        <v>51.03</v>
      </c>
      <c r="C477">
        <v>-0.17999999999999972</v>
      </c>
      <c r="E477" t="s">
        <v>11768</v>
      </c>
      <c r="F477" t="s">
        <v>11771</v>
      </c>
      <c r="I477">
        <v>51.03</v>
      </c>
    </row>
    <row r="478" spans="1:10">
      <c r="A478" t="s">
        <v>2997</v>
      </c>
      <c r="B478">
        <v>51.09</v>
      </c>
      <c r="C478">
        <v>6.0000000000002274E-2</v>
      </c>
      <c r="E478" t="s">
        <v>11768</v>
      </c>
      <c r="F478" t="s">
        <v>11771</v>
      </c>
      <c r="I478">
        <v>51.09</v>
      </c>
    </row>
    <row r="479" spans="1:10">
      <c r="A479" t="s">
        <v>3001</v>
      </c>
      <c r="B479">
        <v>51</v>
      </c>
      <c r="C479">
        <v>-9.0000000000003411E-2</v>
      </c>
      <c r="E479" t="s">
        <v>11768</v>
      </c>
      <c r="F479" t="s">
        <v>11771</v>
      </c>
      <c r="I479">
        <v>51</v>
      </c>
    </row>
    <row r="480" spans="1:10">
      <c r="A480" t="s">
        <v>3005</v>
      </c>
      <c r="B480">
        <v>50.94</v>
      </c>
      <c r="C480">
        <v>-6.0000000000002274E-2</v>
      </c>
      <c r="E480" t="s">
        <v>11768</v>
      </c>
      <c r="F480" t="s">
        <v>11771</v>
      </c>
      <c r="I480">
        <v>50.94</v>
      </c>
    </row>
    <row r="481" spans="1:10">
      <c r="A481" t="s">
        <v>3010</v>
      </c>
      <c r="B481">
        <v>50.76</v>
      </c>
      <c r="C481">
        <v>-0.17999999999999972</v>
      </c>
      <c r="E481" t="s">
        <v>11768</v>
      </c>
      <c r="F481" t="s">
        <v>11771</v>
      </c>
      <c r="I481">
        <v>50.76</v>
      </c>
    </row>
    <row r="482" spans="1:10">
      <c r="A482" t="s">
        <v>3015</v>
      </c>
      <c r="B482">
        <v>50.82</v>
      </c>
      <c r="C482">
        <v>6.0000000000002274E-2</v>
      </c>
      <c r="E482" t="s">
        <v>11768</v>
      </c>
      <c r="F482" t="s">
        <v>11771</v>
      </c>
      <c r="I482">
        <v>50.82</v>
      </c>
    </row>
    <row r="483" spans="1:10">
      <c r="A483" t="s">
        <v>3019</v>
      </c>
      <c r="B483">
        <v>50.85</v>
      </c>
      <c r="C483">
        <v>3.0000000000001137E-2</v>
      </c>
      <c r="E483" t="s">
        <v>11768</v>
      </c>
      <c r="F483" t="s">
        <v>11771</v>
      </c>
      <c r="I483">
        <v>50.85</v>
      </c>
    </row>
    <row r="484" spans="1:10">
      <c r="A484" t="s">
        <v>3023</v>
      </c>
      <c r="B484">
        <v>50.61</v>
      </c>
      <c r="C484">
        <v>-0.24000000000000199</v>
      </c>
      <c r="E484" t="s">
        <v>11768</v>
      </c>
      <c r="F484" t="s">
        <v>11771</v>
      </c>
      <c r="I484">
        <v>50.61</v>
      </c>
    </row>
    <row r="485" spans="1:10">
      <c r="A485" t="s">
        <v>3027</v>
      </c>
      <c r="B485">
        <v>50.7</v>
      </c>
      <c r="C485">
        <v>9.0000000000003411E-2</v>
      </c>
      <c r="E485" t="s">
        <v>11768</v>
      </c>
      <c r="F485" t="s">
        <v>11771</v>
      </c>
      <c r="I485">
        <v>50.7</v>
      </c>
    </row>
    <row r="486" spans="1:10">
      <c r="A486" t="s">
        <v>3031</v>
      </c>
      <c r="B486">
        <v>50.7</v>
      </c>
      <c r="C486">
        <v>0</v>
      </c>
      <c r="E486" t="s">
        <v>11768</v>
      </c>
      <c r="F486" t="s">
        <v>11770</v>
      </c>
      <c r="J486">
        <v>50.7</v>
      </c>
    </row>
    <row r="487" spans="1:10">
      <c r="A487" t="s">
        <v>3035</v>
      </c>
      <c r="B487">
        <v>50.64</v>
      </c>
      <c r="C487">
        <v>-6.0000000000002274E-2</v>
      </c>
      <c r="E487" t="s">
        <v>11768</v>
      </c>
      <c r="F487" t="s">
        <v>11771</v>
      </c>
      <c r="I487">
        <v>50.64</v>
      </c>
    </row>
    <row r="488" spans="1:10">
      <c r="A488" t="s">
        <v>3039</v>
      </c>
      <c r="B488">
        <v>50.61</v>
      </c>
      <c r="C488">
        <v>-3.0000000000001137E-2</v>
      </c>
      <c r="E488" t="s">
        <v>11768</v>
      </c>
      <c r="F488" t="s">
        <v>11771</v>
      </c>
      <c r="I488">
        <v>50.61</v>
      </c>
    </row>
    <row r="489" spans="1:10">
      <c r="A489" t="s">
        <v>3044</v>
      </c>
      <c r="B489">
        <v>50.61</v>
      </c>
      <c r="C489">
        <v>0</v>
      </c>
      <c r="E489" t="s">
        <v>11768</v>
      </c>
      <c r="F489" t="s">
        <v>11770</v>
      </c>
      <c r="J489">
        <v>50.61</v>
      </c>
    </row>
    <row r="490" spans="1:10">
      <c r="A490" t="s">
        <v>3049</v>
      </c>
      <c r="B490">
        <v>50.55</v>
      </c>
      <c r="C490">
        <v>-6.0000000000002274E-2</v>
      </c>
      <c r="E490" t="s">
        <v>11768</v>
      </c>
      <c r="F490" t="s">
        <v>11771</v>
      </c>
      <c r="I490">
        <v>50.55</v>
      </c>
    </row>
    <row r="491" spans="1:10">
      <c r="A491" t="s">
        <v>3053</v>
      </c>
      <c r="B491">
        <v>50.43</v>
      </c>
      <c r="C491">
        <v>-0.11999999999999744</v>
      </c>
      <c r="E491" t="s">
        <v>11768</v>
      </c>
      <c r="F491" t="s">
        <v>11771</v>
      </c>
      <c r="I491">
        <v>50.43</v>
      </c>
    </row>
    <row r="492" spans="1:10">
      <c r="A492" t="s">
        <v>3058</v>
      </c>
      <c r="B492">
        <v>50.43</v>
      </c>
      <c r="C492">
        <v>0</v>
      </c>
      <c r="E492" t="s">
        <v>11768</v>
      </c>
      <c r="F492" t="s">
        <v>11770</v>
      </c>
      <c r="J492">
        <v>50.43</v>
      </c>
    </row>
    <row r="493" spans="1:10">
      <c r="A493" t="s">
        <v>3062</v>
      </c>
      <c r="B493">
        <v>50.52</v>
      </c>
      <c r="C493">
        <v>9.0000000000003411E-2</v>
      </c>
      <c r="E493" t="s">
        <v>11768</v>
      </c>
      <c r="F493" t="s">
        <v>11771</v>
      </c>
      <c r="I493">
        <v>50.52</v>
      </c>
    </row>
    <row r="494" spans="1:10">
      <c r="A494" t="s">
        <v>3066</v>
      </c>
      <c r="B494">
        <v>50.31</v>
      </c>
      <c r="C494">
        <v>-0.21000000000000085</v>
      </c>
      <c r="E494" t="s">
        <v>11768</v>
      </c>
      <c r="F494" t="s">
        <v>11771</v>
      </c>
      <c r="I494">
        <v>50.31</v>
      </c>
    </row>
    <row r="495" spans="1:10">
      <c r="A495" t="s">
        <v>3070</v>
      </c>
      <c r="B495">
        <v>50.34</v>
      </c>
      <c r="C495">
        <v>3.0000000000001137E-2</v>
      </c>
      <c r="E495" t="s">
        <v>11768</v>
      </c>
      <c r="F495" t="s">
        <v>11771</v>
      </c>
      <c r="I495">
        <v>50.34</v>
      </c>
    </row>
    <row r="496" spans="1:10">
      <c r="A496" t="s">
        <v>3076</v>
      </c>
      <c r="B496">
        <v>50.22</v>
      </c>
      <c r="C496">
        <v>-0.12000000000000455</v>
      </c>
      <c r="E496" t="s">
        <v>11768</v>
      </c>
      <c r="F496" t="s">
        <v>11771</v>
      </c>
      <c r="I496">
        <v>50.22</v>
      </c>
    </row>
    <row r="497" spans="1:10">
      <c r="A497" t="s">
        <v>3081</v>
      </c>
      <c r="B497">
        <v>50.25</v>
      </c>
      <c r="C497">
        <v>3.0000000000001137E-2</v>
      </c>
      <c r="E497" t="s">
        <v>11768</v>
      </c>
      <c r="F497" t="s">
        <v>11771</v>
      </c>
      <c r="I497">
        <v>50.25</v>
      </c>
    </row>
    <row r="498" spans="1:10">
      <c r="A498" t="s">
        <v>3085</v>
      </c>
      <c r="B498">
        <v>50.22</v>
      </c>
      <c r="C498">
        <v>-3.0000000000001137E-2</v>
      </c>
      <c r="E498" t="s">
        <v>11768</v>
      </c>
      <c r="F498" t="s">
        <v>11771</v>
      </c>
      <c r="I498">
        <v>50.22</v>
      </c>
    </row>
    <row r="499" spans="1:10">
      <c r="A499" t="s">
        <v>3091</v>
      </c>
      <c r="B499">
        <v>50.13</v>
      </c>
      <c r="C499">
        <v>-8.9999999999996305E-2</v>
      </c>
      <c r="E499" t="s">
        <v>11768</v>
      </c>
      <c r="F499" t="s">
        <v>11771</v>
      </c>
      <c r="I499">
        <v>50.13</v>
      </c>
    </row>
    <row r="500" spans="1:10">
      <c r="A500" t="s">
        <v>3096</v>
      </c>
      <c r="B500">
        <v>50.19</v>
      </c>
      <c r="C500">
        <v>5.9999999999995168E-2</v>
      </c>
      <c r="E500" t="s">
        <v>11768</v>
      </c>
      <c r="F500" t="s">
        <v>11771</v>
      </c>
      <c r="I500">
        <v>50.19</v>
      </c>
    </row>
    <row r="501" spans="1:10">
      <c r="A501" t="s">
        <v>3101</v>
      </c>
      <c r="B501">
        <v>50.16</v>
      </c>
      <c r="C501">
        <v>-3.0000000000001137E-2</v>
      </c>
      <c r="E501" t="s">
        <v>11768</v>
      </c>
      <c r="F501" t="s">
        <v>11771</v>
      </c>
      <c r="I501">
        <v>50.16</v>
      </c>
    </row>
    <row r="502" spans="1:10">
      <c r="A502" t="s">
        <v>3107</v>
      </c>
      <c r="B502">
        <v>71.58</v>
      </c>
      <c r="C502">
        <v>21.42</v>
      </c>
      <c r="D502" t="s">
        <v>11764</v>
      </c>
      <c r="E502" t="s">
        <v>11769</v>
      </c>
      <c r="F502" t="s">
        <v>11771</v>
      </c>
      <c r="G502">
        <v>71.58</v>
      </c>
    </row>
    <row r="503" spans="1:10">
      <c r="A503" t="s">
        <v>3117</v>
      </c>
      <c r="B503">
        <v>81.33</v>
      </c>
      <c r="C503">
        <v>9.75</v>
      </c>
      <c r="E503" t="s">
        <v>11769</v>
      </c>
      <c r="F503" t="s">
        <v>11771</v>
      </c>
      <c r="G503">
        <v>81.33</v>
      </c>
    </row>
    <row r="504" spans="1:10">
      <c r="A504" t="s">
        <v>3126</v>
      </c>
      <c r="B504">
        <v>82.59</v>
      </c>
      <c r="C504">
        <v>1.2600000000000051</v>
      </c>
      <c r="E504" t="s">
        <v>11769</v>
      </c>
      <c r="F504" t="s">
        <v>11771</v>
      </c>
      <c r="G504">
        <v>82.59</v>
      </c>
    </row>
    <row r="505" spans="1:10">
      <c r="A505" t="s">
        <v>3135</v>
      </c>
      <c r="B505">
        <v>81.36</v>
      </c>
      <c r="C505">
        <v>-1.230000000000004</v>
      </c>
      <c r="E505" t="s">
        <v>11769</v>
      </c>
      <c r="F505" t="s">
        <v>11771</v>
      </c>
      <c r="G505">
        <v>81.36</v>
      </c>
    </row>
    <row r="506" spans="1:10">
      <c r="A506" t="s">
        <v>3144</v>
      </c>
      <c r="B506">
        <v>54.03</v>
      </c>
      <c r="C506">
        <v>-27.33</v>
      </c>
      <c r="D506" t="s">
        <v>11764</v>
      </c>
      <c r="E506" t="s">
        <v>11768</v>
      </c>
      <c r="F506" t="s">
        <v>11771</v>
      </c>
      <c r="I506">
        <v>54.03</v>
      </c>
    </row>
    <row r="507" spans="1:10">
      <c r="A507" t="s">
        <v>3152</v>
      </c>
      <c r="B507">
        <v>52.98</v>
      </c>
      <c r="C507">
        <v>-1.0500000000000043</v>
      </c>
      <c r="E507" t="s">
        <v>11768</v>
      </c>
      <c r="F507" t="s">
        <v>11771</v>
      </c>
      <c r="I507">
        <v>52.98</v>
      </c>
    </row>
    <row r="508" spans="1:10">
      <c r="A508" t="s">
        <v>3159</v>
      </c>
      <c r="B508">
        <v>52.98</v>
      </c>
      <c r="C508">
        <v>0</v>
      </c>
      <c r="E508" t="s">
        <v>11768</v>
      </c>
      <c r="F508" t="s">
        <v>11770</v>
      </c>
      <c r="J508">
        <v>52.98</v>
      </c>
    </row>
    <row r="509" spans="1:10">
      <c r="A509" t="s">
        <v>3166</v>
      </c>
      <c r="B509">
        <v>52.92</v>
      </c>
      <c r="C509">
        <v>-5.9999999999995168E-2</v>
      </c>
      <c r="E509" t="s">
        <v>11768</v>
      </c>
      <c r="F509" t="s">
        <v>11771</v>
      </c>
      <c r="I509">
        <v>52.92</v>
      </c>
    </row>
    <row r="510" spans="1:10">
      <c r="A510" t="s">
        <v>3170</v>
      </c>
      <c r="B510">
        <v>52.68</v>
      </c>
      <c r="C510">
        <v>-0.24000000000000199</v>
      </c>
      <c r="E510" t="s">
        <v>11768</v>
      </c>
      <c r="F510" t="s">
        <v>11771</v>
      </c>
      <c r="I510">
        <v>52.68</v>
      </c>
    </row>
    <row r="511" spans="1:10">
      <c r="A511" t="s">
        <v>3175</v>
      </c>
      <c r="B511">
        <v>52.83</v>
      </c>
      <c r="C511">
        <v>0.14999999999999858</v>
      </c>
      <c r="E511" t="s">
        <v>11768</v>
      </c>
      <c r="F511" t="s">
        <v>11771</v>
      </c>
      <c r="I511">
        <v>52.83</v>
      </c>
    </row>
    <row r="512" spans="1:10">
      <c r="A512" t="s">
        <v>3179</v>
      </c>
      <c r="B512">
        <v>52.62</v>
      </c>
      <c r="C512">
        <v>-0.21000000000000085</v>
      </c>
      <c r="E512" t="s">
        <v>11768</v>
      </c>
      <c r="F512" t="s">
        <v>11771</v>
      </c>
      <c r="I512">
        <v>52.62</v>
      </c>
    </row>
    <row r="513" spans="1:10">
      <c r="A513" t="s">
        <v>3184</v>
      </c>
      <c r="B513">
        <v>52.65</v>
      </c>
      <c r="C513">
        <v>3.0000000000001137E-2</v>
      </c>
      <c r="E513" t="s">
        <v>11768</v>
      </c>
      <c r="F513" t="s">
        <v>11771</v>
      </c>
      <c r="I513">
        <v>52.65</v>
      </c>
    </row>
    <row r="514" spans="1:10">
      <c r="A514" t="s">
        <v>3188</v>
      </c>
      <c r="B514">
        <v>52.59</v>
      </c>
      <c r="C514">
        <v>-5.9999999999995168E-2</v>
      </c>
      <c r="E514" t="s">
        <v>11768</v>
      </c>
      <c r="F514" t="s">
        <v>11771</v>
      </c>
      <c r="I514">
        <v>52.59</v>
      </c>
    </row>
    <row r="515" spans="1:10">
      <c r="A515" t="s">
        <v>3193</v>
      </c>
      <c r="B515">
        <v>52.5</v>
      </c>
      <c r="C515">
        <v>-9.0000000000003411E-2</v>
      </c>
      <c r="E515" t="s">
        <v>11768</v>
      </c>
      <c r="F515" t="s">
        <v>11771</v>
      </c>
      <c r="I515">
        <v>52.5</v>
      </c>
    </row>
    <row r="516" spans="1:10">
      <c r="A516" t="s">
        <v>3197</v>
      </c>
      <c r="B516">
        <v>52.56</v>
      </c>
      <c r="C516">
        <v>6.0000000000002274E-2</v>
      </c>
      <c r="E516" t="s">
        <v>11768</v>
      </c>
      <c r="F516" t="s">
        <v>11771</v>
      </c>
      <c r="I516">
        <v>52.56</v>
      </c>
    </row>
    <row r="517" spans="1:10">
      <c r="A517" t="s">
        <v>3201</v>
      </c>
      <c r="B517">
        <v>52.38</v>
      </c>
      <c r="C517">
        <v>-0.17999999999999972</v>
      </c>
      <c r="E517" t="s">
        <v>11768</v>
      </c>
      <c r="F517" t="s">
        <v>11771</v>
      </c>
      <c r="I517">
        <v>52.38</v>
      </c>
    </row>
    <row r="518" spans="1:10">
      <c r="A518" t="s">
        <v>3206</v>
      </c>
      <c r="B518">
        <v>52.29</v>
      </c>
      <c r="C518">
        <v>-9.0000000000003411E-2</v>
      </c>
      <c r="E518" t="s">
        <v>11768</v>
      </c>
      <c r="F518" t="s">
        <v>11771</v>
      </c>
      <c r="I518">
        <v>52.29</v>
      </c>
    </row>
    <row r="519" spans="1:10">
      <c r="A519" t="s">
        <v>3210</v>
      </c>
      <c r="B519">
        <v>52.26</v>
      </c>
      <c r="C519">
        <v>-3.0000000000001137E-2</v>
      </c>
      <c r="E519" t="s">
        <v>11768</v>
      </c>
      <c r="F519" t="s">
        <v>11771</v>
      </c>
      <c r="I519">
        <v>52.26</v>
      </c>
    </row>
    <row r="520" spans="1:10">
      <c r="A520" t="s">
        <v>3214</v>
      </c>
      <c r="B520">
        <v>52.35</v>
      </c>
      <c r="C520">
        <v>9.0000000000003411E-2</v>
      </c>
      <c r="E520" t="s">
        <v>11768</v>
      </c>
      <c r="F520" t="s">
        <v>11771</v>
      </c>
      <c r="I520">
        <v>52.35</v>
      </c>
    </row>
    <row r="521" spans="1:10">
      <c r="A521" t="s">
        <v>3218</v>
      </c>
      <c r="B521">
        <v>52.23</v>
      </c>
      <c r="C521">
        <v>-0.12000000000000455</v>
      </c>
      <c r="E521" t="s">
        <v>11768</v>
      </c>
      <c r="F521" t="s">
        <v>11771</v>
      </c>
      <c r="I521">
        <v>52.23</v>
      </c>
    </row>
    <row r="522" spans="1:10">
      <c r="A522" t="s">
        <v>3222</v>
      </c>
      <c r="B522">
        <v>52.17</v>
      </c>
      <c r="C522">
        <v>-5.9999999999995168E-2</v>
      </c>
      <c r="E522" t="s">
        <v>11768</v>
      </c>
      <c r="F522" t="s">
        <v>11771</v>
      </c>
      <c r="I522">
        <v>52.17</v>
      </c>
    </row>
    <row r="523" spans="1:10">
      <c r="A523" t="s">
        <v>3227</v>
      </c>
      <c r="B523">
        <v>52.14</v>
      </c>
      <c r="C523">
        <v>-3.0000000000001137E-2</v>
      </c>
      <c r="E523" t="s">
        <v>11768</v>
      </c>
      <c r="F523" t="s">
        <v>11771</v>
      </c>
      <c r="I523">
        <v>52.14</v>
      </c>
    </row>
    <row r="524" spans="1:10">
      <c r="A524" t="s">
        <v>3231</v>
      </c>
      <c r="B524">
        <v>52.14</v>
      </c>
      <c r="C524">
        <v>0</v>
      </c>
      <c r="E524" t="s">
        <v>11768</v>
      </c>
      <c r="F524" t="s">
        <v>11770</v>
      </c>
      <c r="J524">
        <v>52.14</v>
      </c>
    </row>
    <row r="525" spans="1:10">
      <c r="A525" t="s">
        <v>3235</v>
      </c>
      <c r="B525">
        <v>52.11</v>
      </c>
      <c r="C525">
        <v>-3.0000000000001137E-2</v>
      </c>
      <c r="E525" t="s">
        <v>11768</v>
      </c>
      <c r="F525" t="s">
        <v>11771</v>
      </c>
      <c r="I525">
        <v>52.11</v>
      </c>
    </row>
    <row r="526" spans="1:10">
      <c r="A526" t="s">
        <v>3239</v>
      </c>
      <c r="B526">
        <v>52.02</v>
      </c>
      <c r="C526">
        <v>-8.9999999999996305E-2</v>
      </c>
      <c r="E526" t="s">
        <v>11768</v>
      </c>
      <c r="F526" t="s">
        <v>11771</v>
      </c>
      <c r="I526">
        <v>52.02</v>
      </c>
    </row>
    <row r="527" spans="1:10">
      <c r="A527" t="s">
        <v>3243</v>
      </c>
      <c r="B527">
        <v>52.05</v>
      </c>
      <c r="C527">
        <v>2.9999999999994031E-2</v>
      </c>
      <c r="E527" t="s">
        <v>11768</v>
      </c>
      <c r="F527" t="s">
        <v>11771</v>
      </c>
      <c r="I527">
        <v>52.05</v>
      </c>
    </row>
    <row r="528" spans="1:10">
      <c r="A528" t="s">
        <v>3247</v>
      </c>
      <c r="B528">
        <v>51.96</v>
      </c>
      <c r="C528">
        <v>-8.9999999999996305E-2</v>
      </c>
      <c r="E528" t="s">
        <v>11768</v>
      </c>
      <c r="F528" t="s">
        <v>11771</v>
      </c>
      <c r="I528">
        <v>51.96</v>
      </c>
    </row>
    <row r="529" spans="1:10">
      <c r="A529" t="s">
        <v>3251</v>
      </c>
      <c r="B529">
        <v>51.81</v>
      </c>
      <c r="C529">
        <v>-0.14999999999999858</v>
      </c>
      <c r="E529" t="s">
        <v>11768</v>
      </c>
      <c r="F529" t="s">
        <v>11771</v>
      </c>
      <c r="I529">
        <v>51.81</v>
      </c>
    </row>
    <row r="530" spans="1:10">
      <c r="A530" t="s">
        <v>3255</v>
      </c>
      <c r="B530">
        <v>51.9</v>
      </c>
      <c r="C530">
        <v>8.9999999999996305E-2</v>
      </c>
      <c r="E530" t="s">
        <v>11768</v>
      </c>
      <c r="F530" t="s">
        <v>11771</v>
      </c>
      <c r="I530">
        <v>51.9</v>
      </c>
    </row>
    <row r="531" spans="1:10">
      <c r="A531" t="s">
        <v>3259</v>
      </c>
      <c r="B531">
        <v>51.81</v>
      </c>
      <c r="C531">
        <v>-8.9999999999996305E-2</v>
      </c>
      <c r="E531" t="s">
        <v>11768</v>
      </c>
      <c r="F531" t="s">
        <v>11771</v>
      </c>
      <c r="I531">
        <v>51.81</v>
      </c>
    </row>
    <row r="532" spans="1:10">
      <c r="A532" t="s">
        <v>3263</v>
      </c>
      <c r="B532">
        <v>51.75</v>
      </c>
      <c r="C532">
        <v>-6.0000000000002274E-2</v>
      </c>
      <c r="E532" t="s">
        <v>11768</v>
      </c>
      <c r="F532" t="s">
        <v>11771</v>
      </c>
      <c r="I532">
        <v>51.75</v>
      </c>
    </row>
    <row r="533" spans="1:10">
      <c r="A533" t="s">
        <v>3267</v>
      </c>
      <c r="B533">
        <v>51.75</v>
      </c>
      <c r="C533">
        <v>0</v>
      </c>
      <c r="E533" t="s">
        <v>11768</v>
      </c>
      <c r="F533" t="s">
        <v>11770</v>
      </c>
      <c r="J533">
        <v>51.75</v>
      </c>
    </row>
    <row r="534" spans="1:10">
      <c r="A534" t="s">
        <v>3271</v>
      </c>
      <c r="B534">
        <v>51.84</v>
      </c>
      <c r="C534">
        <v>9.0000000000003411E-2</v>
      </c>
      <c r="E534" t="s">
        <v>11768</v>
      </c>
      <c r="F534" t="s">
        <v>11771</v>
      </c>
      <c r="I534">
        <v>51.84</v>
      </c>
    </row>
    <row r="535" spans="1:10">
      <c r="A535" t="s">
        <v>3275</v>
      </c>
      <c r="B535">
        <v>51.66</v>
      </c>
      <c r="C535">
        <v>-0.18000000000000682</v>
      </c>
      <c r="E535" t="s">
        <v>11768</v>
      </c>
      <c r="F535" t="s">
        <v>11771</v>
      </c>
      <c r="I535">
        <v>51.66</v>
      </c>
    </row>
    <row r="536" spans="1:10">
      <c r="A536" t="s">
        <v>3279</v>
      </c>
      <c r="B536">
        <v>51.69</v>
      </c>
      <c r="C536">
        <v>3.0000000000001137E-2</v>
      </c>
      <c r="E536" t="s">
        <v>11768</v>
      </c>
      <c r="F536" t="s">
        <v>11771</v>
      </c>
      <c r="I536">
        <v>51.69</v>
      </c>
    </row>
    <row r="537" spans="1:10">
      <c r="A537" t="s">
        <v>3283</v>
      </c>
      <c r="B537">
        <v>51.51</v>
      </c>
      <c r="C537">
        <v>-0.17999999999999972</v>
      </c>
      <c r="E537" t="s">
        <v>11768</v>
      </c>
      <c r="F537" t="s">
        <v>11771</v>
      </c>
      <c r="I537">
        <v>51.51</v>
      </c>
    </row>
    <row r="538" spans="1:10">
      <c r="A538" t="s">
        <v>3288</v>
      </c>
      <c r="B538">
        <v>51.57</v>
      </c>
      <c r="C538">
        <v>6.0000000000002274E-2</v>
      </c>
      <c r="E538" t="s">
        <v>11768</v>
      </c>
      <c r="F538" t="s">
        <v>11771</v>
      </c>
      <c r="I538">
        <v>51.57</v>
      </c>
    </row>
    <row r="539" spans="1:10">
      <c r="A539" t="s">
        <v>3292</v>
      </c>
      <c r="B539">
        <v>51.45</v>
      </c>
      <c r="C539">
        <v>-0.11999999999999744</v>
      </c>
      <c r="E539" t="s">
        <v>11768</v>
      </c>
      <c r="F539" t="s">
        <v>11771</v>
      </c>
      <c r="I539">
        <v>51.45</v>
      </c>
    </row>
    <row r="540" spans="1:10">
      <c r="A540" t="s">
        <v>3296</v>
      </c>
      <c r="B540">
        <v>51.36</v>
      </c>
      <c r="C540">
        <v>-9.0000000000003411E-2</v>
      </c>
      <c r="E540" t="s">
        <v>11768</v>
      </c>
      <c r="F540" t="s">
        <v>11771</v>
      </c>
      <c r="I540">
        <v>51.36</v>
      </c>
    </row>
    <row r="541" spans="1:10">
      <c r="A541" t="s">
        <v>3300</v>
      </c>
      <c r="B541">
        <v>51.45</v>
      </c>
      <c r="C541">
        <v>9.0000000000003411E-2</v>
      </c>
      <c r="E541" t="s">
        <v>11768</v>
      </c>
      <c r="F541" t="s">
        <v>11771</v>
      </c>
      <c r="I541">
        <v>51.45</v>
      </c>
    </row>
    <row r="542" spans="1:10">
      <c r="A542" t="s">
        <v>3304</v>
      </c>
      <c r="B542">
        <v>51.36</v>
      </c>
      <c r="C542">
        <v>-9.0000000000003411E-2</v>
      </c>
      <c r="E542" t="s">
        <v>11768</v>
      </c>
      <c r="F542" t="s">
        <v>11771</v>
      </c>
      <c r="I542">
        <v>51.36</v>
      </c>
    </row>
    <row r="543" spans="1:10">
      <c r="A543" t="s">
        <v>3308</v>
      </c>
      <c r="B543">
        <v>51.24</v>
      </c>
      <c r="C543">
        <v>-0.11999999999999744</v>
      </c>
      <c r="E543" t="s">
        <v>11768</v>
      </c>
      <c r="F543" t="s">
        <v>11771</v>
      </c>
      <c r="I543">
        <v>51.24</v>
      </c>
    </row>
    <row r="544" spans="1:10">
      <c r="A544" t="s">
        <v>3312</v>
      </c>
      <c r="B544">
        <v>51.36</v>
      </c>
      <c r="C544">
        <v>0.11999999999999744</v>
      </c>
      <c r="E544" t="s">
        <v>11768</v>
      </c>
      <c r="F544" t="s">
        <v>11771</v>
      </c>
      <c r="I544">
        <v>51.36</v>
      </c>
    </row>
    <row r="545" spans="1:10">
      <c r="A545" t="s">
        <v>3316</v>
      </c>
      <c r="B545">
        <v>51.24</v>
      </c>
      <c r="C545">
        <v>-0.11999999999999744</v>
      </c>
      <c r="E545" t="s">
        <v>11768</v>
      </c>
      <c r="F545" t="s">
        <v>11771</v>
      </c>
      <c r="I545">
        <v>51.24</v>
      </c>
    </row>
    <row r="546" spans="1:10">
      <c r="A546" t="s">
        <v>3321</v>
      </c>
      <c r="B546">
        <v>51.18</v>
      </c>
      <c r="C546">
        <v>-6.0000000000002274E-2</v>
      </c>
      <c r="E546" t="s">
        <v>11768</v>
      </c>
      <c r="F546" t="s">
        <v>11771</v>
      </c>
      <c r="I546">
        <v>51.18</v>
      </c>
    </row>
    <row r="547" spans="1:10">
      <c r="A547" t="s">
        <v>3325</v>
      </c>
      <c r="B547">
        <v>51.18</v>
      </c>
      <c r="C547">
        <v>0</v>
      </c>
      <c r="E547" t="s">
        <v>11768</v>
      </c>
      <c r="F547" t="s">
        <v>11770</v>
      </c>
      <c r="J547">
        <v>51.18</v>
      </c>
    </row>
    <row r="548" spans="1:10">
      <c r="A548" t="s">
        <v>3329</v>
      </c>
      <c r="B548">
        <v>51.15</v>
      </c>
      <c r="C548">
        <v>-3.0000000000001137E-2</v>
      </c>
      <c r="E548" t="s">
        <v>11768</v>
      </c>
      <c r="F548" t="s">
        <v>11771</v>
      </c>
      <c r="I548">
        <v>51.15</v>
      </c>
    </row>
    <row r="549" spans="1:10">
      <c r="A549" t="s">
        <v>3333</v>
      </c>
      <c r="B549">
        <v>51.06</v>
      </c>
      <c r="C549">
        <v>-8.9999999999996305E-2</v>
      </c>
      <c r="E549" t="s">
        <v>11768</v>
      </c>
      <c r="F549" t="s">
        <v>11771</v>
      </c>
      <c r="I549">
        <v>51.06</v>
      </c>
    </row>
    <row r="550" spans="1:10">
      <c r="A550" t="s">
        <v>3337</v>
      </c>
      <c r="B550">
        <v>51.03</v>
      </c>
      <c r="C550">
        <v>-3.0000000000001137E-2</v>
      </c>
      <c r="E550" t="s">
        <v>11768</v>
      </c>
      <c r="F550" t="s">
        <v>11771</v>
      </c>
      <c r="I550">
        <v>51.03</v>
      </c>
    </row>
    <row r="551" spans="1:10">
      <c r="A551" t="s">
        <v>3341</v>
      </c>
      <c r="B551">
        <v>51</v>
      </c>
      <c r="C551">
        <v>-3.0000000000001137E-2</v>
      </c>
      <c r="E551" t="s">
        <v>11768</v>
      </c>
      <c r="F551" t="s">
        <v>11771</v>
      </c>
      <c r="I551">
        <v>51</v>
      </c>
    </row>
    <row r="552" spans="1:10">
      <c r="A552" t="s">
        <v>3345</v>
      </c>
      <c r="B552">
        <v>50.97</v>
      </c>
      <c r="C552">
        <v>-3.0000000000001137E-2</v>
      </c>
      <c r="E552" t="s">
        <v>11768</v>
      </c>
      <c r="F552" t="s">
        <v>11771</v>
      </c>
      <c r="I552">
        <v>50.97</v>
      </c>
    </row>
    <row r="553" spans="1:10">
      <c r="A553" t="s">
        <v>3349</v>
      </c>
      <c r="B553">
        <v>50.94</v>
      </c>
      <c r="C553">
        <v>-3.0000000000001137E-2</v>
      </c>
      <c r="E553" t="s">
        <v>11768</v>
      </c>
      <c r="F553" t="s">
        <v>11771</v>
      </c>
      <c r="I553">
        <v>50.94</v>
      </c>
    </row>
    <row r="554" spans="1:10">
      <c r="A554" t="s">
        <v>3353</v>
      </c>
      <c r="B554">
        <v>50.91</v>
      </c>
      <c r="C554">
        <v>-3.0000000000001137E-2</v>
      </c>
      <c r="E554" t="s">
        <v>11768</v>
      </c>
      <c r="F554" t="s">
        <v>11771</v>
      </c>
      <c r="I554">
        <v>50.91</v>
      </c>
    </row>
    <row r="555" spans="1:10">
      <c r="A555" t="s">
        <v>3357</v>
      </c>
      <c r="B555">
        <v>50.94</v>
      </c>
      <c r="C555">
        <v>3.0000000000001137E-2</v>
      </c>
      <c r="E555" t="s">
        <v>11768</v>
      </c>
      <c r="F555" t="s">
        <v>11771</v>
      </c>
      <c r="I555">
        <v>50.94</v>
      </c>
    </row>
    <row r="556" spans="1:10">
      <c r="A556" t="s">
        <v>3361</v>
      </c>
      <c r="B556">
        <v>50.73</v>
      </c>
      <c r="C556">
        <v>-0.21000000000000085</v>
      </c>
      <c r="E556" t="s">
        <v>11768</v>
      </c>
      <c r="F556" t="s">
        <v>11771</v>
      </c>
      <c r="I556">
        <v>50.73</v>
      </c>
    </row>
    <row r="557" spans="1:10">
      <c r="A557" t="s">
        <v>3365</v>
      </c>
      <c r="B557">
        <v>50.76</v>
      </c>
      <c r="C557">
        <v>3.0000000000001137E-2</v>
      </c>
      <c r="E557" t="s">
        <v>11768</v>
      </c>
      <c r="F557" t="s">
        <v>11771</v>
      </c>
      <c r="I557">
        <v>50.76</v>
      </c>
    </row>
    <row r="558" spans="1:10">
      <c r="A558" t="s">
        <v>3369</v>
      </c>
      <c r="B558">
        <v>50.79</v>
      </c>
      <c r="C558">
        <v>3.0000000000001137E-2</v>
      </c>
      <c r="E558" t="s">
        <v>11768</v>
      </c>
      <c r="F558" t="s">
        <v>11771</v>
      </c>
      <c r="I558">
        <v>50.79</v>
      </c>
    </row>
    <row r="559" spans="1:10">
      <c r="A559" t="s">
        <v>3373</v>
      </c>
      <c r="B559">
        <v>50.64</v>
      </c>
      <c r="C559">
        <v>-0.14999999999999858</v>
      </c>
      <c r="E559" t="s">
        <v>11768</v>
      </c>
      <c r="F559" t="s">
        <v>11771</v>
      </c>
      <c r="I559">
        <v>50.64</v>
      </c>
    </row>
    <row r="560" spans="1:10">
      <c r="A560" t="s">
        <v>3377</v>
      </c>
      <c r="B560">
        <v>50.7</v>
      </c>
      <c r="C560">
        <v>6.0000000000002274E-2</v>
      </c>
      <c r="E560" t="s">
        <v>11768</v>
      </c>
      <c r="F560" t="s">
        <v>11771</v>
      </c>
      <c r="I560">
        <v>50.7</v>
      </c>
    </row>
    <row r="561" spans="1:10">
      <c r="A561" t="s">
        <v>3381</v>
      </c>
      <c r="B561">
        <v>50.7</v>
      </c>
      <c r="C561">
        <v>0</v>
      </c>
      <c r="E561" t="s">
        <v>11768</v>
      </c>
      <c r="F561" t="s">
        <v>11770</v>
      </c>
      <c r="J561">
        <v>50.7</v>
      </c>
    </row>
    <row r="562" spans="1:10">
      <c r="A562" t="s">
        <v>3385</v>
      </c>
      <c r="B562">
        <v>50.64</v>
      </c>
      <c r="C562">
        <v>-6.0000000000002274E-2</v>
      </c>
      <c r="E562" t="s">
        <v>11768</v>
      </c>
      <c r="F562" t="s">
        <v>11771</v>
      </c>
      <c r="I562">
        <v>50.64</v>
      </c>
    </row>
    <row r="563" spans="1:10">
      <c r="A563" t="s">
        <v>3389</v>
      </c>
      <c r="B563">
        <v>50.64</v>
      </c>
      <c r="C563">
        <v>0</v>
      </c>
      <c r="E563" t="s">
        <v>11768</v>
      </c>
      <c r="F563" t="s">
        <v>11770</v>
      </c>
      <c r="J563">
        <v>50.64</v>
      </c>
    </row>
    <row r="564" spans="1:10">
      <c r="A564" t="s">
        <v>3393</v>
      </c>
      <c r="B564">
        <v>50.55</v>
      </c>
      <c r="C564">
        <v>-9.0000000000003411E-2</v>
      </c>
      <c r="E564" t="s">
        <v>11768</v>
      </c>
      <c r="F564" t="s">
        <v>11771</v>
      </c>
      <c r="I564">
        <v>50.55</v>
      </c>
    </row>
    <row r="565" spans="1:10">
      <c r="A565" t="s">
        <v>3398</v>
      </c>
      <c r="B565">
        <v>50.55</v>
      </c>
      <c r="C565">
        <v>0</v>
      </c>
      <c r="E565" t="s">
        <v>11768</v>
      </c>
      <c r="F565" t="s">
        <v>11770</v>
      </c>
      <c r="J565">
        <v>50.55</v>
      </c>
    </row>
    <row r="566" spans="1:10">
      <c r="A566" t="s">
        <v>3402</v>
      </c>
      <c r="B566">
        <v>50.55</v>
      </c>
      <c r="C566">
        <v>0</v>
      </c>
      <c r="E566" t="s">
        <v>11768</v>
      </c>
      <c r="F566" t="s">
        <v>11770</v>
      </c>
      <c r="J566">
        <v>50.55</v>
      </c>
    </row>
    <row r="567" spans="1:10">
      <c r="A567" t="s">
        <v>3407</v>
      </c>
      <c r="B567">
        <v>50.46</v>
      </c>
      <c r="C567">
        <v>-8.9999999999996305E-2</v>
      </c>
      <c r="E567" t="s">
        <v>11768</v>
      </c>
      <c r="F567" t="s">
        <v>11771</v>
      </c>
      <c r="I567">
        <v>50.46</v>
      </c>
    </row>
    <row r="568" spans="1:10">
      <c r="A568" t="s">
        <v>3412</v>
      </c>
      <c r="B568">
        <v>50.43</v>
      </c>
      <c r="C568">
        <v>-3.0000000000001137E-2</v>
      </c>
      <c r="E568" t="s">
        <v>11768</v>
      </c>
      <c r="F568" t="s">
        <v>11771</v>
      </c>
      <c r="I568">
        <v>50.43</v>
      </c>
    </row>
    <row r="569" spans="1:10">
      <c r="A569" t="s">
        <v>3418</v>
      </c>
      <c r="B569">
        <v>50.43</v>
      </c>
      <c r="C569">
        <v>0</v>
      </c>
      <c r="E569" t="s">
        <v>11768</v>
      </c>
      <c r="F569" t="s">
        <v>11770</v>
      </c>
      <c r="J569">
        <v>50.43</v>
      </c>
    </row>
    <row r="570" spans="1:10">
      <c r="A570" t="s">
        <v>3423</v>
      </c>
      <c r="B570">
        <v>50.37</v>
      </c>
      <c r="C570">
        <v>-6.0000000000002274E-2</v>
      </c>
      <c r="E570" t="s">
        <v>11768</v>
      </c>
      <c r="F570" t="s">
        <v>11771</v>
      </c>
      <c r="I570">
        <v>50.37</v>
      </c>
    </row>
    <row r="571" spans="1:10">
      <c r="A571" t="s">
        <v>3427</v>
      </c>
      <c r="B571">
        <v>50.4</v>
      </c>
      <c r="C571">
        <v>3.0000000000001137E-2</v>
      </c>
      <c r="E571" t="s">
        <v>11768</v>
      </c>
      <c r="F571" t="s">
        <v>11771</v>
      </c>
      <c r="I571">
        <v>50.4</v>
      </c>
    </row>
    <row r="572" spans="1:10">
      <c r="A572" t="s">
        <v>3432</v>
      </c>
      <c r="B572">
        <v>50.31</v>
      </c>
      <c r="C572">
        <v>-8.9999999999996305E-2</v>
      </c>
      <c r="E572" t="s">
        <v>11768</v>
      </c>
      <c r="F572" t="s">
        <v>11771</v>
      </c>
      <c r="I572">
        <v>50.31</v>
      </c>
    </row>
    <row r="573" spans="1:10">
      <c r="A573" t="s">
        <v>3437</v>
      </c>
      <c r="B573">
        <v>50.19</v>
      </c>
      <c r="C573">
        <v>-0.12000000000000455</v>
      </c>
      <c r="E573" t="s">
        <v>11768</v>
      </c>
      <c r="F573" t="s">
        <v>11771</v>
      </c>
      <c r="I573">
        <v>50.19</v>
      </c>
    </row>
    <row r="574" spans="1:10">
      <c r="A574" t="s">
        <v>3443</v>
      </c>
      <c r="B574">
        <v>50.37</v>
      </c>
      <c r="C574">
        <v>0.17999999999999972</v>
      </c>
      <c r="E574" t="s">
        <v>11768</v>
      </c>
      <c r="F574" t="s">
        <v>11771</v>
      </c>
      <c r="I574">
        <v>50.37</v>
      </c>
    </row>
    <row r="575" spans="1:10">
      <c r="A575" t="s">
        <v>3447</v>
      </c>
      <c r="B575">
        <v>50.31</v>
      </c>
      <c r="C575">
        <v>-5.9999999999995168E-2</v>
      </c>
      <c r="E575" t="s">
        <v>11768</v>
      </c>
      <c r="F575" t="s">
        <v>11771</v>
      </c>
      <c r="I575">
        <v>50.31</v>
      </c>
    </row>
    <row r="576" spans="1:10">
      <c r="A576" t="s">
        <v>3453</v>
      </c>
      <c r="B576">
        <v>50.25</v>
      </c>
      <c r="C576">
        <v>-6.0000000000002274E-2</v>
      </c>
      <c r="E576" t="s">
        <v>11768</v>
      </c>
      <c r="F576" t="s">
        <v>11771</v>
      </c>
      <c r="I576">
        <v>50.25</v>
      </c>
    </row>
    <row r="577" spans="1:9">
      <c r="A577" t="s">
        <v>3457</v>
      </c>
      <c r="B577">
        <v>50.28</v>
      </c>
      <c r="C577">
        <v>3.0000000000001137E-2</v>
      </c>
      <c r="E577" t="s">
        <v>11768</v>
      </c>
      <c r="F577" t="s">
        <v>11771</v>
      </c>
      <c r="I577">
        <v>50.28</v>
      </c>
    </row>
    <row r="578" spans="1:9">
      <c r="A578" t="s">
        <v>3462</v>
      </c>
      <c r="B578">
        <v>50.16</v>
      </c>
      <c r="C578">
        <v>-0.12000000000000455</v>
      </c>
    </row>
    <row r="579" spans="1:9">
      <c r="A579" t="s">
        <v>3470</v>
      </c>
      <c r="B579">
        <v>50.19</v>
      </c>
      <c r="C579">
        <v>3.0000000000001137E-2</v>
      </c>
    </row>
    <row r="580" spans="1:9">
      <c r="A580" t="s">
        <v>3476</v>
      </c>
      <c r="B580">
        <v>50.19</v>
      </c>
      <c r="C580">
        <v>0</v>
      </c>
    </row>
    <row r="581" spans="1:9">
      <c r="A581" t="s">
        <v>3481</v>
      </c>
      <c r="B581">
        <v>50.28</v>
      </c>
      <c r="C581">
        <v>9.0000000000003411E-2</v>
      </c>
    </row>
    <row r="582" spans="1:9">
      <c r="A582" t="s">
        <v>3487</v>
      </c>
      <c r="B582">
        <v>50.22</v>
      </c>
      <c r="C582">
        <v>-6.0000000000002274E-2</v>
      </c>
    </row>
    <row r="583" spans="1:9">
      <c r="A583" t="s">
        <v>3493</v>
      </c>
      <c r="B583">
        <v>54.18</v>
      </c>
      <c r="C583">
        <v>3.9600000000000009</v>
      </c>
    </row>
    <row r="584" spans="1:9">
      <c r="A584" t="s">
        <v>3503</v>
      </c>
      <c r="B584">
        <v>81.66</v>
      </c>
      <c r="C584">
        <v>27.479999999999997</v>
      </c>
    </row>
    <row r="585" spans="1:9">
      <c r="A585" t="s">
        <v>3509</v>
      </c>
      <c r="B585">
        <v>82.8</v>
      </c>
      <c r="C585">
        <v>1.1400000000000006</v>
      </c>
    </row>
    <row r="586" spans="1:9">
      <c r="A586" t="s">
        <v>3515</v>
      </c>
      <c r="B586">
        <v>83.19</v>
      </c>
      <c r="C586">
        <v>0.39000000000000057</v>
      </c>
    </row>
    <row r="587" spans="1:9">
      <c r="A587" t="s">
        <v>3521</v>
      </c>
      <c r="B587">
        <v>53.1</v>
      </c>
      <c r="C587">
        <v>-30.089999999999996</v>
      </c>
    </row>
    <row r="588" spans="1:9">
      <c r="A588" t="s">
        <v>3528</v>
      </c>
      <c r="B588">
        <v>52.83</v>
      </c>
      <c r="C588">
        <v>-0.27000000000000313</v>
      </c>
    </row>
    <row r="589" spans="1:9">
      <c r="A589" t="s">
        <v>3535</v>
      </c>
      <c r="B589">
        <v>52.86</v>
      </c>
      <c r="C589">
        <v>3.0000000000001137E-2</v>
      </c>
    </row>
    <row r="590" spans="1:9">
      <c r="A590" t="s">
        <v>3539</v>
      </c>
      <c r="B590">
        <v>52.68</v>
      </c>
      <c r="C590">
        <v>-0.17999999999999972</v>
      </c>
    </row>
    <row r="591" spans="1:9">
      <c r="A591" t="s">
        <v>3545</v>
      </c>
      <c r="B591">
        <v>52.53</v>
      </c>
      <c r="C591">
        <v>-0.14999999999999858</v>
      </c>
    </row>
    <row r="592" spans="1:9">
      <c r="A592" t="s">
        <v>3549</v>
      </c>
      <c r="B592">
        <v>52.56</v>
      </c>
      <c r="C592">
        <v>3.0000000000001137E-2</v>
      </c>
    </row>
    <row r="593" spans="1:3">
      <c r="A593" t="s">
        <v>3553</v>
      </c>
      <c r="B593">
        <v>52.35</v>
      </c>
      <c r="C593">
        <v>-0.21000000000000085</v>
      </c>
    </row>
    <row r="594" spans="1:3">
      <c r="A594" t="s">
        <v>3558</v>
      </c>
      <c r="B594">
        <v>52.23</v>
      </c>
      <c r="C594">
        <v>-0.12000000000000455</v>
      </c>
    </row>
    <row r="595" spans="1:3">
      <c r="A595" t="s">
        <v>3563</v>
      </c>
      <c r="B595">
        <v>52.23</v>
      </c>
      <c r="C595">
        <v>0</v>
      </c>
    </row>
    <row r="596" spans="1:3">
      <c r="A596" t="s">
        <v>3569</v>
      </c>
      <c r="B596">
        <v>51.96</v>
      </c>
      <c r="C596">
        <v>-0.26999999999999602</v>
      </c>
    </row>
    <row r="597" spans="1:3">
      <c r="A597" t="s">
        <v>3575</v>
      </c>
      <c r="B597">
        <v>51.96</v>
      </c>
      <c r="C597">
        <v>0</v>
      </c>
    </row>
    <row r="598" spans="1:3">
      <c r="A598" t="s">
        <v>3579</v>
      </c>
      <c r="B598">
        <v>51.9</v>
      </c>
      <c r="C598">
        <v>-6.0000000000002274E-2</v>
      </c>
    </row>
    <row r="599" spans="1:3">
      <c r="A599" t="s">
        <v>3586</v>
      </c>
      <c r="B599">
        <v>51.81</v>
      </c>
      <c r="C599">
        <v>-8.9999999999996305E-2</v>
      </c>
    </row>
    <row r="600" spans="1:3">
      <c r="A600" t="s">
        <v>3592</v>
      </c>
      <c r="B600">
        <v>51.6</v>
      </c>
      <c r="C600">
        <v>-0.21000000000000085</v>
      </c>
    </row>
    <row r="601" spans="1:3">
      <c r="A601" t="s">
        <v>3598</v>
      </c>
      <c r="B601">
        <v>51.75</v>
      </c>
      <c r="C601">
        <v>0.14999999999999858</v>
      </c>
    </row>
    <row r="602" spans="1:3">
      <c r="A602" t="s">
        <v>3603</v>
      </c>
      <c r="B602">
        <v>51.45</v>
      </c>
      <c r="C602">
        <v>-0.29999999999999716</v>
      </c>
    </row>
    <row r="603" spans="1:3">
      <c r="A603" t="s">
        <v>3608</v>
      </c>
      <c r="B603">
        <v>51.45</v>
      </c>
      <c r="C603">
        <v>0</v>
      </c>
    </row>
    <row r="604" spans="1:3">
      <c r="A604" t="s">
        <v>3612</v>
      </c>
      <c r="B604">
        <v>51.36</v>
      </c>
      <c r="C604">
        <v>-9.0000000000003411E-2</v>
      </c>
    </row>
    <row r="605" spans="1:3">
      <c r="A605" t="s">
        <v>3616</v>
      </c>
      <c r="B605">
        <v>51.06</v>
      </c>
      <c r="C605">
        <v>-0.29999999999999716</v>
      </c>
    </row>
    <row r="606" spans="1:3">
      <c r="A606" t="s">
        <v>3620</v>
      </c>
      <c r="B606">
        <v>51.03</v>
      </c>
      <c r="C606">
        <v>-3.0000000000001137E-2</v>
      </c>
    </row>
    <row r="607" spans="1:3">
      <c r="A607" t="s">
        <v>3624</v>
      </c>
      <c r="B607">
        <v>50.91</v>
      </c>
      <c r="C607">
        <v>-0.12000000000000455</v>
      </c>
    </row>
    <row r="608" spans="1:3">
      <c r="A608" t="s">
        <v>3628</v>
      </c>
      <c r="B608">
        <v>50.88</v>
      </c>
      <c r="C608">
        <v>-2.9999999999994031E-2</v>
      </c>
    </row>
    <row r="609" spans="1:3">
      <c r="A609" t="s">
        <v>3632</v>
      </c>
      <c r="B609">
        <v>50.7</v>
      </c>
      <c r="C609">
        <v>-0.17999999999999972</v>
      </c>
    </row>
    <row r="610" spans="1:3">
      <c r="A610" t="s">
        <v>3636</v>
      </c>
      <c r="B610">
        <v>50.67</v>
      </c>
      <c r="C610">
        <v>-3.0000000000001137E-2</v>
      </c>
    </row>
    <row r="611" spans="1:3">
      <c r="A611" t="s">
        <v>3640</v>
      </c>
      <c r="B611">
        <v>50.52</v>
      </c>
      <c r="C611">
        <v>-0.14999999999999858</v>
      </c>
    </row>
    <row r="612" spans="1:3">
      <c r="A612" t="s">
        <v>3644</v>
      </c>
      <c r="B612">
        <v>50.49</v>
      </c>
      <c r="C612">
        <v>-3.0000000000001137E-2</v>
      </c>
    </row>
    <row r="613" spans="1:3">
      <c r="A613" t="s">
        <v>3648</v>
      </c>
      <c r="B613">
        <v>50.37</v>
      </c>
      <c r="C613">
        <v>-0.12000000000000455</v>
      </c>
    </row>
    <row r="614" spans="1:3">
      <c r="A614" t="s">
        <v>3652</v>
      </c>
      <c r="B614">
        <v>50.34</v>
      </c>
      <c r="C614">
        <v>-2.9999999999994031E-2</v>
      </c>
    </row>
    <row r="615" spans="1:3">
      <c r="A615" t="s">
        <v>3656</v>
      </c>
      <c r="B615">
        <v>50.25</v>
      </c>
      <c r="C615">
        <v>-9.0000000000003411E-2</v>
      </c>
    </row>
    <row r="616" spans="1:3">
      <c r="A616" t="s">
        <v>3660</v>
      </c>
      <c r="B616">
        <v>53.25</v>
      </c>
      <c r="C616">
        <v>3</v>
      </c>
    </row>
    <row r="617" spans="1:3">
      <c r="A617" t="s">
        <v>3668</v>
      </c>
      <c r="B617">
        <v>80.55</v>
      </c>
      <c r="C617">
        <v>27.299999999999997</v>
      </c>
    </row>
    <row r="618" spans="1:3">
      <c r="A618" t="s">
        <v>3678</v>
      </c>
      <c r="B618">
        <v>82.29</v>
      </c>
      <c r="C618">
        <v>1.7400000000000091</v>
      </c>
    </row>
    <row r="619" spans="1:3">
      <c r="A619" t="s">
        <v>3687</v>
      </c>
      <c r="B619">
        <v>82.71</v>
      </c>
      <c r="C619">
        <v>0.41999999999998749</v>
      </c>
    </row>
    <row r="620" spans="1:3">
      <c r="A620" t="s">
        <v>3693</v>
      </c>
      <c r="B620">
        <v>71.400000000000006</v>
      </c>
      <c r="C620">
        <v>-11.309999999999988</v>
      </c>
    </row>
    <row r="621" spans="1:3">
      <c r="A621" t="s">
        <v>3702</v>
      </c>
      <c r="B621">
        <v>52.74</v>
      </c>
      <c r="C621">
        <v>-18.660000000000004</v>
      </c>
    </row>
    <row r="622" spans="1:3">
      <c r="A622" t="s">
        <v>3706</v>
      </c>
      <c r="B622">
        <v>52.68</v>
      </c>
      <c r="C622">
        <v>-6.0000000000002274E-2</v>
      </c>
    </row>
    <row r="623" spans="1:3">
      <c r="A623" t="s">
        <v>3710</v>
      </c>
      <c r="B623">
        <v>52.68</v>
      </c>
      <c r="C623">
        <v>0</v>
      </c>
    </row>
    <row r="624" spans="1:3">
      <c r="A624" t="s">
        <v>3714</v>
      </c>
      <c r="B624">
        <v>52.44</v>
      </c>
      <c r="C624">
        <v>-0.24000000000000199</v>
      </c>
    </row>
    <row r="625" spans="1:3">
      <c r="A625" t="s">
        <v>3718</v>
      </c>
      <c r="B625">
        <v>52.23</v>
      </c>
      <c r="C625">
        <v>-0.21000000000000085</v>
      </c>
    </row>
    <row r="626" spans="1:3">
      <c r="A626" t="s">
        <v>3722</v>
      </c>
      <c r="B626">
        <v>52.05</v>
      </c>
      <c r="C626">
        <v>-0.17999999999999972</v>
      </c>
    </row>
    <row r="627" spans="1:3">
      <c r="A627" t="s">
        <v>3726</v>
      </c>
      <c r="B627">
        <v>52.05</v>
      </c>
      <c r="C627">
        <v>0</v>
      </c>
    </row>
    <row r="628" spans="1:3">
      <c r="A628" t="s">
        <v>3730</v>
      </c>
      <c r="B628">
        <v>51.9</v>
      </c>
      <c r="C628">
        <v>-0.14999999999999858</v>
      </c>
    </row>
    <row r="629" spans="1:3">
      <c r="A629" t="s">
        <v>3734</v>
      </c>
      <c r="B629">
        <v>51.96</v>
      </c>
      <c r="C629">
        <v>6.0000000000002274E-2</v>
      </c>
    </row>
    <row r="630" spans="1:3">
      <c r="A630" t="s">
        <v>3738</v>
      </c>
      <c r="B630">
        <v>51.81</v>
      </c>
      <c r="C630">
        <v>-0.14999999999999858</v>
      </c>
    </row>
    <row r="631" spans="1:3">
      <c r="A631" t="s">
        <v>3742</v>
      </c>
      <c r="B631">
        <v>51.69</v>
      </c>
      <c r="C631">
        <v>-0.12000000000000455</v>
      </c>
    </row>
    <row r="632" spans="1:3">
      <c r="A632" t="s">
        <v>3746</v>
      </c>
      <c r="B632">
        <v>51.63</v>
      </c>
      <c r="C632">
        <v>-5.9999999999995168E-2</v>
      </c>
    </row>
    <row r="633" spans="1:3">
      <c r="A633" t="s">
        <v>3750</v>
      </c>
      <c r="B633">
        <v>51.48</v>
      </c>
      <c r="C633">
        <v>-0.15000000000000568</v>
      </c>
    </row>
    <row r="634" spans="1:3">
      <c r="A634" t="s">
        <v>3754</v>
      </c>
      <c r="B634">
        <v>51.45</v>
      </c>
      <c r="C634">
        <v>-2.9999999999994031E-2</v>
      </c>
    </row>
    <row r="635" spans="1:3">
      <c r="A635" t="s">
        <v>3758</v>
      </c>
      <c r="B635">
        <v>51.33</v>
      </c>
      <c r="C635">
        <v>-0.12000000000000455</v>
      </c>
    </row>
    <row r="636" spans="1:3">
      <c r="A636" t="s">
        <v>3762</v>
      </c>
      <c r="B636">
        <v>51.3</v>
      </c>
      <c r="C636">
        <v>-3.0000000000001137E-2</v>
      </c>
    </row>
    <row r="637" spans="1:3">
      <c r="A637" t="s">
        <v>3766</v>
      </c>
      <c r="B637">
        <v>51.12</v>
      </c>
      <c r="C637">
        <v>-0.17999999999999972</v>
      </c>
    </row>
    <row r="638" spans="1:3">
      <c r="A638" t="s">
        <v>3770</v>
      </c>
      <c r="B638">
        <v>50.97</v>
      </c>
      <c r="C638">
        <v>-0.14999999999999858</v>
      </c>
    </row>
    <row r="639" spans="1:3">
      <c r="A639" t="s">
        <v>3774</v>
      </c>
      <c r="B639">
        <v>50.91</v>
      </c>
      <c r="C639">
        <v>-6.0000000000002274E-2</v>
      </c>
    </row>
    <row r="640" spans="1:3">
      <c r="A640" t="s">
        <v>3778</v>
      </c>
      <c r="B640">
        <v>50.85</v>
      </c>
      <c r="C640">
        <v>-5.9999999999995168E-2</v>
      </c>
    </row>
    <row r="641" spans="1:3">
      <c r="A641" t="s">
        <v>3782</v>
      </c>
      <c r="B641">
        <v>50.7</v>
      </c>
      <c r="C641">
        <v>-0.14999999999999858</v>
      </c>
    </row>
    <row r="642" spans="1:3">
      <c r="A642" t="s">
        <v>3786</v>
      </c>
      <c r="B642">
        <v>50.55</v>
      </c>
      <c r="C642">
        <v>-0.15000000000000568</v>
      </c>
    </row>
    <row r="643" spans="1:3">
      <c r="A643" t="s">
        <v>3790</v>
      </c>
      <c r="B643">
        <v>50.58</v>
      </c>
      <c r="C643">
        <v>3.0000000000001137E-2</v>
      </c>
    </row>
    <row r="644" spans="1:3">
      <c r="A644" t="s">
        <v>3794</v>
      </c>
      <c r="B644">
        <v>50.46</v>
      </c>
      <c r="C644">
        <v>-0.11999999999999744</v>
      </c>
    </row>
    <row r="645" spans="1:3">
      <c r="A645" t="s">
        <v>3798</v>
      </c>
      <c r="B645">
        <v>50.43</v>
      </c>
      <c r="C645">
        <v>-3.0000000000001137E-2</v>
      </c>
    </row>
    <row r="646" spans="1:3">
      <c r="A646" t="s">
        <v>3802</v>
      </c>
      <c r="B646">
        <v>50.16</v>
      </c>
      <c r="C646">
        <v>-0.27000000000000313</v>
      </c>
    </row>
    <row r="647" spans="1:3">
      <c r="A647" t="s">
        <v>3806</v>
      </c>
      <c r="B647">
        <v>50.07</v>
      </c>
      <c r="C647">
        <v>-8.9999999999996305E-2</v>
      </c>
    </row>
    <row r="648" spans="1:3">
      <c r="A648" t="s">
        <v>3811</v>
      </c>
      <c r="B648">
        <v>59.76</v>
      </c>
      <c r="C648">
        <v>9.6899999999999977</v>
      </c>
    </row>
    <row r="649" spans="1:3">
      <c r="A649" t="s">
        <v>3819</v>
      </c>
      <c r="B649">
        <v>81.66</v>
      </c>
      <c r="C649">
        <v>21.9</v>
      </c>
    </row>
    <row r="650" spans="1:3">
      <c r="A650" t="s">
        <v>3825</v>
      </c>
      <c r="B650">
        <v>82.26</v>
      </c>
      <c r="C650">
        <v>0.60000000000000853</v>
      </c>
    </row>
    <row r="651" spans="1:3">
      <c r="A651" t="s">
        <v>3830</v>
      </c>
      <c r="B651">
        <v>83.01</v>
      </c>
      <c r="C651">
        <v>0.75</v>
      </c>
    </row>
    <row r="652" spans="1:3">
      <c r="A652" t="s">
        <v>3838</v>
      </c>
      <c r="B652">
        <v>53.16</v>
      </c>
      <c r="C652">
        <v>-29.850000000000009</v>
      </c>
    </row>
    <row r="653" spans="1:3">
      <c r="A653" t="s">
        <v>3844</v>
      </c>
      <c r="B653">
        <v>52.83</v>
      </c>
      <c r="C653">
        <v>-0.32999999999999829</v>
      </c>
    </row>
    <row r="654" spans="1:3">
      <c r="A654" t="s">
        <v>3848</v>
      </c>
      <c r="B654">
        <v>52.62</v>
      </c>
      <c r="C654">
        <v>-0.21000000000000085</v>
      </c>
    </row>
    <row r="655" spans="1:3">
      <c r="A655" t="s">
        <v>3852</v>
      </c>
      <c r="B655">
        <v>52.41</v>
      </c>
      <c r="C655">
        <v>-0.21000000000000085</v>
      </c>
    </row>
    <row r="656" spans="1:3">
      <c r="A656" t="s">
        <v>3856</v>
      </c>
      <c r="B656">
        <v>52.35</v>
      </c>
      <c r="C656">
        <v>-5.9999999999995168E-2</v>
      </c>
    </row>
    <row r="657" spans="1:3">
      <c r="A657" t="s">
        <v>3860</v>
      </c>
      <c r="B657">
        <v>52.29</v>
      </c>
      <c r="C657">
        <v>-6.0000000000002274E-2</v>
      </c>
    </row>
    <row r="658" spans="1:3">
      <c r="A658" t="s">
        <v>3864</v>
      </c>
      <c r="B658">
        <v>52.2</v>
      </c>
      <c r="C658">
        <v>-8.9999999999996305E-2</v>
      </c>
    </row>
    <row r="659" spans="1:3">
      <c r="A659" t="s">
        <v>3868</v>
      </c>
      <c r="B659">
        <v>52.02</v>
      </c>
      <c r="C659">
        <v>-0.17999999999999972</v>
      </c>
    </row>
    <row r="660" spans="1:3">
      <c r="A660" t="s">
        <v>3872</v>
      </c>
      <c r="B660">
        <v>51.84</v>
      </c>
      <c r="C660">
        <v>-0.17999999999999972</v>
      </c>
    </row>
    <row r="661" spans="1:3">
      <c r="A661" t="s">
        <v>3876</v>
      </c>
      <c r="B661">
        <v>51.87</v>
      </c>
      <c r="C661">
        <v>2.9999999999994031E-2</v>
      </c>
    </row>
    <row r="662" spans="1:3">
      <c r="A662" t="s">
        <v>3880</v>
      </c>
      <c r="B662">
        <v>51.72</v>
      </c>
      <c r="C662">
        <v>-0.14999999999999858</v>
      </c>
    </row>
    <row r="663" spans="1:3">
      <c r="A663" t="s">
        <v>3884</v>
      </c>
      <c r="B663">
        <v>51.6</v>
      </c>
      <c r="C663">
        <v>-0.11999999999999744</v>
      </c>
    </row>
    <row r="664" spans="1:3">
      <c r="A664" t="s">
        <v>3888</v>
      </c>
      <c r="B664">
        <v>51.54</v>
      </c>
      <c r="C664">
        <v>-6.0000000000002274E-2</v>
      </c>
    </row>
    <row r="665" spans="1:3">
      <c r="A665" t="s">
        <v>3892</v>
      </c>
      <c r="B665">
        <v>51.36</v>
      </c>
      <c r="C665">
        <v>-0.17999999999999972</v>
      </c>
    </row>
    <row r="666" spans="1:3">
      <c r="A666" t="s">
        <v>3896</v>
      </c>
      <c r="B666">
        <v>51.33</v>
      </c>
      <c r="C666">
        <v>-3.0000000000001137E-2</v>
      </c>
    </row>
    <row r="667" spans="1:3">
      <c r="A667" t="s">
        <v>3900</v>
      </c>
      <c r="B667">
        <v>51.12</v>
      </c>
      <c r="C667">
        <v>-0.21000000000000085</v>
      </c>
    </row>
    <row r="668" spans="1:3">
      <c r="A668" t="s">
        <v>3904</v>
      </c>
      <c r="B668">
        <v>51.18</v>
      </c>
      <c r="C668">
        <v>6.0000000000002274E-2</v>
      </c>
    </row>
    <row r="669" spans="1:3">
      <c r="A669" t="s">
        <v>3908</v>
      </c>
      <c r="B669">
        <v>51.03</v>
      </c>
      <c r="C669">
        <v>-0.14999999999999858</v>
      </c>
    </row>
    <row r="670" spans="1:3">
      <c r="A670" t="s">
        <v>3912</v>
      </c>
      <c r="B670">
        <v>51</v>
      </c>
      <c r="C670">
        <v>-3.0000000000001137E-2</v>
      </c>
    </row>
    <row r="671" spans="1:3">
      <c r="A671" t="s">
        <v>3916</v>
      </c>
      <c r="B671">
        <v>50.82</v>
      </c>
      <c r="C671">
        <v>-0.17999999999999972</v>
      </c>
    </row>
    <row r="672" spans="1:3">
      <c r="A672" t="s">
        <v>3920</v>
      </c>
      <c r="B672">
        <v>50.73</v>
      </c>
      <c r="C672">
        <v>-9.0000000000003411E-2</v>
      </c>
    </row>
    <row r="673" spans="1:3">
      <c r="A673" t="s">
        <v>3924</v>
      </c>
      <c r="B673">
        <v>50.61</v>
      </c>
      <c r="C673">
        <v>-0.11999999999999744</v>
      </c>
    </row>
    <row r="674" spans="1:3">
      <c r="A674" t="s">
        <v>3928</v>
      </c>
      <c r="B674">
        <v>50.61</v>
      </c>
      <c r="C674">
        <v>0</v>
      </c>
    </row>
    <row r="675" spans="1:3">
      <c r="A675" t="s">
        <v>3932</v>
      </c>
      <c r="B675">
        <v>50.55</v>
      </c>
      <c r="C675">
        <v>-6.0000000000002274E-2</v>
      </c>
    </row>
    <row r="676" spans="1:3">
      <c r="A676" t="s">
        <v>3936</v>
      </c>
      <c r="B676">
        <v>50.52</v>
      </c>
      <c r="C676">
        <v>-2.9999999999994031E-2</v>
      </c>
    </row>
    <row r="677" spans="1:3">
      <c r="A677" t="s">
        <v>3940</v>
      </c>
      <c r="B677">
        <v>50.37</v>
      </c>
      <c r="C677">
        <v>-0.15000000000000568</v>
      </c>
    </row>
    <row r="678" spans="1:3">
      <c r="A678" t="s">
        <v>3944</v>
      </c>
      <c r="B678">
        <v>50.28</v>
      </c>
      <c r="C678">
        <v>-8.9999999999996305E-2</v>
      </c>
    </row>
    <row r="679" spans="1:3">
      <c r="A679" t="s">
        <v>3948</v>
      </c>
      <c r="B679">
        <v>50.25</v>
      </c>
      <c r="C679">
        <v>-3.0000000000001137E-2</v>
      </c>
    </row>
    <row r="680" spans="1:3">
      <c r="A680" t="s">
        <v>3952</v>
      </c>
      <c r="B680">
        <v>50.13</v>
      </c>
      <c r="C680">
        <v>-0.11999999999999744</v>
      </c>
    </row>
    <row r="681" spans="1:3">
      <c r="A681" t="s">
        <v>3956</v>
      </c>
      <c r="B681">
        <v>50.19</v>
      </c>
      <c r="C681">
        <v>5.9999999999995168E-2</v>
      </c>
    </row>
    <row r="682" spans="1:3">
      <c r="A682" t="s">
        <v>3960</v>
      </c>
      <c r="B682">
        <v>80.760000000000005</v>
      </c>
      <c r="C682">
        <v>30.570000000000007</v>
      </c>
    </row>
    <row r="683" spans="1:3">
      <c r="A683" t="s">
        <v>3969</v>
      </c>
      <c r="B683">
        <v>82.35</v>
      </c>
      <c r="C683">
        <v>1.5899999999999892</v>
      </c>
    </row>
    <row r="684" spans="1:3">
      <c r="A684" t="s">
        <v>3976</v>
      </c>
      <c r="B684">
        <v>82.83</v>
      </c>
      <c r="C684">
        <v>0.48000000000000398</v>
      </c>
    </row>
    <row r="685" spans="1:3">
      <c r="A685" t="s">
        <v>3983</v>
      </c>
      <c r="B685">
        <v>65.28</v>
      </c>
      <c r="C685">
        <v>-17.549999999999997</v>
      </c>
    </row>
    <row r="686" spans="1:3">
      <c r="A686" t="s">
        <v>3992</v>
      </c>
      <c r="B686">
        <v>53.22</v>
      </c>
      <c r="C686">
        <v>-12.060000000000002</v>
      </c>
    </row>
    <row r="687" spans="1:3">
      <c r="A687" t="s">
        <v>3998</v>
      </c>
      <c r="B687">
        <v>52.77</v>
      </c>
      <c r="C687">
        <v>-0.44999999999999574</v>
      </c>
    </row>
    <row r="688" spans="1:3">
      <c r="A688" t="s">
        <v>4004</v>
      </c>
      <c r="B688">
        <v>52.86</v>
      </c>
      <c r="C688">
        <v>8.9999999999996305E-2</v>
      </c>
    </row>
    <row r="689" spans="1:3">
      <c r="A689" t="s">
        <v>4008</v>
      </c>
      <c r="B689">
        <v>52.68</v>
      </c>
      <c r="C689">
        <v>-0.17999999999999972</v>
      </c>
    </row>
    <row r="690" spans="1:3">
      <c r="A690" t="s">
        <v>4012</v>
      </c>
      <c r="B690">
        <v>52.65</v>
      </c>
      <c r="C690">
        <v>-3.0000000000001137E-2</v>
      </c>
    </row>
    <row r="691" spans="1:3">
      <c r="A691" t="s">
        <v>4016</v>
      </c>
      <c r="B691">
        <v>52.41</v>
      </c>
      <c r="C691">
        <v>-0.24000000000000199</v>
      </c>
    </row>
    <row r="692" spans="1:3">
      <c r="A692" t="s">
        <v>4020</v>
      </c>
      <c r="B692">
        <v>52.38</v>
      </c>
      <c r="C692">
        <v>-2.9999999999994031E-2</v>
      </c>
    </row>
    <row r="693" spans="1:3">
      <c r="A693" t="s">
        <v>4024</v>
      </c>
      <c r="B693">
        <v>52.41</v>
      </c>
      <c r="C693">
        <v>2.9999999999994031E-2</v>
      </c>
    </row>
    <row r="694" spans="1:3">
      <c r="A694" t="s">
        <v>4028</v>
      </c>
      <c r="B694">
        <v>52.29</v>
      </c>
      <c r="C694">
        <v>-0.11999999999999744</v>
      </c>
    </row>
    <row r="695" spans="1:3">
      <c r="A695" t="s">
        <v>4032</v>
      </c>
      <c r="B695">
        <v>52.17</v>
      </c>
      <c r="C695">
        <v>-0.11999999999999744</v>
      </c>
    </row>
    <row r="696" spans="1:3">
      <c r="A696" t="s">
        <v>4036</v>
      </c>
      <c r="B696">
        <v>52.02</v>
      </c>
      <c r="C696">
        <v>-0.14999999999999858</v>
      </c>
    </row>
    <row r="697" spans="1:3">
      <c r="A697" t="s">
        <v>4040</v>
      </c>
      <c r="B697">
        <v>51.99</v>
      </c>
      <c r="C697">
        <v>-3.0000000000001137E-2</v>
      </c>
    </row>
    <row r="698" spans="1:3">
      <c r="A698" t="s">
        <v>4044</v>
      </c>
      <c r="B698">
        <v>51.9</v>
      </c>
      <c r="C698">
        <v>-9.0000000000003411E-2</v>
      </c>
    </row>
    <row r="699" spans="1:3">
      <c r="A699" t="s">
        <v>4048</v>
      </c>
      <c r="B699">
        <v>51.96</v>
      </c>
      <c r="C699">
        <v>6.0000000000002274E-2</v>
      </c>
    </row>
    <row r="700" spans="1:3">
      <c r="A700" t="s">
        <v>4052</v>
      </c>
      <c r="B700">
        <v>51.81</v>
      </c>
      <c r="C700">
        <v>-0.14999999999999858</v>
      </c>
    </row>
    <row r="701" spans="1:3">
      <c r="A701" t="s">
        <v>4056</v>
      </c>
      <c r="B701">
        <v>51.63</v>
      </c>
      <c r="C701">
        <v>-0.17999999999999972</v>
      </c>
    </row>
    <row r="702" spans="1:3">
      <c r="A702" t="s">
        <v>4060</v>
      </c>
      <c r="B702">
        <v>51.66</v>
      </c>
      <c r="C702">
        <v>2.9999999999994031E-2</v>
      </c>
    </row>
    <row r="703" spans="1:3">
      <c r="A703" t="s">
        <v>4064</v>
      </c>
      <c r="B703">
        <v>51.57</v>
      </c>
      <c r="C703">
        <v>-8.9999999999996305E-2</v>
      </c>
    </row>
    <row r="704" spans="1:3">
      <c r="A704" t="s">
        <v>4068</v>
      </c>
      <c r="B704">
        <v>51.45</v>
      </c>
      <c r="C704">
        <v>-0.11999999999999744</v>
      </c>
    </row>
    <row r="705" spans="1:3">
      <c r="A705" t="s">
        <v>4072</v>
      </c>
      <c r="B705">
        <v>51.45</v>
      </c>
      <c r="C705">
        <v>0</v>
      </c>
    </row>
    <row r="706" spans="1:3">
      <c r="A706" t="s">
        <v>4076</v>
      </c>
      <c r="B706">
        <v>51.39</v>
      </c>
      <c r="C706">
        <v>-6.0000000000002274E-2</v>
      </c>
    </row>
    <row r="707" spans="1:3">
      <c r="A707" t="s">
        <v>4080</v>
      </c>
      <c r="B707">
        <v>51.27</v>
      </c>
      <c r="C707">
        <v>-0.11999999999999744</v>
      </c>
    </row>
    <row r="708" spans="1:3">
      <c r="A708" t="s">
        <v>4084</v>
      </c>
      <c r="B708">
        <v>51.18</v>
      </c>
      <c r="C708">
        <v>-9.0000000000003411E-2</v>
      </c>
    </row>
    <row r="709" spans="1:3">
      <c r="A709" t="s">
        <v>4088</v>
      </c>
      <c r="B709">
        <v>51.24</v>
      </c>
      <c r="C709">
        <v>6.0000000000002274E-2</v>
      </c>
    </row>
    <row r="710" spans="1:3">
      <c r="A710" t="s">
        <v>4092</v>
      </c>
      <c r="B710">
        <v>50.97</v>
      </c>
      <c r="C710">
        <v>-0.27000000000000313</v>
      </c>
    </row>
    <row r="711" spans="1:3">
      <c r="A711" t="s">
        <v>4096</v>
      </c>
      <c r="B711">
        <v>50.79</v>
      </c>
      <c r="C711">
        <v>-0.17999999999999972</v>
      </c>
    </row>
    <row r="712" spans="1:3">
      <c r="A712" t="s">
        <v>4100</v>
      </c>
      <c r="B712">
        <v>50.91</v>
      </c>
      <c r="C712">
        <v>0.11999999999999744</v>
      </c>
    </row>
    <row r="713" spans="1:3">
      <c r="A713" t="s">
        <v>4104</v>
      </c>
      <c r="B713">
        <v>50.88</v>
      </c>
      <c r="C713">
        <v>-2.9999999999994031E-2</v>
      </c>
    </row>
    <row r="714" spans="1:3">
      <c r="A714" t="s">
        <v>4108</v>
      </c>
      <c r="B714">
        <v>50.82</v>
      </c>
      <c r="C714">
        <v>-6.0000000000002274E-2</v>
      </c>
    </row>
    <row r="715" spans="1:3">
      <c r="A715" t="s">
        <v>4112</v>
      </c>
      <c r="B715">
        <v>50.76</v>
      </c>
      <c r="C715">
        <v>-6.0000000000002274E-2</v>
      </c>
    </row>
    <row r="716" spans="1:3">
      <c r="A716" t="s">
        <v>4116</v>
      </c>
      <c r="B716">
        <v>50.67</v>
      </c>
      <c r="C716">
        <v>-8.9999999999996305E-2</v>
      </c>
    </row>
    <row r="717" spans="1:3">
      <c r="A717" t="s">
        <v>4120</v>
      </c>
      <c r="B717">
        <v>50.58</v>
      </c>
      <c r="C717">
        <v>-9.0000000000003411E-2</v>
      </c>
    </row>
    <row r="718" spans="1:3">
      <c r="A718" t="s">
        <v>4124</v>
      </c>
      <c r="B718">
        <v>50.67</v>
      </c>
      <c r="C718">
        <v>9.0000000000003411E-2</v>
      </c>
    </row>
    <row r="719" spans="1:3">
      <c r="A719" t="s">
        <v>4128</v>
      </c>
      <c r="B719">
        <v>50.4</v>
      </c>
      <c r="C719">
        <v>-0.27000000000000313</v>
      </c>
    </row>
    <row r="720" spans="1:3">
      <c r="A720" t="s">
        <v>4132</v>
      </c>
      <c r="B720">
        <v>50.34</v>
      </c>
      <c r="C720">
        <v>-5.9999999999995168E-2</v>
      </c>
    </row>
    <row r="721" spans="1:3">
      <c r="A721" t="s">
        <v>4137</v>
      </c>
      <c r="B721">
        <v>50.28</v>
      </c>
      <c r="C721">
        <v>-6.0000000000002274E-2</v>
      </c>
    </row>
    <row r="722" spans="1:3">
      <c r="A722" t="s">
        <v>4141</v>
      </c>
      <c r="B722">
        <v>50.04</v>
      </c>
      <c r="C722">
        <v>-0.24000000000000199</v>
      </c>
    </row>
    <row r="723" spans="1:3">
      <c r="A723" t="s">
        <v>4145</v>
      </c>
      <c r="B723">
        <v>62.37</v>
      </c>
      <c r="C723">
        <v>12.329999999999998</v>
      </c>
    </row>
    <row r="724" spans="1:3">
      <c r="A724" t="s">
        <v>4153</v>
      </c>
      <c r="B724">
        <v>81.81</v>
      </c>
      <c r="C724">
        <v>19.440000000000005</v>
      </c>
    </row>
    <row r="725" spans="1:3">
      <c r="A725" t="s">
        <v>4159</v>
      </c>
      <c r="B725">
        <v>82.35</v>
      </c>
      <c r="C725">
        <v>0.53999999999999204</v>
      </c>
    </row>
    <row r="726" spans="1:3">
      <c r="A726" t="s">
        <v>4165</v>
      </c>
      <c r="B726">
        <v>83.04</v>
      </c>
      <c r="C726">
        <v>0.69000000000001194</v>
      </c>
    </row>
    <row r="727" spans="1:3">
      <c r="A727" t="s">
        <v>4169</v>
      </c>
      <c r="B727">
        <v>53.07</v>
      </c>
      <c r="C727">
        <v>-29.970000000000006</v>
      </c>
    </row>
    <row r="728" spans="1:3">
      <c r="A728" t="s">
        <v>4176</v>
      </c>
      <c r="B728">
        <v>52.89</v>
      </c>
      <c r="C728">
        <v>-0.17999999999999972</v>
      </c>
    </row>
    <row r="729" spans="1:3">
      <c r="A729" t="s">
        <v>4181</v>
      </c>
      <c r="B729">
        <v>52.68</v>
      </c>
      <c r="C729">
        <v>-0.21000000000000085</v>
      </c>
    </row>
    <row r="730" spans="1:3">
      <c r="A730" t="s">
        <v>4185</v>
      </c>
      <c r="B730">
        <v>52.56</v>
      </c>
      <c r="C730">
        <v>-0.11999999999999744</v>
      </c>
    </row>
    <row r="731" spans="1:3">
      <c r="A731" t="s">
        <v>4189</v>
      </c>
      <c r="B731">
        <v>52.38</v>
      </c>
      <c r="C731">
        <v>-0.17999999999999972</v>
      </c>
    </row>
    <row r="732" spans="1:3">
      <c r="A732" t="s">
        <v>4193</v>
      </c>
      <c r="B732">
        <v>52.35</v>
      </c>
      <c r="C732">
        <v>-3.0000000000001137E-2</v>
      </c>
    </row>
    <row r="733" spans="1:3">
      <c r="A733" t="s">
        <v>4197</v>
      </c>
      <c r="B733">
        <v>51.84</v>
      </c>
      <c r="C733">
        <v>-0.50999999999999801</v>
      </c>
    </row>
    <row r="734" spans="1:3">
      <c r="A734" t="s">
        <v>4201</v>
      </c>
      <c r="B734">
        <v>51.36</v>
      </c>
      <c r="C734">
        <v>-0.48000000000000398</v>
      </c>
    </row>
    <row r="735" spans="1:3">
      <c r="A735" t="s">
        <v>4205</v>
      </c>
      <c r="B735">
        <v>51.42</v>
      </c>
      <c r="C735">
        <v>6.0000000000002274E-2</v>
      </c>
    </row>
    <row r="736" spans="1:3">
      <c r="A736" t="s">
        <v>4209</v>
      </c>
      <c r="B736">
        <v>51.39</v>
      </c>
      <c r="C736">
        <v>-3.0000000000001137E-2</v>
      </c>
    </row>
    <row r="737" spans="1:3">
      <c r="A737" t="s">
        <v>4213</v>
      </c>
      <c r="B737">
        <v>51.3</v>
      </c>
      <c r="C737">
        <v>-9.0000000000003411E-2</v>
      </c>
    </row>
    <row r="738" spans="1:3">
      <c r="A738" t="s">
        <v>4217</v>
      </c>
      <c r="B738">
        <v>51.42</v>
      </c>
      <c r="C738">
        <v>0.12000000000000455</v>
      </c>
    </row>
    <row r="739" spans="1:3">
      <c r="A739" t="s">
        <v>4221</v>
      </c>
      <c r="B739">
        <v>51.33</v>
      </c>
      <c r="C739">
        <v>-9.0000000000003411E-2</v>
      </c>
    </row>
    <row r="740" spans="1:3">
      <c r="A740" t="s">
        <v>4225</v>
      </c>
      <c r="B740">
        <v>51.3</v>
      </c>
      <c r="C740">
        <v>-3.0000000000001137E-2</v>
      </c>
    </row>
    <row r="741" spans="1:3">
      <c r="A741" t="s">
        <v>4229</v>
      </c>
      <c r="B741">
        <v>51.48</v>
      </c>
      <c r="C741">
        <v>0.17999999999999972</v>
      </c>
    </row>
    <row r="742" spans="1:3">
      <c r="A742" t="s">
        <v>4233</v>
      </c>
      <c r="B742">
        <v>51.18</v>
      </c>
      <c r="C742">
        <v>-0.29999999999999716</v>
      </c>
    </row>
    <row r="743" spans="1:3">
      <c r="A743" t="s">
        <v>4237</v>
      </c>
      <c r="B743">
        <v>51.24</v>
      </c>
      <c r="C743">
        <v>6.0000000000002274E-2</v>
      </c>
    </row>
    <row r="744" spans="1:3">
      <c r="A744" t="s">
        <v>4241</v>
      </c>
      <c r="B744">
        <v>51.15</v>
      </c>
      <c r="C744">
        <v>-9.0000000000003411E-2</v>
      </c>
    </row>
    <row r="745" spans="1:3">
      <c r="A745" t="s">
        <v>4245</v>
      </c>
      <c r="B745">
        <v>51.06</v>
      </c>
      <c r="C745">
        <v>-8.9999999999996305E-2</v>
      </c>
    </row>
    <row r="746" spans="1:3">
      <c r="A746" t="s">
        <v>4249</v>
      </c>
      <c r="B746">
        <v>51.09</v>
      </c>
      <c r="C746">
        <v>3.0000000000001137E-2</v>
      </c>
    </row>
    <row r="747" spans="1:3">
      <c r="A747" t="s">
        <v>4253</v>
      </c>
      <c r="B747">
        <v>51.06</v>
      </c>
      <c r="C747">
        <v>-3.0000000000001137E-2</v>
      </c>
    </row>
    <row r="748" spans="1:3">
      <c r="A748" t="s">
        <v>4257</v>
      </c>
      <c r="B748">
        <v>51.03</v>
      </c>
      <c r="C748">
        <v>-3.0000000000001137E-2</v>
      </c>
    </row>
    <row r="749" spans="1:3">
      <c r="A749" t="s">
        <v>4261</v>
      </c>
      <c r="B749">
        <v>50.97</v>
      </c>
      <c r="C749">
        <v>-6.0000000000002274E-2</v>
      </c>
    </row>
    <row r="750" spans="1:3">
      <c r="A750" t="s">
        <v>4265</v>
      </c>
      <c r="B750">
        <v>50.91</v>
      </c>
      <c r="C750">
        <v>-6.0000000000002274E-2</v>
      </c>
    </row>
    <row r="751" spans="1:3">
      <c r="A751" t="s">
        <v>4269</v>
      </c>
      <c r="B751">
        <v>50.85</v>
      </c>
      <c r="C751">
        <v>-5.9999999999995168E-2</v>
      </c>
    </row>
    <row r="752" spans="1:3">
      <c r="A752" t="s">
        <v>4273</v>
      </c>
      <c r="B752">
        <v>50.76</v>
      </c>
      <c r="C752">
        <v>-9.0000000000003411E-2</v>
      </c>
    </row>
    <row r="753" spans="1:3">
      <c r="A753" t="s">
        <v>4277</v>
      </c>
      <c r="B753">
        <v>50.73</v>
      </c>
      <c r="C753">
        <v>-3.0000000000001137E-2</v>
      </c>
    </row>
    <row r="754" spans="1:3">
      <c r="A754" t="s">
        <v>4281</v>
      </c>
      <c r="B754">
        <v>50.67</v>
      </c>
      <c r="C754">
        <v>-5.9999999999995168E-2</v>
      </c>
    </row>
    <row r="755" spans="1:3">
      <c r="A755" t="s">
        <v>4285</v>
      </c>
      <c r="B755">
        <v>50.67</v>
      </c>
      <c r="C755">
        <v>0</v>
      </c>
    </row>
    <row r="756" spans="1:3">
      <c r="A756" t="s">
        <v>4289</v>
      </c>
      <c r="B756">
        <v>50.7</v>
      </c>
      <c r="C756">
        <v>3.0000000000001137E-2</v>
      </c>
    </row>
    <row r="757" spans="1:3">
      <c r="A757" t="s">
        <v>4293</v>
      </c>
      <c r="B757">
        <v>50.61</v>
      </c>
      <c r="C757">
        <v>-9.0000000000003411E-2</v>
      </c>
    </row>
    <row r="758" spans="1:3">
      <c r="A758" t="s">
        <v>4297</v>
      </c>
      <c r="B758">
        <v>50.61</v>
      </c>
      <c r="C758">
        <v>0</v>
      </c>
    </row>
    <row r="759" spans="1:3">
      <c r="A759" t="s">
        <v>4301</v>
      </c>
      <c r="B759">
        <v>50.49</v>
      </c>
      <c r="C759">
        <v>-0.11999999999999744</v>
      </c>
    </row>
    <row r="760" spans="1:3">
      <c r="A760" t="s">
        <v>4305</v>
      </c>
      <c r="B760">
        <v>50.46</v>
      </c>
      <c r="C760">
        <v>-3.0000000000001137E-2</v>
      </c>
    </row>
    <row r="761" spans="1:3">
      <c r="A761" t="s">
        <v>4309</v>
      </c>
      <c r="B761">
        <v>50.55</v>
      </c>
      <c r="C761">
        <v>8.9999999999996305E-2</v>
      </c>
    </row>
    <row r="762" spans="1:3">
      <c r="A762" t="s">
        <v>4313</v>
      </c>
      <c r="B762">
        <v>50.28</v>
      </c>
      <c r="C762">
        <v>-0.26999999999999602</v>
      </c>
    </row>
    <row r="763" spans="1:3">
      <c r="A763" t="s">
        <v>4317</v>
      </c>
      <c r="B763">
        <v>50.28</v>
      </c>
      <c r="C763">
        <v>0</v>
      </c>
    </row>
    <row r="764" spans="1:3">
      <c r="A764" t="s">
        <v>4321</v>
      </c>
      <c r="B764">
        <v>50.37</v>
      </c>
      <c r="C764">
        <v>8.9999999999996305E-2</v>
      </c>
    </row>
    <row r="765" spans="1:3">
      <c r="A765" t="s">
        <v>4325</v>
      </c>
      <c r="B765">
        <v>50.34</v>
      </c>
      <c r="C765">
        <v>-2.9999999999994031E-2</v>
      </c>
    </row>
    <row r="766" spans="1:3">
      <c r="A766" t="s">
        <v>4329</v>
      </c>
      <c r="B766">
        <v>50.25</v>
      </c>
      <c r="C766">
        <v>-9.0000000000003411E-2</v>
      </c>
    </row>
    <row r="767" spans="1:3">
      <c r="A767" t="s">
        <v>4333</v>
      </c>
      <c r="B767">
        <v>50.22</v>
      </c>
      <c r="C767">
        <v>-3.0000000000001137E-2</v>
      </c>
    </row>
    <row r="768" spans="1:3">
      <c r="A768" t="s">
        <v>4337</v>
      </c>
      <c r="B768">
        <v>50.13</v>
      </c>
      <c r="C768">
        <v>-8.9999999999996305E-2</v>
      </c>
    </row>
    <row r="769" spans="1:3">
      <c r="A769" t="s">
        <v>4341</v>
      </c>
      <c r="B769">
        <v>50.1</v>
      </c>
      <c r="C769">
        <v>-3.0000000000001137E-2</v>
      </c>
    </row>
    <row r="770" spans="1:3">
      <c r="A770" t="s">
        <v>4345</v>
      </c>
      <c r="B770">
        <v>80.94</v>
      </c>
      <c r="C770">
        <v>30.839999999999996</v>
      </c>
    </row>
    <row r="771" spans="1:3">
      <c r="A771" t="s">
        <v>4353</v>
      </c>
      <c r="B771">
        <v>82.44</v>
      </c>
      <c r="C771">
        <v>1.5</v>
      </c>
    </row>
    <row r="772" spans="1:3">
      <c r="A772" t="s">
        <v>4362</v>
      </c>
      <c r="B772">
        <v>82.86</v>
      </c>
      <c r="C772">
        <v>0.42000000000000171</v>
      </c>
    </row>
    <row r="773" spans="1:3">
      <c r="A773" t="s">
        <v>4367</v>
      </c>
      <c r="B773">
        <v>62.67</v>
      </c>
      <c r="C773">
        <v>-20.189999999999998</v>
      </c>
    </row>
    <row r="774" spans="1:3">
      <c r="A774" t="s">
        <v>4375</v>
      </c>
      <c r="B774">
        <v>53.19</v>
      </c>
      <c r="C774">
        <v>-9.480000000000004</v>
      </c>
    </row>
    <row r="775" spans="1:3">
      <c r="A775" t="s">
        <v>4382</v>
      </c>
      <c r="B775">
        <v>52.92</v>
      </c>
      <c r="C775">
        <v>-0.26999999999999602</v>
      </c>
    </row>
    <row r="776" spans="1:3">
      <c r="A776" t="s">
        <v>4387</v>
      </c>
      <c r="B776">
        <v>52.8</v>
      </c>
      <c r="C776">
        <v>-0.12000000000000455</v>
      </c>
    </row>
    <row r="777" spans="1:3">
      <c r="A777" t="s">
        <v>4391</v>
      </c>
      <c r="B777">
        <v>52.86</v>
      </c>
      <c r="C777">
        <v>6.0000000000002274E-2</v>
      </c>
    </row>
    <row r="778" spans="1:3">
      <c r="A778" t="s">
        <v>4395</v>
      </c>
      <c r="B778">
        <v>52.74</v>
      </c>
      <c r="C778">
        <v>-0.11999999999999744</v>
      </c>
    </row>
    <row r="779" spans="1:3">
      <c r="A779" t="s">
        <v>4399</v>
      </c>
      <c r="B779">
        <v>52.62</v>
      </c>
      <c r="C779">
        <v>-0.12000000000000455</v>
      </c>
    </row>
    <row r="780" spans="1:3">
      <c r="A780" t="s">
        <v>4403</v>
      </c>
      <c r="B780">
        <v>52.44</v>
      </c>
      <c r="C780">
        <v>-0.17999999999999972</v>
      </c>
    </row>
    <row r="781" spans="1:3">
      <c r="A781" t="s">
        <v>4407</v>
      </c>
      <c r="B781">
        <v>52.44</v>
      </c>
      <c r="C781">
        <v>0</v>
      </c>
    </row>
    <row r="782" spans="1:3">
      <c r="A782" t="s">
        <v>4411</v>
      </c>
      <c r="B782">
        <v>52.5</v>
      </c>
      <c r="C782">
        <v>6.0000000000002274E-2</v>
      </c>
    </row>
    <row r="783" spans="1:3">
      <c r="A783" t="s">
        <v>4415</v>
      </c>
      <c r="B783">
        <v>52.44</v>
      </c>
      <c r="C783">
        <v>-6.0000000000002274E-2</v>
      </c>
    </row>
    <row r="784" spans="1:3">
      <c r="A784" t="s">
        <v>4419</v>
      </c>
      <c r="B784">
        <v>52.26</v>
      </c>
      <c r="C784">
        <v>-0.17999999999999972</v>
      </c>
    </row>
    <row r="785" spans="1:3">
      <c r="A785" t="s">
        <v>4423</v>
      </c>
      <c r="B785">
        <v>52.29</v>
      </c>
      <c r="C785">
        <v>3.0000000000001137E-2</v>
      </c>
    </row>
    <row r="786" spans="1:3">
      <c r="A786" t="s">
        <v>4427</v>
      </c>
      <c r="B786">
        <v>52.17</v>
      </c>
      <c r="C786">
        <v>-0.11999999999999744</v>
      </c>
    </row>
    <row r="787" spans="1:3">
      <c r="A787" t="s">
        <v>4431</v>
      </c>
      <c r="B787">
        <v>52.11</v>
      </c>
      <c r="C787">
        <v>-6.0000000000002274E-2</v>
      </c>
    </row>
    <row r="788" spans="1:3">
      <c r="A788" t="s">
        <v>4435</v>
      </c>
      <c r="B788">
        <v>52.14</v>
      </c>
      <c r="C788">
        <v>3.0000000000001137E-2</v>
      </c>
    </row>
    <row r="789" spans="1:3">
      <c r="A789" t="s">
        <v>4439</v>
      </c>
      <c r="B789">
        <v>52.02</v>
      </c>
      <c r="C789">
        <v>-0.11999999999999744</v>
      </c>
    </row>
    <row r="790" spans="1:3">
      <c r="A790" t="s">
        <v>4443</v>
      </c>
      <c r="B790">
        <v>51.9</v>
      </c>
      <c r="C790">
        <v>-0.12000000000000455</v>
      </c>
    </row>
    <row r="791" spans="1:3">
      <c r="A791" t="s">
        <v>4447</v>
      </c>
      <c r="B791">
        <v>51.96</v>
      </c>
      <c r="C791">
        <v>6.0000000000002274E-2</v>
      </c>
    </row>
    <row r="792" spans="1:3">
      <c r="A792" t="s">
        <v>4451</v>
      </c>
      <c r="B792">
        <v>51.9</v>
      </c>
      <c r="C792">
        <v>-6.0000000000002274E-2</v>
      </c>
    </row>
    <row r="793" spans="1:3">
      <c r="A793" t="s">
        <v>4455</v>
      </c>
      <c r="B793">
        <v>51.93</v>
      </c>
      <c r="C793">
        <v>3.0000000000001137E-2</v>
      </c>
    </row>
    <row r="794" spans="1:3">
      <c r="A794" t="s">
        <v>4459</v>
      </c>
      <c r="B794">
        <v>51.75</v>
      </c>
      <c r="C794">
        <v>-0.17999999999999972</v>
      </c>
    </row>
    <row r="795" spans="1:3">
      <c r="A795" t="s">
        <v>4463</v>
      </c>
      <c r="B795">
        <v>51.75</v>
      </c>
      <c r="C795">
        <v>0</v>
      </c>
    </row>
    <row r="796" spans="1:3">
      <c r="A796" t="s">
        <v>4467</v>
      </c>
      <c r="B796">
        <v>51.6</v>
      </c>
      <c r="C796">
        <v>-0.14999999999999858</v>
      </c>
    </row>
    <row r="797" spans="1:3">
      <c r="A797" t="s">
        <v>4471</v>
      </c>
      <c r="B797">
        <v>51.66</v>
      </c>
      <c r="C797">
        <v>5.9999999999995168E-2</v>
      </c>
    </row>
    <row r="798" spans="1:3">
      <c r="A798" t="s">
        <v>4475</v>
      </c>
      <c r="B798">
        <v>51.6</v>
      </c>
      <c r="C798">
        <v>-5.9999999999995168E-2</v>
      </c>
    </row>
    <row r="799" spans="1:3">
      <c r="A799" t="s">
        <v>4479</v>
      </c>
      <c r="B799">
        <v>51.54</v>
      </c>
      <c r="C799">
        <v>-6.0000000000002274E-2</v>
      </c>
    </row>
    <row r="800" spans="1:3">
      <c r="A800" t="s">
        <v>4483</v>
      </c>
      <c r="B800">
        <v>51.51</v>
      </c>
      <c r="C800">
        <v>-3.0000000000001137E-2</v>
      </c>
    </row>
    <row r="801" spans="1:3">
      <c r="A801" t="s">
        <v>4487</v>
      </c>
      <c r="B801">
        <v>51.48</v>
      </c>
      <c r="C801">
        <v>-3.0000000000001137E-2</v>
      </c>
    </row>
    <row r="802" spans="1:3">
      <c r="A802" t="s">
        <v>4491</v>
      </c>
      <c r="B802">
        <v>51.42</v>
      </c>
      <c r="C802">
        <v>-5.9999999999995168E-2</v>
      </c>
    </row>
    <row r="803" spans="1:3">
      <c r="A803" t="s">
        <v>4495</v>
      </c>
      <c r="B803">
        <v>51.33</v>
      </c>
      <c r="C803">
        <v>-9.0000000000003411E-2</v>
      </c>
    </row>
    <row r="804" spans="1:3">
      <c r="A804" t="s">
        <v>4499</v>
      </c>
      <c r="B804">
        <v>51.39</v>
      </c>
      <c r="C804">
        <v>6.0000000000002274E-2</v>
      </c>
    </row>
    <row r="805" spans="1:3">
      <c r="A805" t="s">
        <v>4503</v>
      </c>
      <c r="B805">
        <v>51.15</v>
      </c>
      <c r="C805">
        <v>-0.24000000000000199</v>
      </c>
    </row>
    <row r="806" spans="1:3">
      <c r="A806" t="s">
        <v>4507</v>
      </c>
      <c r="B806">
        <v>51.21</v>
      </c>
      <c r="C806">
        <v>6.0000000000002274E-2</v>
      </c>
    </row>
    <row r="807" spans="1:3">
      <c r="A807" t="s">
        <v>4511</v>
      </c>
      <c r="B807">
        <v>51.21</v>
      </c>
      <c r="C807">
        <v>0</v>
      </c>
    </row>
    <row r="808" spans="1:3">
      <c r="A808" t="s">
        <v>4515</v>
      </c>
      <c r="B808">
        <v>51.39</v>
      </c>
      <c r="C808">
        <v>0.17999999999999972</v>
      </c>
    </row>
    <row r="809" spans="1:3">
      <c r="A809" t="s">
        <v>4519</v>
      </c>
      <c r="B809">
        <v>51.06</v>
      </c>
      <c r="C809">
        <v>-0.32999999999999829</v>
      </c>
    </row>
    <row r="810" spans="1:3">
      <c r="A810" t="s">
        <v>4523</v>
      </c>
      <c r="B810">
        <v>51.09</v>
      </c>
      <c r="C810">
        <v>3.0000000000001137E-2</v>
      </c>
    </row>
    <row r="811" spans="1:3">
      <c r="A811" t="s">
        <v>4527</v>
      </c>
      <c r="B811">
        <v>51.03</v>
      </c>
      <c r="C811">
        <v>-6.0000000000002274E-2</v>
      </c>
    </row>
    <row r="812" spans="1:3">
      <c r="A812" t="s">
        <v>4531</v>
      </c>
      <c r="B812">
        <v>50.97</v>
      </c>
      <c r="C812">
        <v>-6.0000000000002274E-2</v>
      </c>
    </row>
    <row r="813" spans="1:3">
      <c r="A813" t="s">
        <v>4535</v>
      </c>
      <c r="B813">
        <v>50.85</v>
      </c>
      <c r="C813">
        <v>-0.11999999999999744</v>
      </c>
    </row>
    <row r="814" spans="1:3">
      <c r="A814" t="s">
        <v>4539</v>
      </c>
      <c r="B814">
        <v>50.91</v>
      </c>
      <c r="C814">
        <v>5.9999999999995168E-2</v>
      </c>
    </row>
    <row r="815" spans="1:3">
      <c r="A815" t="s">
        <v>4543</v>
      </c>
      <c r="B815">
        <v>50.82</v>
      </c>
      <c r="C815">
        <v>-8.9999999999996305E-2</v>
      </c>
    </row>
    <row r="816" spans="1:3">
      <c r="A816" t="s">
        <v>4547</v>
      </c>
      <c r="B816">
        <v>50.88</v>
      </c>
      <c r="C816">
        <v>6.0000000000002274E-2</v>
      </c>
    </row>
    <row r="817" spans="1:3">
      <c r="A817" t="s">
        <v>4551</v>
      </c>
      <c r="B817">
        <v>50.73</v>
      </c>
      <c r="C817">
        <v>-0.15000000000000568</v>
      </c>
    </row>
    <row r="818" spans="1:3">
      <c r="A818" t="s">
        <v>4555</v>
      </c>
      <c r="B818">
        <v>50.64</v>
      </c>
      <c r="C818">
        <v>-8.9999999999996305E-2</v>
      </c>
    </row>
    <row r="819" spans="1:3">
      <c r="A819" t="s">
        <v>4559</v>
      </c>
      <c r="B819">
        <v>50.64</v>
      </c>
      <c r="C819">
        <v>0</v>
      </c>
    </row>
    <row r="820" spans="1:3">
      <c r="A820" t="s">
        <v>4563</v>
      </c>
      <c r="B820">
        <v>50.58</v>
      </c>
      <c r="C820">
        <v>-6.0000000000002274E-2</v>
      </c>
    </row>
    <row r="821" spans="1:3">
      <c r="A821" t="s">
        <v>4567</v>
      </c>
      <c r="B821">
        <v>50.58</v>
      </c>
      <c r="C821">
        <v>0</v>
      </c>
    </row>
    <row r="822" spans="1:3">
      <c r="A822" t="s">
        <v>4571</v>
      </c>
      <c r="B822">
        <v>50.52</v>
      </c>
      <c r="C822">
        <v>-5.9999999999995168E-2</v>
      </c>
    </row>
    <row r="823" spans="1:3">
      <c r="A823" t="s">
        <v>4575</v>
      </c>
      <c r="B823">
        <v>50.52</v>
      </c>
      <c r="C823">
        <v>0</v>
      </c>
    </row>
    <row r="824" spans="1:3">
      <c r="A824" t="s">
        <v>4579</v>
      </c>
      <c r="B824">
        <v>50.43</v>
      </c>
      <c r="C824">
        <v>-9.0000000000003411E-2</v>
      </c>
    </row>
    <row r="825" spans="1:3">
      <c r="A825" t="s">
        <v>4583</v>
      </c>
      <c r="B825">
        <v>50.4</v>
      </c>
      <c r="C825">
        <v>-3.0000000000001137E-2</v>
      </c>
    </row>
    <row r="826" spans="1:3">
      <c r="A826" t="s">
        <v>4587</v>
      </c>
      <c r="B826">
        <v>50.52</v>
      </c>
      <c r="C826">
        <v>0.12000000000000455</v>
      </c>
    </row>
    <row r="827" spans="1:3">
      <c r="A827" t="s">
        <v>4591</v>
      </c>
      <c r="B827">
        <v>50.34</v>
      </c>
      <c r="C827">
        <v>-0.17999999999999972</v>
      </c>
    </row>
    <row r="828" spans="1:3">
      <c r="A828" t="s">
        <v>4595</v>
      </c>
      <c r="B828">
        <v>50.34</v>
      </c>
      <c r="C828">
        <v>0</v>
      </c>
    </row>
    <row r="829" spans="1:3">
      <c r="A829" t="s">
        <v>4599</v>
      </c>
      <c r="B829">
        <v>50.25</v>
      </c>
      <c r="C829">
        <v>-9.0000000000003411E-2</v>
      </c>
    </row>
    <row r="830" spans="1:3">
      <c r="A830" t="s">
        <v>4603</v>
      </c>
      <c r="B830">
        <v>50.19</v>
      </c>
      <c r="C830">
        <v>-6.0000000000002274E-2</v>
      </c>
    </row>
    <row r="831" spans="1:3">
      <c r="A831" t="s">
        <v>4607</v>
      </c>
      <c r="B831">
        <v>50.1</v>
      </c>
      <c r="C831">
        <v>-8.9999999999996305E-2</v>
      </c>
    </row>
    <row r="832" spans="1:3">
      <c r="A832" t="s">
        <v>4611</v>
      </c>
      <c r="B832">
        <v>81</v>
      </c>
      <c r="C832">
        <v>30.9</v>
      </c>
    </row>
    <row r="833" spans="1:3">
      <c r="A833" t="s">
        <v>4617</v>
      </c>
      <c r="B833">
        <v>81.93</v>
      </c>
      <c r="C833">
        <v>0.93000000000000682</v>
      </c>
    </row>
    <row r="834" spans="1:3">
      <c r="A834" t="s">
        <v>4625</v>
      </c>
      <c r="B834">
        <v>82.98</v>
      </c>
      <c r="C834">
        <v>1.0499999999999972</v>
      </c>
    </row>
    <row r="835" spans="1:3">
      <c r="A835" t="s">
        <v>4632</v>
      </c>
      <c r="B835">
        <v>61.47</v>
      </c>
      <c r="C835">
        <v>-21.510000000000005</v>
      </c>
    </row>
    <row r="836" spans="1:3">
      <c r="A836" t="s">
        <v>4641</v>
      </c>
      <c r="B836">
        <v>53.16</v>
      </c>
      <c r="C836">
        <v>-8.3100000000000023</v>
      </c>
    </row>
    <row r="837" spans="1:3">
      <c r="A837" t="s">
        <v>4646</v>
      </c>
      <c r="B837">
        <v>52.95</v>
      </c>
      <c r="C837">
        <v>-0.20999999999999375</v>
      </c>
    </row>
    <row r="838" spans="1:3">
      <c r="A838" t="s">
        <v>4651</v>
      </c>
      <c r="B838">
        <v>52.95</v>
      </c>
      <c r="C838">
        <v>0</v>
      </c>
    </row>
    <row r="839" spans="1:3">
      <c r="A839" t="s">
        <v>4655</v>
      </c>
      <c r="B839">
        <v>52.86</v>
      </c>
      <c r="C839">
        <v>-9.0000000000003411E-2</v>
      </c>
    </row>
    <row r="840" spans="1:3">
      <c r="A840" t="s">
        <v>4659</v>
      </c>
      <c r="B840">
        <v>52.71</v>
      </c>
      <c r="C840">
        <v>-0.14999999999999858</v>
      </c>
    </row>
    <row r="841" spans="1:3">
      <c r="A841" t="s">
        <v>4664</v>
      </c>
      <c r="B841">
        <v>52.65</v>
      </c>
      <c r="C841">
        <v>-6.0000000000002274E-2</v>
      </c>
    </row>
    <row r="842" spans="1:3">
      <c r="A842" t="s">
        <v>4668</v>
      </c>
      <c r="B842">
        <v>52.56</v>
      </c>
      <c r="C842">
        <v>-8.9999999999996305E-2</v>
      </c>
    </row>
    <row r="843" spans="1:3">
      <c r="A843" t="s">
        <v>4672</v>
      </c>
      <c r="B843">
        <v>52.56</v>
      </c>
      <c r="C843">
        <v>0</v>
      </c>
    </row>
    <row r="844" spans="1:3">
      <c r="A844" t="s">
        <v>4676</v>
      </c>
      <c r="B844">
        <v>52.47</v>
      </c>
      <c r="C844">
        <v>-9.0000000000003411E-2</v>
      </c>
    </row>
    <row r="845" spans="1:3">
      <c r="A845" t="s">
        <v>4680</v>
      </c>
      <c r="B845">
        <v>52.26</v>
      </c>
      <c r="C845">
        <v>-0.21000000000000085</v>
      </c>
    </row>
    <row r="846" spans="1:3">
      <c r="A846" t="s">
        <v>4684</v>
      </c>
      <c r="B846">
        <v>52.38</v>
      </c>
      <c r="C846">
        <v>0.12000000000000455</v>
      </c>
    </row>
    <row r="847" spans="1:3">
      <c r="A847" t="s">
        <v>4688</v>
      </c>
      <c r="B847">
        <v>52.41</v>
      </c>
      <c r="C847">
        <v>2.9999999999994031E-2</v>
      </c>
    </row>
    <row r="848" spans="1:3">
      <c r="A848" t="s">
        <v>4692</v>
      </c>
      <c r="B848">
        <v>52.29</v>
      </c>
      <c r="C848">
        <v>-0.11999999999999744</v>
      </c>
    </row>
    <row r="849" spans="1:3">
      <c r="A849" t="s">
        <v>4696</v>
      </c>
      <c r="B849">
        <v>52.23</v>
      </c>
      <c r="C849">
        <v>-6.0000000000002274E-2</v>
      </c>
    </row>
    <row r="850" spans="1:3">
      <c r="A850" t="s">
        <v>4700</v>
      </c>
      <c r="B850">
        <v>52.17</v>
      </c>
      <c r="C850">
        <v>-5.9999999999995168E-2</v>
      </c>
    </row>
    <row r="851" spans="1:3">
      <c r="A851" t="s">
        <v>4704</v>
      </c>
      <c r="B851">
        <v>51.96</v>
      </c>
      <c r="C851">
        <v>-0.21000000000000085</v>
      </c>
    </row>
    <row r="852" spans="1:3">
      <c r="A852" t="s">
        <v>4708</v>
      </c>
      <c r="B852">
        <v>51.99</v>
      </c>
      <c r="C852">
        <v>3.0000000000001137E-2</v>
      </c>
    </row>
    <row r="853" spans="1:3">
      <c r="A853" t="s">
        <v>4712</v>
      </c>
      <c r="B853">
        <v>51.96</v>
      </c>
      <c r="C853">
        <v>-3.0000000000001137E-2</v>
      </c>
    </row>
    <row r="854" spans="1:3">
      <c r="A854" t="s">
        <v>4716</v>
      </c>
      <c r="B854">
        <v>51.84</v>
      </c>
      <c r="C854">
        <v>-0.11999999999999744</v>
      </c>
    </row>
    <row r="855" spans="1:3">
      <c r="A855" t="s">
        <v>4720</v>
      </c>
      <c r="B855">
        <v>51.99</v>
      </c>
      <c r="C855">
        <v>0.14999999999999858</v>
      </c>
    </row>
    <row r="856" spans="1:3">
      <c r="A856" t="s">
        <v>4724</v>
      </c>
      <c r="B856">
        <v>51.84</v>
      </c>
      <c r="C856">
        <v>-0.14999999999999858</v>
      </c>
    </row>
    <row r="857" spans="1:3">
      <c r="A857" t="s">
        <v>4728</v>
      </c>
      <c r="B857">
        <v>51.81</v>
      </c>
      <c r="C857">
        <v>-3.0000000000001137E-2</v>
      </c>
    </row>
    <row r="858" spans="1:3">
      <c r="A858" t="s">
        <v>4732</v>
      </c>
      <c r="B858">
        <v>51.75</v>
      </c>
      <c r="C858">
        <v>-6.0000000000002274E-2</v>
      </c>
    </row>
    <row r="859" spans="1:3">
      <c r="A859" t="s">
        <v>4736</v>
      </c>
      <c r="B859">
        <v>51.75</v>
      </c>
      <c r="C859">
        <v>0</v>
      </c>
    </row>
    <row r="860" spans="1:3">
      <c r="A860" t="s">
        <v>4740</v>
      </c>
      <c r="B860">
        <v>51.63</v>
      </c>
      <c r="C860">
        <v>-0.11999999999999744</v>
      </c>
    </row>
    <row r="861" spans="1:3">
      <c r="A861" t="s">
        <v>4744</v>
      </c>
      <c r="B861">
        <v>51.69</v>
      </c>
      <c r="C861">
        <v>5.9999999999995168E-2</v>
      </c>
    </row>
    <row r="862" spans="1:3">
      <c r="A862" t="s">
        <v>4748</v>
      </c>
      <c r="B862">
        <v>51.6</v>
      </c>
      <c r="C862">
        <v>-8.9999999999996305E-2</v>
      </c>
    </row>
    <row r="863" spans="1:3">
      <c r="A863" t="s">
        <v>4752</v>
      </c>
      <c r="B863">
        <v>51.6</v>
      </c>
      <c r="C863">
        <v>0</v>
      </c>
    </row>
    <row r="864" spans="1:3">
      <c r="A864" t="s">
        <v>4756</v>
      </c>
      <c r="B864">
        <v>51.57</v>
      </c>
      <c r="C864">
        <v>-3.0000000000001137E-2</v>
      </c>
    </row>
    <row r="865" spans="1:3">
      <c r="A865" t="s">
        <v>4760</v>
      </c>
      <c r="B865">
        <v>51.72</v>
      </c>
      <c r="C865">
        <v>0.14999999999999858</v>
      </c>
    </row>
    <row r="866" spans="1:3">
      <c r="A866" t="s">
        <v>4764</v>
      </c>
      <c r="B866">
        <v>51.51</v>
      </c>
      <c r="C866">
        <v>-0.21000000000000085</v>
      </c>
    </row>
    <row r="867" spans="1:3">
      <c r="A867" t="s">
        <v>4768</v>
      </c>
      <c r="B867">
        <v>51.42</v>
      </c>
      <c r="C867">
        <v>-8.9999999999996305E-2</v>
      </c>
    </row>
    <row r="868" spans="1:3">
      <c r="A868" t="s">
        <v>4772</v>
      </c>
      <c r="B868">
        <v>51.51</v>
      </c>
      <c r="C868">
        <v>8.9999999999996305E-2</v>
      </c>
    </row>
    <row r="869" spans="1:3">
      <c r="A869" t="s">
        <v>4776</v>
      </c>
      <c r="B869">
        <v>51.57</v>
      </c>
      <c r="C869">
        <v>6.0000000000002274E-2</v>
      </c>
    </row>
    <row r="870" spans="1:3">
      <c r="A870" t="s">
        <v>4780</v>
      </c>
      <c r="B870">
        <v>51.48</v>
      </c>
      <c r="C870">
        <v>-9.0000000000003411E-2</v>
      </c>
    </row>
    <row r="871" spans="1:3">
      <c r="A871" t="s">
        <v>4784</v>
      </c>
      <c r="B871">
        <v>51.45</v>
      </c>
      <c r="C871">
        <v>-2.9999999999994031E-2</v>
      </c>
    </row>
    <row r="872" spans="1:3">
      <c r="A872" t="s">
        <v>4788</v>
      </c>
      <c r="B872">
        <v>51.36</v>
      </c>
      <c r="C872">
        <v>-9.0000000000003411E-2</v>
      </c>
    </row>
    <row r="873" spans="1:3">
      <c r="A873" t="s">
        <v>4792</v>
      </c>
      <c r="B873">
        <v>51.39</v>
      </c>
      <c r="C873">
        <v>3.0000000000001137E-2</v>
      </c>
    </row>
    <row r="874" spans="1:3">
      <c r="A874" t="s">
        <v>4796</v>
      </c>
      <c r="B874">
        <v>51.36</v>
      </c>
      <c r="C874">
        <v>-3.0000000000001137E-2</v>
      </c>
    </row>
    <row r="875" spans="1:3">
      <c r="A875" t="s">
        <v>4800</v>
      </c>
      <c r="B875">
        <v>51.3</v>
      </c>
      <c r="C875">
        <v>-6.0000000000002274E-2</v>
      </c>
    </row>
    <row r="876" spans="1:3">
      <c r="A876" t="s">
        <v>4804</v>
      </c>
      <c r="B876">
        <v>51.24</v>
      </c>
      <c r="C876">
        <v>-5.9999999999995168E-2</v>
      </c>
    </row>
    <row r="877" spans="1:3">
      <c r="A877" t="s">
        <v>4808</v>
      </c>
      <c r="B877">
        <v>51.18</v>
      </c>
      <c r="C877">
        <v>-6.0000000000002274E-2</v>
      </c>
    </row>
    <row r="878" spans="1:3">
      <c r="A878" t="s">
        <v>4812</v>
      </c>
      <c r="B878">
        <v>51.09</v>
      </c>
      <c r="C878">
        <v>-8.9999999999996305E-2</v>
      </c>
    </row>
    <row r="879" spans="1:3">
      <c r="A879" t="s">
        <v>4816</v>
      </c>
      <c r="B879">
        <v>51.09</v>
      </c>
      <c r="C879">
        <v>0</v>
      </c>
    </row>
    <row r="880" spans="1:3">
      <c r="A880" t="s">
        <v>4820</v>
      </c>
      <c r="B880">
        <v>51.21</v>
      </c>
      <c r="C880">
        <v>0.11999999999999744</v>
      </c>
    </row>
    <row r="881" spans="1:3">
      <c r="A881" t="s">
        <v>4824</v>
      </c>
      <c r="B881">
        <v>51.06</v>
      </c>
      <c r="C881">
        <v>-0.14999999999999858</v>
      </c>
    </row>
    <row r="882" spans="1:3">
      <c r="A882" t="s">
        <v>4828</v>
      </c>
      <c r="B882">
        <v>51.06</v>
      </c>
      <c r="C882">
        <v>0</v>
      </c>
    </row>
    <row r="883" spans="1:3">
      <c r="A883" t="s">
        <v>4832</v>
      </c>
      <c r="B883">
        <v>51</v>
      </c>
      <c r="C883">
        <v>-6.0000000000002274E-2</v>
      </c>
    </row>
    <row r="884" spans="1:3">
      <c r="A884" t="s">
        <v>4836</v>
      </c>
      <c r="B884">
        <v>50.91</v>
      </c>
      <c r="C884">
        <v>-9.0000000000003411E-2</v>
      </c>
    </row>
    <row r="885" spans="1:3">
      <c r="A885" t="s">
        <v>4840</v>
      </c>
      <c r="B885">
        <v>50.94</v>
      </c>
      <c r="C885">
        <v>3.0000000000001137E-2</v>
      </c>
    </row>
    <row r="886" spans="1:3">
      <c r="A886" t="s">
        <v>4844</v>
      </c>
      <c r="B886">
        <v>50.94</v>
      </c>
      <c r="C886">
        <v>0</v>
      </c>
    </row>
    <row r="887" spans="1:3">
      <c r="A887" t="s">
        <v>4848</v>
      </c>
      <c r="B887">
        <v>50.82</v>
      </c>
      <c r="C887">
        <v>-0.11999999999999744</v>
      </c>
    </row>
    <row r="888" spans="1:3">
      <c r="A888" t="s">
        <v>4852</v>
      </c>
      <c r="B888">
        <v>50.79</v>
      </c>
      <c r="C888">
        <v>-3.0000000000001137E-2</v>
      </c>
    </row>
    <row r="889" spans="1:3">
      <c r="A889" t="s">
        <v>4856</v>
      </c>
      <c r="B889">
        <v>50.64</v>
      </c>
      <c r="C889">
        <v>-0.14999999999999858</v>
      </c>
    </row>
    <row r="890" spans="1:3">
      <c r="A890" t="s">
        <v>4860</v>
      </c>
      <c r="B890">
        <v>50.64</v>
      </c>
      <c r="C890">
        <v>0</v>
      </c>
    </row>
    <row r="891" spans="1:3">
      <c r="A891" t="s">
        <v>4864</v>
      </c>
      <c r="B891">
        <v>50.61</v>
      </c>
      <c r="C891">
        <v>-3.0000000000001137E-2</v>
      </c>
    </row>
    <row r="892" spans="1:3">
      <c r="A892" t="s">
        <v>4868</v>
      </c>
      <c r="B892">
        <v>50.49</v>
      </c>
      <c r="C892">
        <v>-0.11999999999999744</v>
      </c>
    </row>
    <row r="893" spans="1:3">
      <c r="A893" t="s">
        <v>4872</v>
      </c>
      <c r="B893">
        <v>50.43</v>
      </c>
      <c r="C893">
        <v>-6.0000000000002274E-2</v>
      </c>
    </row>
    <row r="894" spans="1:3">
      <c r="A894" t="s">
        <v>4876</v>
      </c>
      <c r="B894">
        <v>50.31</v>
      </c>
      <c r="C894">
        <v>-0.11999999999999744</v>
      </c>
    </row>
    <row r="895" spans="1:3">
      <c r="A895" t="s">
        <v>4880</v>
      </c>
      <c r="B895">
        <v>50.31</v>
      </c>
      <c r="C895">
        <v>0</v>
      </c>
    </row>
    <row r="896" spans="1:3">
      <c r="A896" t="s">
        <v>4884</v>
      </c>
      <c r="B896">
        <v>50.19</v>
      </c>
      <c r="C896">
        <v>-0.12000000000000455</v>
      </c>
    </row>
    <row r="897" spans="1:3">
      <c r="A897" t="s">
        <v>4888</v>
      </c>
      <c r="B897">
        <v>52.23</v>
      </c>
      <c r="C897">
        <v>2.0399999999999991</v>
      </c>
    </row>
    <row r="898" spans="1:3">
      <c r="A898" t="s">
        <v>4893</v>
      </c>
      <c r="B898">
        <v>80.459999999999994</v>
      </c>
      <c r="C898">
        <v>28.229999999999997</v>
      </c>
    </row>
    <row r="899" spans="1:3">
      <c r="A899" t="s">
        <v>4901</v>
      </c>
      <c r="B899">
        <v>82.23</v>
      </c>
      <c r="C899">
        <v>1.7700000000000102</v>
      </c>
    </row>
    <row r="900" spans="1:3">
      <c r="A900" t="s">
        <v>4907</v>
      </c>
      <c r="B900">
        <v>82.74</v>
      </c>
      <c r="C900">
        <v>0.50999999999999091</v>
      </c>
    </row>
    <row r="901" spans="1:3">
      <c r="A901" t="s">
        <v>4912</v>
      </c>
      <c r="B901">
        <v>73.17</v>
      </c>
      <c r="C901">
        <v>-9.5699999999999932</v>
      </c>
    </row>
    <row r="902" spans="1:3">
      <c r="A902" t="s">
        <v>4923</v>
      </c>
      <c r="B902">
        <v>52.95</v>
      </c>
      <c r="C902">
        <v>-20.22</v>
      </c>
    </row>
    <row r="903" spans="1:3">
      <c r="A903" t="s">
        <v>4927</v>
      </c>
      <c r="B903">
        <v>52.89</v>
      </c>
      <c r="C903">
        <v>-6.0000000000002274E-2</v>
      </c>
    </row>
    <row r="904" spans="1:3">
      <c r="A904" t="s">
        <v>4932</v>
      </c>
      <c r="B904">
        <v>52.77</v>
      </c>
      <c r="C904">
        <v>-0.11999999999999744</v>
      </c>
    </row>
    <row r="905" spans="1:3">
      <c r="A905" t="s">
        <v>4936</v>
      </c>
      <c r="B905">
        <v>52.59</v>
      </c>
      <c r="C905">
        <v>-0.17999999999999972</v>
      </c>
    </row>
    <row r="906" spans="1:3">
      <c r="A906" t="s">
        <v>4940</v>
      </c>
      <c r="B906">
        <v>52.41</v>
      </c>
      <c r="C906">
        <v>-0.18000000000000682</v>
      </c>
    </row>
    <row r="907" spans="1:3">
      <c r="A907" t="s">
        <v>4944</v>
      </c>
      <c r="B907">
        <v>52.47</v>
      </c>
      <c r="C907">
        <v>6.0000000000002274E-2</v>
      </c>
    </row>
    <row r="908" spans="1:3">
      <c r="A908" t="s">
        <v>4948</v>
      </c>
      <c r="B908">
        <v>52.35</v>
      </c>
      <c r="C908">
        <v>-0.11999999999999744</v>
      </c>
    </row>
    <row r="909" spans="1:3">
      <c r="A909" t="s">
        <v>4952</v>
      </c>
      <c r="B909">
        <v>52.35</v>
      </c>
      <c r="C909">
        <v>0</v>
      </c>
    </row>
    <row r="910" spans="1:3">
      <c r="A910" t="s">
        <v>4956</v>
      </c>
      <c r="B910">
        <v>52.23</v>
      </c>
      <c r="C910">
        <v>-0.12000000000000455</v>
      </c>
    </row>
    <row r="911" spans="1:3">
      <c r="A911" t="s">
        <v>4960</v>
      </c>
      <c r="B911">
        <v>52.2</v>
      </c>
      <c r="C911">
        <v>-2.9999999999994031E-2</v>
      </c>
    </row>
    <row r="912" spans="1:3">
      <c r="A912" t="s">
        <v>4964</v>
      </c>
      <c r="B912">
        <v>52.08</v>
      </c>
      <c r="C912">
        <v>-0.12000000000000455</v>
      </c>
    </row>
    <row r="913" spans="1:3">
      <c r="A913" t="s">
        <v>4968</v>
      </c>
      <c r="B913">
        <v>51.93</v>
      </c>
      <c r="C913">
        <v>-0.14999999999999858</v>
      </c>
    </row>
    <row r="914" spans="1:3">
      <c r="A914" t="s">
        <v>4972</v>
      </c>
      <c r="B914">
        <v>51.81</v>
      </c>
      <c r="C914">
        <v>-0.11999999999999744</v>
      </c>
    </row>
    <row r="915" spans="1:3">
      <c r="A915" t="s">
        <v>4976</v>
      </c>
      <c r="B915">
        <v>51.75</v>
      </c>
      <c r="C915">
        <v>-6.0000000000002274E-2</v>
      </c>
    </row>
    <row r="916" spans="1:3">
      <c r="A916" t="s">
        <v>4980</v>
      </c>
      <c r="B916">
        <v>51.72</v>
      </c>
      <c r="C916">
        <v>-3.0000000000001137E-2</v>
      </c>
    </row>
    <row r="917" spans="1:3">
      <c r="A917" t="s">
        <v>4984</v>
      </c>
      <c r="B917">
        <v>51.81</v>
      </c>
      <c r="C917">
        <v>9.0000000000003411E-2</v>
      </c>
    </row>
    <row r="918" spans="1:3">
      <c r="A918" t="s">
        <v>4988</v>
      </c>
      <c r="B918">
        <v>51.66</v>
      </c>
      <c r="C918">
        <v>-0.15000000000000568</v>
      </c>
    </row>
    <row r="919" spans="1:3">
      <c r="A919" t="s">
        <v>4992</v>
      </c>
      <c r="B919">
        <v>51.57</v>
      </c>
      <c r="C919">
        <v>-8.9999999999996305E-2</v>
      </c>
    </row>
    <row r="920" spans="1:3">
      <c r="A920" t="s">
        <v>4996</v>
      </c>
      <c r="B920">
        <v>51.39</v>
      </c>
      <c r="C920">
        <v>-0.17999999999999972</v>
      </c>
    </row>
    <row r="921" spans="1:3">
      <c r="A921" t="s">
        <v>5000</v>
      </c>
      <c r="B921">
        <v>51.45</v>
      </c>
      <c r="C921">
        <v>6.0000000000002274E-2</v>
      </c>
    </row>
    <row r="922" spans="1:3">
      <c r="A922" t="s">
        <v>5004</v>
      </c>
      <c r="B922">
        <v>51.3</v>
      </c>
      <c r="C922">
        <v>-0.15000000000000568</v>
      </c>
    </row>
    <row r="923" spans="1:3">
      <c r="A923" t="s">
        <v>5008</v>
      </c>
      <c r="B923">
        <v>51.21</v>
      </c>
      <c r="C923">
        <v>-8.9999999999996305E-2</v>
      </c>
    </row>
    <row r="924" spans="1:3">
      <c r="A924" t="s">
        <v>5012</v>
      </c>
      <c r="B924">
        <v>51.24</v>
      </c>
      <c r="C924">
        <v>3.0000000000001137E-2</v>
      </c>
    </row>
    <row r="925" spans="1:3">
      <c r="A925" t="s">
        <v>5016</v>
      </c>
      <c r="B925">
        <v>51.09</v>
      </c>
      <c r="C925">
        <v>-0.14999999999999858</v>
      </c>
    </row>
    <row r="926" spans="1:3">
      <c r="A926" t="s">
        <v>5020</v>
      </c>
      <c r="B926">
        <v>51.12</v>
      </c>
      <c r="C926">
        <v>2.9999999999994031E-2</v>
      </c>
    </row>
    <row r="927" spans="1:3">
      <c r="A927" t="s">
        <v>5024</v>
      </c>
      <c r="B927">
        <v>51</v>
      </c>
      <c r="C927">
        <v>-0.11999999999999744</v>
      </c>
    </row>
    <row r="928" spans="1:3">
      <c r="A928" t="s">
        <v>5028</v>
      </c>
      <c r="B928">
        <v>50.82</v>
      </c>
      <c r="C928">
        <v>-0.17999999999999972</v>
      </c>
    </row>
    <row r="929" spans="1:3">
      <c r="A929" t="s">
        <v>5032</v>
      </c>
      <c r="B929">
        <v>50.91</v>
      </c>
      <c r="C929">
        <v>8.9999999999996305E-2</v>
      </c>
    </row>
    <row r="930" spans="1:3">
      <c r="A930" t="s">
        <v>5036</v>
      </c>
      <c r="B930">
        <v>50.67</v>
      </c>
      <c r="C930">
        <v>-0.23999999999999488</v>
      </c>
    </row>
    <row r="931" spans="1:3">
      <c r="A931" t="s">
        <v>5040</v>
      </c>
      <c r="B931">
        <v>50.67</v>
      </c>
      <c r="C931">
        <v>0</v>
      </c>
    </row>
    <row r="932" spans="1:3">
      <c r="A932" t="s">
        <v>5044</v>
      </c>
      <c r="B932">
        <v>50.64</v>
      </c>
      <c r="C932">
        <v>-3.0000000000001137E-2</v>
      </c>
    </row>
    <row r="933" spans="1:3">
      <c r="A933" t="s">
        <v>5048</v>
      </c>
      <c r="B933">
        <v>50.64</v>
      </c>
      <c r="C933">
        <v>0</v>
      </c>
    </row>
    <row r="934" spans="1:3">
      <c r="A934" t="s">
        <v>5052</v>
      </c>
      <c r="B934">
        <v>50.52</v>
      </c>
      <c r="C934">
        <v>-0.11999999999999744</v>
      </c>
    </row>
    <row r="935" spans="1:3">
      <c r="A935" t="s">
        <v>5056</v>
      </c>
      <c r="B935">
        <v>50.43</v>
      </c>
      <c r="C935">
        <v>-9.0000000000003411E-2</v>
      </c>
    </row>
    <row r="936" spans="1:3">
      <c r="A936" t="s">
        <v>5060</v>
      </c>
      <c r="B936">
        <v>50.37</v>
      </c>
      <c r="C936">
        <v>-6.0000000000002274E-2</v>
      </c>
    </row>
    <row r="937" spans="1:3">
      <c r="A937" t="s">
        <v>5064</v>
      </c>
      <c r="B937">
        <v>50.28</v>
      </c>
      <c r="C937">
        <v>-8.9999999999996305E-2</v>
      </c>
    </row>
    <row r="938" spans="1:3">
      <c r="A938" t="s">
        <v>5068</v>
      </c>
      <c r="B938">
        <v>50.19</v>
      </c>
      <c r="C938">
        <v>-9.0000000000003411E-2</v>
      </c>
    </row>
    <row r="939" spans="1:3">
      <c r="A939" t="s">
        <v>5072</v>
      </c>
      <c r="B939">
        <v>50.16</v>
      </c>
      <c r="C939">
        <v>-3.0000000000001137E-2</v>
      </c>
    </row>
    <row r="940" spans="1:3">
      <c r="A940" t="s">
        <v>5076</v>
      </c>
      <c r="B940">
        <v>50.19</v>
      </c>
      <c r="C940">
        <v>3.0000000000001137E-2</v>
      </c>
    </row>
    <row r="941" spans="1:3">
      <c r="A941" t="s">
        <v>5080</v>
      </c>
      <c r="B941">
        <v>81.209999999999994</v>
      </c>
      <c r="C941">
        <v>31.019999999999996</v>
      </c>
    </row>
    <row r="942" spans="1:3">
      <c r="A942" t="s">
        <v>5087</v>
      </c>
      <c r="B942">
        <v>82.02</v>
      </c>
      <c r="C942">
        <v>0.81000000000000227</v>
      </c>
    </row>
    <row r="943" spans="1:3">
      <c r="A943" t="s">
        <v>5092</v>
      </c>
      <c r="B943">
        <v>82.95</v>
      </c>
      <c r="C943">
        <v>0.93000000000000682</v>
      </c>
    </row>
    <row r="944" spans="1:3">
      <c r="A944" t="s">
        <v>5097</v>
      </c>
      <c r="B944">
        <v>80.16</v>
      </c>
      <c r="C944">
        <v>-2.7900000000000063</v>
      </c>
    </row>
    <row r="945" spans="1:3">
      <c r="A945" t="s">
        <v>5103</v>
      </c>
      <c r="B945">
        <v>52.89</v>
      </c>
      <c r="C945">
        <v>-27.269999999999996</v>
      </c>
    </row>
    <row r="946" spans="1:3">
      <c r="A946" t="s">
        <v>5107</v>
      </c>
      <c r="B946">
        <v>52.68</v>
      </c>
      <c r="C946">
        <v>-0.21000000000000085</v>
      </c>
    </row>
    <row r="947" spans="1:3">
      <c r="A947" t="s">
        <v>5111</v>
      </c>
      <c r="B947">
        <v>52.86</v>
      </c>
      <c r="C947">
        <v>0.17999999999999972</v>
      </c>
    </row>
    <row r="948" spans="1:3">
      <c r="A948" t="s">
        <v>5115</v>
      </c>
      <c r="B948">
        <v>52.62</v>
      </c>
      <c r="C948">
        <v>-0.24000000000000199</v>
      </c>
    </row>
    <row r="949" spans="1:3">
      <c r="A949" t="s">
        <v>5119</v>
      </c>
      <c r="B949">
        <v>52.47</v>
      </c>
      <c r="C949">
        <v>-0.14999999999999858</v>
      </c>
    </row>
    <row r="950" spans="1:3">
      <c r="A950" t="s">
        <v>5123</v>
      </c>
      <c r="B950">
        <v>52.53</v>
      </c>
      <c r="C950">
        <v>6.0000000000002274E-2</v>
      </c>
    </row>
    <row r="951" spans="1:3">
      <c r="A951" t="s">
        <v>5127</v>
      </c>
      <c r="B951">
        <v>52.38</v>
      </c>
      <c r="C951">
        <v>-0.14999999999999858</v>
      </c>
    </row>
    <row r="952" spans="1:3">
      <c r="A952" t="s">
        <v>5131</v>
      </c>
      <c r="B952">
        <v>52.41</v>
      </c>
      <c r="C952">
        <v>2.9999999999994031E-2</v>
      </c>
    </row>
    <row r="953" spans="1:3">
      <c r="A953" t="s">
        <v>5135</v>
      </c>
      <c r="B953">
        <v>52.05</v>
      </c>
      <c r="C953">
        <v>-0.35999999999999943</v>
      </c>
    </row>
    <row r="954" spans="1:3">
      <c r="A954" t="s">
        <v>5139</v>
      </c>
      <c r="B954">
        <v>52.05</v>
      </c>
      <c r="C954">
        <v>0</v>
      </c>
    </row>
    <row r="955" spans="1:3">
      <c r="A955" t="s">
        <v>5143</v>
      </c>
      <c r="B955">
        <v>51.99</v>
      </c>
      <c r="C955">
        <v>-5.9999999999995168E-2</v>
      </c>
    </row>
    <row r="956" spans="1:3">
      <c r="A956" t="s">
        <v>5147</v>
      </c>
      <c r="B956">
        <v>51.93</v>
      </c>
      <c r="C956">
        <v>-6.0000000000002274E-2</v>
      </c>
    </row>
    <row r="957" spans="1:3">
      <c r="A957" t="s">
        <v>5151</v>
      </c>
      <c r="B957">
        <v>51.81</v>
      </c>
      <c r="C957">
        <v>-0.11999999999999744</v>
      </c>
    </row>
    <row r="958" spans="1:3">
      <c r="A958" t="s">
        <v>5155</v>
      </c>
      <c r="B958">
        <v>51.69</v>
      </c>
      <c r="C958">
        <v>-0.12000000000000455</v>
      </c>
    </row>
    <row r="959" spans="1:3">
      <c r="A959" t="s">
        <v>5159</v>
      </c>
      <c r="B959">
        <v>51.69</v>
      </c>
      <c r="C959">
        <v>0</v>
      </c>
    </row>
    <row r="960" spans="1:3">
      <c r="A960" t="s">
        <v>5163</v>
      </c>
      <c r="B960">
        <v>51.66</v>
      </c>
      <c r="C960">
        <v>-3.0000000000001137E-2</v>
      </c>
    </row>
    <row r="961" spans="1:3">
      <c r="A961" t="s">
        <v>5167</v>
      </c>
      <c r="B961">
        <v>51.63</v>
      </c>
      <c r="C961">
        <v>-2.9999999999994031E-2</v>
      </c>
    </row>
    <row r="962" spans="1:3">
      <c r="A962" t="s">
        <v>5171</v>
      </c>
      <c r="B962">
        <v>51.54</v>
      </c>
      <c r="C962">
        <v>-9.0000000000003411E-2</v>
      </c>
    </row>
    <row r="963" spans="1:3">
      <c r="A963" t="s">
        <v>5175</v>
      </c>
      <c r="B963">
        <v>51.36</v>
      </c>
      <c r="C963">
        <v>-0.17999999999999972</v>
      </c>
    </row>
    <row r="964" spans="1:3">
      <c r="A964" t="s">
        <v>5179</v>
      </c>
      <c r="B964">
        <v>51.33</v>
      </c>
      <c r="C964">
        <v>-3.0000000000001137E-2</v>
      </c>
    </row>
    <row r="965" spans="1:3">
      <c r="A965" t="s">
        <v>5183</v>
      </c>
      <c r="B965">
        <v>51.3</v>
      </c>
      <c r="C965">
        <v>-3.0000000000001137E-2</v>
      </c>
    </row>
    <row r="966" spans="1:3">
      <c r="A966" t="s">
        <v>5187</v>
      </c>
      <c r="B966">
        <v>51.12</v>
      </c>
      <c r="C966">
        <v>-0.17999999999999972</v>
      </c>
    </row>
    <row r="967" spans="1:3">
      <c r="A967" t="s">
        <v>5191</v>
      </c>
      <c r="B967">
        <v>51.15</v>
      </c>
      <c r="C967">
        <v>3.0000000000001137E-2</v>
      </c>
    </row>
    <row r="968" spans="1:3">
      <c r="A968" t="s">
        <v>5195</v>
      </c>
      <c r="B968">
        <v>51.15</v>
      </c>
      <c r="C968">
        <v>0</v>
      </c>
    </row>
    <row r="969" spans="1:3">
      <c r="A969" t="s">
        <v>5199</v>
      </c>
      <c r="B969">
        <v>51.09</v>
      </c>
      <c r="C969">
        <v>-5.9999999999995168E-2</v>
      </c>
    </row>
    <row r="970" spans="1:3">
      <c r="A970" t="s">
        <v>5203</v>
      </c>
      <c r="B970">
        <v>51</v>
      </c>
      <c r="C970">
        <v>-9.0000000000003411E-2</v>
      </c>
    </row>
    <row r="971" spans="1:3">
      <c r="A971" t="s">
        <v>5207</v>
      </c>
      <c r="B971">
        <v>50.88</v>
      </c>
      <c r="C971">
        <v>-0.11999999999999744</v>
      </c>
    </row>
    <row r="972" spans="1:3">
      <c r="A972" t="s">
        <v>5211</v>
      </c>
      <c r="B972">
        <v>50.91</v>
      </c>
      <c r="C972">
        <v>2.9999999999994031E-2</v>
      </c>
    </row>
    <row r="973" spans="1:3">
      <c r="A973" t="s">
        <v>5215</v>
      </c>
      <c r="B973">
        <v>50.79</v>
      </c>
      <c r="C973">
        <v>-0.11999999999999744</v>
      </c>
    </row>
    <row r="974" spans="1:3">
      <c r="A974" t="s">
        <v>5219</v>
      </c>
      <c r="B974">
        <v>50.76</v>
      </c>
      <c r="C974">
        <v>-3.0000000000001137E-2</v>
      </c>
    </row>
    <row r="975" spans="1:3">
      <c r="A975" t="s">
        <v>5223</v>
      </c>
      <c r="B975">
        <v>50.67</v>
      </c>
      <c r="C975">
        <v>-8.9999999999996305E-2</v>
      </c>
    </row>
    <row r="976" spans="1:3">
      <c r="A976" t="s">
        <v>5227</v>
      </c>
      <c r="B976">
        <v>50.52</v>
      </c>
      <c r="C976">
        <v>-0.14999999999999858</v>
      </c>
    </row>
    <row r="977" spans="1:3">
      <c r="A977" t="s">
        <v>5231</v>
      </c>
      <c r="B977">
        <v>50.43</v>
      </c>
      <c r="C977">
        <v>-9.0000000000003411E-2</v>
      </c>
    </row>
    <row r="978" spans="1:3">
      <c r="A978" t="s">
        <v>5235</v>
      </c>
      <c r="B978">
        <v>50.4</v>
      </c>
      <c r="C978">
        <v>-3.0000000000001137E-2</v>
      </c>
    </row>
    <row r="979" spans="1:3">
      <c r="A979" t="s">
        <v>5239</v>
      </c>
      <c r="B979">
        <v>50.25</v>
      </c>
      <c r="C979">
        <v>-0.14999999999999858</v>
      </c>
    </row>
    <row r="980" spans="1:3">
      <c r="A980" t="s">
        <v>5243</v>
      </c>
      <c r="B980">
        <v>50.31</v>
      </c>
      <c r="C980">
        <v>6.0000000000002274E-2</v>
      </c>
    </row>
    <row r="981" spans="1:3">
      <c r="A981" t="s">
        <v>5247</v>
      </c>
      <c r="B981">
        <v>50.19</v>
      </c>
      <c r="C981">
        <v>-0.12000000000000455</v>
      </c>
    </row>
    <row r="982" spans="1:3">
      <c r="A982" t="s">
        <v>5251</v>
      </c>
      <c r="B982">
        <v>50.1</v>
      </c>
      <c r="C982">
        <v>-8.9999999999996305E-2</v>
      </c>
    </row>
    <row r="983" spans="1:3">
      <c r="A983" t="s">
        <v>5255</v>
      </c>
      <c r="B983">
        <v>50.13</v>
      </c>
      <c r="C983">
        <v>3.0000000000001137E-2</v>
      </c>
    </row>
    <row r="984" spans="1:3">
      <c r="A984" t="s">
        <v>5259</v>
      </c>
      <c r="B984">
        <v>50.13</v>
      </c>
      <c r="C984">
        <v>0</v>
      </c>
    </row>
    <row r="985" spans="1:3">
      <c r="A985" t="s">
        <v>5263</v>
      </c>
      <c r="B985">
        <v>78.87</v>
      </c>
      <c r="C985">
        <v>28.740000000000002</v>
      </c>
    </row>
    <row r="986" spans="1:3">
      <c r="A986" t="s">
        <v>5270</v>
      </c>
      <c r="B986">
        <v>82.05</v>
      </c>
      <c r="C986">
        <v>3.1799999999999926</v>
      </c>
    </row>
    <row r="987" spans="1:3">
      <c r="A987" t="s">
        <v>5277</v>
      </c>
      <c r="B987">
        <v>83.1</v>
      </c>
      <c r="C987">
        <v>1.0499999999999972</v>
      </c>
    </row>
    <row r="988" spans="1:3">
      <c r="A988" t="s">
        <v>5283</v>
      </c>
      <c r="B988">
        <v>78.239999999999995</v>
      </c>
      <c r="C988">
        <v>-4.8599999999999994</v>
      </c>
    </row>
    <row r="989" spans="1:3">
      <c r="A989" t="s">
        <v>5292</v>
      </c>
      <c r="B989">
        <v>52.86</v>
      </c>
      <c r="C989">
        <v>-25.379999999999995</v>
      </c>
    </row>
    <row r="990" spans="1:3">
      <c r="A990" t="s">
        <v>5296</v>
      </c>
      <c r="B990">
        <v>52.68</v>
      </c>
      <c r="C990">
        <v>-0.17999999999999972</v>
      </c>
    </row>
    <row r="991" spans="1:3">
      <c r="A991" t="s">
        <v>5300</v>
      </c>
      <c r="B991">
        <v>52.77</v>
      </c>
      <c r="C991">
        <v>9.0000000000003411E-2</v>
      </c>
    </row>
    <row r="992" spans="1:3">
      <c r="A992" t="s">
        <v>5304</v>
      </c>
      <c r="B992">
        <v>52.53</v>
      </c>
      <c r="C992">
        <v>-0.24000000000000199</v>
      </c>
    </row>
    <row r="993" spans="1:3">
      <c r="A993" t="s">
        <v>5308</v>
      </c>
      <c r="B993">
        <v>52.53</v>
      </c>
      <c r="C993">
        <v>0</v>
      </c>
    </row>
    <row r="994" spans="1:3">
      <c r="A994" t="s">
        <v>5312</v>
      </c>
      <c r="B994">
        <v>52.5</v>
      </c>
      <c r="C994">
        <v>-3.0000000000001137E-2</v>
      </c>
    </row>
    <row r="995" spans="1:3">
      <c r="A995" t="s">
        <v>5316</v>
      </c>
      <c r="B995">
        <v>52.38</v>
      </c>
      <c r="C995">
        <v>-0.11999999999999744</v>
      </c>
    </row>
    <row r="996" spans="1:3">
      <c r="A996" t="s">
        <v>5320</v>
      </c>
      <c r="B996">
        <v>52.29</v>
      </c>
      <c r="C996">
        <v>-9.0000000000003411E-2</v>
      </c>
    </row>
    <row r="997" spans="1:3">
      <c r="A997" t="s">
        <v>5324</v>
      </c>
      <c r="B997">
        <v>52.17</v>
      </c>
      <c r="C997">
        <v>-0.11999999999999744</v>
      </c>
    </row>
    <row r="998" spans="1:3">
      <c r="A998" t="s">
        <v>5328</v>
      </c>
      <c r="B998">
        <v>52.17</v>
      </c>
      <c r="C998">
        <v>0</v>
      </c>
    </row>
    <row r="999" spans="1:3">
      <c r="A999" t="s">
        <v>5332</v>
      </c>
      <c r="B999">
        <v>52.23</v>
      </c>
      <c r="C999">
        <v>5.9999999999995168E-2</v>
      </c>
    </row>
    <row r="1000" spans="1:3">
      <c r="A1000" t="s">
        <v>5336</v>
      </c>
      <c r="B1000">
        <v>51.99</v>
      </c>
      <c r="C1000">
        <v>-0.23999999999999488</v>
      </c>
    </row>
    <row r="1001" spans="1:3">
      <c r="A1001" t="s">
        <v>5340</v>
      </c>
      <c r="B1001">
        <v>51.9</v>
      </c>
      <c r="C1001">
        <v>-9.0000000000003411E-2</v>
      </c>
    </row>
    <row r="1002" spans="1:3">
      <c r="A1002" t="s">
        <v>5344</v>
      </c>
      <c r="B1002">
        <v>51.87</v>
      </c>
      <c r="C1002">
        <v>-3.0000000000001137E-2</v>
      </c>
    </row>
    <row r="1003" spans="1:3">
      <c r="A1003" t="s">
        <v>5348</v>
      </c>
      <c r="B1003">
        <v>51.9</v>
      </c>
      <c r="C1003">
        <v>3.0000000000001137E-2</v>
      </c>
    </row>
    <row r="1004" spans="1:3">
      <c r="A1004" t="s">
        <v>5352</v>
      </c>
      <c r="B1004">
        <v>51.69</v>
      </c>
      <c r="C1004">
        <v>-0.21000000000000085</v>
      </c>
    </row>
    <row r="1005" spans="1:3">
      <c r="A1005" t="s">
        <v>5356</v>
      </c>
      <c r="B1005">
        <v>51.63</v>
      </c>
      <c r="C1005">
        <v>-5.9999999999995168E-2</v>
      </c>
    </row>
    <row r="1006" spans="1:3">
      <c r="A1006" t="s">
        <v>5360</v>
      </c>
      <c r="B1006">
        <v>51.75</v>
      </c>
      <c r="C1006">
        <v>0.11999999999999744</v>
      </c>
    </row>
    <row r="1007" spans="1:3">
      <c r="A1007" t="s">
        <v>5364</v>
      </c>
      <c r="B1007">
        <v>51.6</v>
      </c>
      <c r="C1007">
        <v>-0.14999999999999858</v>
      </c>
    </row>
    <row r="1008" spans="1:3">
      <c r="A1008" t="s">
        <v>5368</v>
      </c>
      <c r="B1008">
        <v>51.63</v>
      </c>
      <c r="C1008">
        <v>3.0000000000001137E-2</v>
      </c>
    </row>
    <row r="1009" spans="1:3">
      <c r="A1009" t="s">
        <v>5372</v>
      </c>
      <c r="B1009">
        <v>51.42</v>
      </c>
      <c r="C1009">
        <v>-0.21000000000000085</v>
      </c>
    </row>
    <row r="1010" spans="1:3">
      <c r="A1010" t="s">
        <v>5376</v>
      </c>
      <c r="B1010">
        <v>51.33</v>
      </c>
      <c r="C1010">
        <v>-9.0000000000003411E-2</v>
      </c>
    </row>
    <row r="1011" spans="1:3">
      <c r="A1011" t="s">
        <v>5380</v>
      </c>
      <c r="B1011">
        <v>51.39</v>
      </c>
      <c r="C1011">
        <v>6.0000000000002274E-2</v>
      </c>
    </row>
    <row r="1012" spans="1:3">
      <c r="A1012" t="s">
        <v>5384</v>
      </c>
      <c r="B1012">
        <v>51.3</v>
      </c>
      <c r="C1012">
        <v>-9.0000000000003411E-2</v>
      </c>
    </row>
    <row r="1013" spans="1:3">
      <c r="A1013" t="s">
        <v>5388</v>
      </c>
      <c r="B1013">
        <v>51.09</v>
      </c>
      <c r="C1013">
        <v>-0.20999999999999375</v>
      </c>
    </row>
    <row r="1014" spans="1:3">
      <c r="A1014" t="s">
        <v>5392</v>
      </c>
      <c r="B1014">
        <v>51.18</v>
      </c>
      <c r="C1014">
        <v>8.9999999999996305E-2</v>
      </c>
    </row>
    <row r="1015" spans="1:3">
      <c r="A1015" t="s">
        <v>5396</v>
      </c>
      <c r="B1015">
        <v>51.21</v>
      </c>
      <c r="C1015">
        <v>3.0000000000001137E-2</v>
      </c>
    </row>
    <row r="1016" spans="1:3">
      <c r="A1016" t="s">
        <v>5400</v>
      </c>
      <c r="B1016">
        <v>51.21</v>
      </c>
      <c r="C1016">
        <v>0</v>
      </c>
    </row>
    <row r="1017" spans="1:3">
      <c r="A1017" t="s">
        <v>5404</v>
      </c>
      <c r="B1017">
        <v>50.94</v>
      </c>
      <c r="C1017">
        <v>-0.27000000000000313</v>
      </c>
    </row>
    <row r="1018" spans="1:3">
      <c r="A1018" t="s">
        <v>5408</v>
      </c>
      <c r="B1018">
        <v>50.82</v>
      </c>
      <c r="C1018">
        <v>-0.11999999999999744</v>
      </c>
    </row>
    <row r="1019" spans="1:3">
      <c r="A1019" t="s">
        <v>5413</v>
      </c>
      <c r="B1019">
        <v>50.82</v>
      </c>
      <c r="C1019">
        <v>0</v>
      </c>
    </row>
    <row r="1020" spans="1:3">
      <c r="A1020" t="s">
        <v>5418</v>
      </c>
      <c r="B1020">
        <v>50.76</v>
      </c>
      <c r="C1020">
        <v>-6.0000000000002274E-2</v>
      </c>
    </row>
    <row r="1021" spans="1:3">
      <c r="A1021" t="s">
        <v>5422</v>
      </c>
      <c r="B1021">
        <v>50.7</v>
      </c>
      <c r="C1021">
        <v>-5.9999999999995168E-2</v>
      </c>
    </row>
    <row r="1022" spans="1:3">
      <c r="A1022" t="s">
        <v>5426</v>
      </c>
      <c r="B1022">
        <v>50.67</v>
      </c>
      <c r="C1022">
        <v>-3.0000000000001137E-2</v>
      </c>
    </row>
    <row r="1023" spans="1:3">
      <c r="A1023" t="s">
        <v>5430</v>
      </c>
      <c r="B1023">
        <v>50.7</v>
      </c>
      <c r="C1023">
        <v>3.0000000000001137E-2</v>
      </c>
    </row>
    <row r="1024" spans="1:3">
      <c r="A1024" t="s">
        <v>5434</v>
      </c>
      <c r="B1024">
        <v>50.58</v>
      </c>
      <c r="C1024">
        <v>-0.12000000000000455</v>
      </c>
    </row>
    <row r="1025" spans="1:3">
      <c r="A1025" t="s">
        <v>5438</v>
      </c>
      <c r="B1025">
        <v>50.55</v>
      </c>
      <c r="C1025">
        <v>-3.0000000000001137E-2</v>
      </c>
    </row>
    <row r="1026" spans="1:3">
      <c r="A1026" t="s">
        <v>5442</v>
      </c>
      <c r="B1026">
        <v>50.4</v>
      </c>
      <c r="C1026">
        <v>-0.14999999999999858</v>
      </c>
    </row>
    <row r="1027" spans="1:3">
      <c r="A1027" t="s">
        <v>5446</v>
      </c>
      <c r="B1027">
        <v>50.46</v>
      </c>
      <c r="C1027">
        <v>6.0000000000002274E-2</v>
      </c>
    </row>
    <row r="1028" spans="1:3">
      <c r="A1028" t="s">
        <v>5450</v>
      </c>
      <c r="B1028">
        <v>50.37</v>
      </c>
      <c r="C1028">
        <v>-9.0000000000003411E-2</v>
      </c>
    </row>
    <row r="1029" spans="1:3">
      <c r="A1029" t="s">
        <v>5454</v>
      </c>
      <c r="B1029">
        <v>50.28</v>
      </c>
      <c r="C1029">
        <v>-8.9999999999996305E-2</v>
      </c>
    </row>
    <row r="1030" spans="1:3">
      <c r="A1030" t="s">
        <v>5458</v>
      </c>
      <c r="B1030">
        <v>65.64</v>
      </c>
      <c r="C1030">
        <v>15.36</v>
      </c>
    </row>
    <row r="1031" spans="1:3">
      <c r="A1031" t="s">
        <v>5466</v>
      </c>
      <c r="B1031">
        <v>81.569999999999993</v>
      </c>
      <c r="C1031">
        <v>15.929999999999993</v>
      </c>
    </row>
    <row r="1032" spans="1:3">
      <c r="A1032" t="s">
        <v>5473</v>
      </c>
      <c r="B1032">
        <v>82.11</v>
      </c>
      <c r="C1032">
        <v>0.54000000000000625</v>
      </c>
    </row>
    <row r="1033" spans="1:3">
      <c r="A1033" t="s">
        <v>5480</v>
      </c>
      <c r="B1033">
        <v>83.07</v>
      </c>
      <c r="C1033">
        <v>0.95999999999999375</v>
      </c>
    </row>
    <row r="1034" spans="1:3">
      <c r="A1034" t="s">
        <v>5486</v>
      </c>
      <c r="B1034">
        <v>81.09</v>
      </c>
      <c r="C1034">
        <v>-1.9799999999999898</v>
      </c>
    </row>
    <row r="1035" spans="1:3">
      <c r="A1035" t="s">
        <v>5492</v>
      </c>
      <c r="B1035">
        <v>53.16</v>
      </c>
      <c r="C1035">
        <v>-27.930000000000007</v>
      </c>
    </row>
    <row r="1036" spans="1:3">
      <c r="A1036" t="s">
        <v>5497</v>
      </c>
      <c r="B1036">
        <v>52.83</v>
      </c>
      <c r="C1036">
        <v>-0.32999999999999829</v>
      </c>
    </row>
    <row r="1037" spans="1:3">
      <c r="A1037" t="s">
        <v>5501</v>
      </c>
      <c r="B1037">
        <v>52.8</v>
      </c>
      <c r="C1037">
        <v>-3.0000000000001137E-2</v>
      </c>
    </row>
    <row r="1038" spans="1:3">
      <c r="A1038" t="s">
        <v>5506</v>
      </c>
      <c r="B1038">
        <v>52.86</v>
      </c>
      <c r="C1038">
        <v>6.0000000000002274E-2</v>
      </c>
    </row>
    <row r="1039" spans="1:3">
      <c r="A1039" t="s">
        <v>5510</v>
      </c>
      <c r="B1039">
        <v>52.77</v>
      </c>
      <c r="C1039">
        <v>-8.9999999999996305E-2</v>
      </c>
    </row>
    <row r="1040" spans="1:3">
      <c r="A1040" t="s">
        <v>5515</v>
      </c>
      <c r="B1040">
        <v>52.86</v>
      </c>
      <c r="C1040">
        <v>8.9999999999996305E-2</v>
      </c>
    </row>
    <row r="1041" spans="1:3">
      <c r="A1041" t="s">
        <v>5520</v>
      </c>
      <c r="B1041">
        <v>52.68</v>
      </c>
      <c r="C1041">
        <v>-0.17999999999999972</v>
      </c>
    </row>
    <row r="1042" spans="1:3">
      <c r="A1042" t="s">
        <v>5524</v>
      </c>
      <c r="B1042">
        <v>52.56</v>
      </c>
      <c r="C1042">
        <v>-0.11999999999999744</v>
      </c>
    </row>
    <row r="1043" spans="1:3">
      <c r="A1043" t="s">
        <v>5528</v>
      </c>
      <c r="B1043">
        <v>52.59</v>
      </c>
      <c r="C1043">
        <v>3.0000000000001137E-2</v>
      </c>
    </row>
    <row r="1044" spans="1:3">
      <c r="A1044" t="s">
        <v>5532</v>
      </c>
      <c r="B1044">
        <v>52.59</v>
      </c>
      <c r="C1044">
        <v>0</v>
      </c>
    </row>
    <row r="1045" spans="1:3">
      <c r="A1045" t="s">
        <v>5536</v>
      </c>
      <c r="B1045">
        <v>52.5</v>
      </c>
      <c r="C1045">
        <v>-9.0000000000003411E-2</v>
      </c>
    </row>
    <row r="1046" spans="1:3">
      <c r="A1046" t="s">
        <v>5540</v>
      </c>
      <c r="B1046">
        <v>52.35</v>
      </c>
      <c r="C1046">
        <v>-0.14999999999999858</v>
      </c>
    </row>
    <row r="1047" spans="1:3">
      <c r="A1047" t="s">
        <v>5544</v>
      </c>
      <c r="B1047">
        <v>52.44</v>
      </c>
      <c r="C1047">
        <v>8.9999999999996305E-2</v>
      </c>
    </row>
    <row r="1048" spans="1:3">
      <c r="A1048" t="s">
        <v>5548</v>
      </c>
      <c r="B1048">
        <v>52.17</v>
      </c>
      <c r="C1048">
        <v>-0.26999999999999602</v>
      </c>
    </row>
    <row r="1049" spans="1:3">
      <c r="A1049" t="s">
        <v>5552</v>
      </c>
      <c r="B1049">
        <v>52.35</v>
      </c>
      <c r="C1049">
        <v>0.17999999999999972</v>
      </c>
    </row>
    <row r="1050" spans="1:3">
      <c r="A1050" t="s">
        <v>5556</v>
      </c>
      <c r="B1050">
        <v>52.2</v>
      </c>
      <c r="C1050">
        <v>-0.14999999999999858</v>
      </c>
    </row>
    <row r="1051" spans="1:3">
      <c r="A1051" t="s">
        <v>5560</v>
      </c>
      <c r="B1051">
        <v>52.26</v>
      </c>
      <c r="C1051">
        <v>5.9999999999995168E-2</v>
      </c>
    </row>
    <row r="1052" spans="1:3">
      <c r="A1052" t="s">
        <v>5564</v>
      </c>
      <c r="B1052">
        <v>52.14</v>
      </c>
      <c r="C1052">
        <v>-0.11999999999999744</v>
      </c>
    </row>
    <row r="1053" spans="1:3">
      <c r="A1053" t="s">
        <v>5568</v>
      </c>
      <c r="B1053">
        <v>52.14</v>
      </c>
      <c r="C1053">
        <v>0</v>
      </c>
    </row>
    <row r="1054" spans="1:3">
      <c r="A1054" t="s">
        <v>5572</v>
      </c>
      <c r="B1054">
        <v>52.14</v>
      </c>
      <c r="C1054">
        <v>0</v>
      </c>
    </row>
    <row r="1055" spans="1:3">
      <c r="A1055" t="s">
        <v>5576</v>
      </c>
      <c r="B1055">
        <v>52.08</v>
      </c>
      <c r="C1055">
        <v>-6.0000000000002274E-2</v>
      </c>
    </row>
    <row r="1056" spans="1:3">
      <c r="A1056" t="s">
        <v>5580</v>
      </c>
      <c r="B1056">
        <v>52.05</v>
      </c>
      <c r="C1056">
        <v>-3.0000000000001137E-2</v>
      </c>
    </row>
    <row r="1057" spans="1:3">
      <c r="A1057" t="s">
        <v>5584</v>
      </c>
      <c r="B1057">
        <v>51.93</v>
      </c>
      <c r="C1057">
        <v>-0.11999999999999744</v>
      </c>
    </row>
    <row r="1058" spans="1:3">
      <c r="A1058" t="s">
        <v>5588</v>
      </c>
      <c r="B1058">
        <v>51.87</v>
      </c>
      <c r="C1058">
        <v>-6.0000000000002274E-2</v>
      </c>
    </row>
    <row r="1059" spans="1:3">
      <c r="A1059" t="s">
        <v>5592</v>
      </c>
      <c r="B1059">
        <v>51.81</v>
      </c>
      <c r="C1059">
        <v>-5.9999999999995168E-2</v>
      </c>
    </row>
    <row r="1060" spans="1:3">
      <c r="A1060" t="s">
        <v>5596</v>
      </c>
      <c r="B1060">
        <v>51.81</v>
      </c>
      <c r="C1060">
        <v>0</v>
      </c>
    </row>
    <row r="1061" spans="1:3">
      <c r="A1061" t="s">
        <v>5600</v>
      </c>
      <c r="B1061">
        <v>51.93</v>
      </c>
      <c r="C1061">
        <v>0.11999999999999744</v>
      </c>
    </row>
    <row r="1062" spans="1:3">
      <c r="A1062" t="s">
        <v>5604</v>
      </c>
      <c r="B1062">
        <v>51.66</v>
      </c>
      <c r="C1062">
        <v>-0.27000000000000313</v>
      </c>
    </row>
    <row r="1063" spans="1:3">
      <c r="A1063" t="s">
        <v>5608</v>
      </c>
      <c r="B1063">
        <v>51.75</v>
      </c>
      <c r="C1063">
        <v>9.0000000000003411E-2</v>
      </c>
    </row>
    <row r="1064" spans="1:3">
      <c r="A1064" t="s">
        <v>5612</v>
      </c>
      <c r="B1064">
        <v>51.75</v>
      </c>
      <c r="C1064">
        <v>0</v>
      </c>
    </row>
    <row r="1065" spans="1:3">
      <c r="A1065" t="s">
        <v>5616</v>
      </c>
      <c r="B1065">
        <v>51.66</v>
      </c>
      <c r="C1065">
        <v>-9.0000000000003411E-2</v>
      </c>
    </row>
    <row r="1066" spans="1:3">
      <c r="A1066" t="s">
        <v>5620</v>
      </c>
      <c r="B1066">
        <v>51.51</v>
      </c>
      <c r="C1066">
        <v>-0.14999999999999858</v>
      </c>
    </row>
    <row r="1067" spans="1:3">
      <c r="A1067" t="s">
        <v>5624</v>
      </c>
      <c r="B1067">
        <v>51.57</v>
      </c>
      <c r="C1067">
        <v>6.0000000000002274E-2</v>
      </c>
    </row>
    <row r="1068" spans="1:3">
      <c r="A1068" t="s">
        <v>5628</v>
      </c>
      <c r="B1068">
        <v>51.51</v>
      </c>
      <c r="C1068">
        <v>-6.0000000000002274E-2</v>
      </c>
    </row>
    <row r="1069" spans="1:3">
      <c r="A1069" t="s">
        <v>5632</v>
      </c>
      <c r="B1069">
        <v>51.42</v>
      </c>
      <c r="C1069">
        <v>-8.9999999999996305E-2</v>
      </c>
    </row>
    <row r="1070" spans="1:3">
      <c r="A1070" t="s">
        <v>5636</v>
      </c>
      <c r="B1070">
        <v>51.42</v>
      </c>
      <c r="C1070">
        <v>0</v>
      </c>
    </row>
    <row r="1071" spans="1:3">
      <c r="A1071" t="s">
        <v>5640</v>
      </c>
      <c r="B1071">
        <v>51.39</v>
      </c>
      <c r="C1071">
        <v>-3.0000000000001137E-2</v>
      </c>
    </row>
    <row r="1072" spans="1:3">
      <c r="A1072" t="s">
        <v>5644</v>
      </c>
      <c r="B1072">
        <v>51.42</v>
      </c>
      <c r="C1072">
        <v>3.0000000000001137E-2</v>
      </c>
    </row>
    <row r="1073" spans="1:3">
      <c r="A1073" t="s">
        <v>5648</v>
      </c>
      <c r="B1073">
        <v>51.21</v>
      </c>
      <c r="C1073">
        <v>-0.21000000000000085</v>
      </c>
    </row>
    <row r="1074" spans="1:3">
      <c r="A1074" t="s">
        <v>5652</v>
      </c>
      <c r="B1074">
        <v>51.33</v>
      </c>
      <c r="C1074">
        <v>0.11999999999999744</v>
      </c>
    </row>
    <row r="1075" spans="1:3">
      <c r="A1075" t="s">
        <v>5656</v>
      </c>
      <c r="B1075">
        <v>51.21</v>
      </c>
      <c r="C1075">
        <v>-0.11999999999999744</v>
      </c>
    </row>
    <row r="1076" spans="1:3">
      <c r="A1076" t="s">
        <v>5660</v>
      </c>
      <c r="B1076">
        <v>51.06</v>
      </c>
      <c r="C1076">
        <v>-0.14999999999999858</v>
      </c>
    </row>
    <row r="1077" spans="1:3">
      <c r="A1077" t="s">
        <v>5664</v>
      </c>
      <c r="B1077">
        <v>51.18</v>
      </c>
      <c r="C1077">
        <v>0.11999999999999744</v>
      </c>
    </row>
    <row r="1078" spans="1:3">
      <c r="A1078" t="s">
        <v>5668</v>
      </c>
      <c r="B1078">
        <v>51.09</v>
      </c>
      <c r="C1078">
        <v>-8.9999999999996305E-2</v>
      </c>
    </row>
    <row r="1079" spans="1:3">
      <c r="A1079" t="s">
        <v>5672</v>
      </c>
      <c r="B1079">
        <v>51.03</v>
      </c>
      <c r="C1079">
        <v>-6.0000000000002274E-2</v>
      </c>
    </row>
    <row r="1080" spans="1:3">
      <c r="A1080" t="s">
        <v>5676</v>
      </c>
      <c r="B1080">
        <v>50.97</v>
      </c>
      <c r="C1080">
        <v>-6.0000000000002274E-2</v>
      </c>
    </row>
    <row r="1081" spans="1:3">
      <c r="A1081" t="s">
        <v>5680</v>
      </c>
      <c r="B1081">
        <v>51.03</v>
      </c>
      <c r="C1081">
        <v>6.0000000000002274E-2</v>
      </c>
    </row>
    <row r="1082" spans="1:3">
      <c r="A1082" t="s">
        <v>5684</v>
      </c>
      <c r="B1082">
        <v>50.88</v>
      </c>
      <c r="C1082">
        <v>-0.14999999999999858</v>
      </c>
    </row>
    <row r="1083" spans="1:3">
      <c r="A1083" t="s">
        <v>5688</v>
      </c>
      <c r="B1083">
        <v>50.85</v>
      </c>
      <c r="C1083">
        <v>-3.0000000000001137E-2</v>
      </c>
    </row>
    <row r="1084" spans="1:3">
      <c r="A1084" t="s">
        <v>5692</v>
      </c>
      <c r="B1084">
        <v>50.85</v>
      </c>
      <c r="C1084">
        <v>0</v>
      </c>
    </row>
    <row r="1085" spans="1:3">
      <c r="A1085" t="s">
        <v>5696</v>
      </c>
      <c r="B1085">
        <v>50.82</v>
      </c>
      <c r="C1085">
        <v>-3.0000000000001137E-2</v>
      </c>
    </row>
    <row r="1086" spans="1:3">
      <c r="A1086" t="s">
        <v>5700</v>
      </c>
      <c r="B1086">
        <v>50.85</v>
      </c>
      <c r="C1086">
        <v>3.0000000000001137E-2</v>
      </c>
    </row>
    <row r="1087" spans="1:3">
      <c r="A1087" t="s">
        <v>5704</v>
      </c>
      <c r="B1087">
        <v>50.82</v>
      </c>
      <c r="C1087">
        <v>-3.0000000000001137E-2</v>
      </c>
    </row>
    <row r="1088" spans="1:3">
      <c r="A1088" t="s">
        <v>5708</v>
      </c>
      <c r="B1088">
        <v>50.88</v>
      </c>
      <c r="C1088">
        <v>6.0000000000002274E-2</v>
      </c>
    </row>
    <row r="1089" spans="1:3">
      <c r="A1089" t="s">
        <v>5712</v>
      </c>
      <c r="B1089">
        <v>50.7</v>
      </c>
      <c r="C1089">
        <v>-0.17999999999999972</v>
      </c>
    </row>
    <row r="1090" spans="1:3">
      <c r="A1090" t="s">
        <v>5716</v>
      </c>
      <c r="B1090">
        <v>50.58</v>
      </c>
      <c r="C1090">
        <v>-0.12000000000000455</v>
      </c>
    </row>
    <row r="1091" spans="1:3">
      <c r="A1091" t="s">
        <v>5720</v>
      </c>
      <c r="B1091">
        <v>50.58</v>
      </c>
      <c r="C1091">
        <v>0</v>
      </c>
    </row>
    <row r="1092" spans="1:3">
      <c r="A1092" t="s">
        <v>5724</v>
      </c>
      <c r="B1092">
        <v>50.58</v>
      </c>
      <c r="C1092">
        <v>0</v>
      </c>
    </row>
    <row r="1093" spans="1:3">
      <c r="A1093" t="s">
        <v>5728</v>
      </c>
      <c r="B1093">
        <v>50.61</v>
      </c>
      <c r="C1093">
        <v>3.0000000000001137E-2</v>
      </c>
    </row>
    <row r="1094" spans="1:3">
      <c r="A1094" t="s">
        <v>5732</v>
      </c>
      <c r="B1094">
        <v>50.52</v>
      </c>
      <c r="C1094">
        <v>-8.9999999999996305E-2</v>
      </c>
    </row>
    <row r="1095" spans="1:3">
      <c r="A1095" t="s">
        <v>5736</v>
      </c>
      <c r="B1095">
        <v>50.55</v>
      </c>
      <c r="C1095">
        <v>2.9999999999994031E-2</v>
      </c>
    </row>
    <row r="1096" spans="1:3">
      <c r="A1096" t="s">
        <v>5740</v>
      </c>
      <c r="B1096">
        <v>50.49</v>
      </c>
      <c r="C1096">
        <v>-5.9999999999995168E-2</v>
      </c>
    </row>
    <row r="1097" spans="1:3">
      <c r="A1097" t="s">
        <v>5744</v>
      </c>
      <c r="B1097">
        <v>50.37</v>
      </c>
      <c r="C1097">
        <v>-0.12000000000000455</v>
      </c>
    </row>
    <row r="1098" spans="1:3">
      <c r="A1098" t="s">
        <v>5748</v>
      </c>
      <c r="B1098">
        <v>50.31</v>
      </c>
      <c r="C1098">
        <v>-5.9999999999995168E-2</v>
      </c>
    </row>
    <row r="1099" spans="1:3">
      <c r="A1099" t="s">
        <v>5752</v>
      </c>
      <c r="B1099">
        <v>50.34</v>
      </c>
      <c r="C1099">
        <v>3.0000000000001137E-2</v>
      </c>
    </row>
    <row r="1100" spans="1:3">
      <c r="A1100" t="s">
        <v>5756</v>
      </c>
      <c r="B1100">
        <v>50.25</v>
      </c>
      <c r="C1100">
        <v>-9.0000000000003411E-2</v>
      </c>
    </row>
    <row r="1101" spans="1:3">
      <c r="A1101" t="s">
        <v>5760</v>
      </c>
      <c r="B1101">
        <v>50.19</v>
      </c>
      <c r="C1101">
        <v>-6.0000000000002274E-2</v>
      </c>
    </row>
    <row r="1102" spans="1:3">
      <c r="A1102" t="s">
        <v>5764</v>
      </c>
      <c r="B1102">
        <v>50.16</v>
      </c>
      <c r="C1102">
        <v>-3.0000000000001137E-2</v>
      </c>
    </row>
    <row r="1103" spans="1:3">
      <c r="A1103" t="s">
        <v>5768</v>
      </c>
      <c r="B1103">
        <v>50.19</v>
      </c>
      <c r="C1103">
        <v>3.0000000000001137E-2</v>
      </c>
    </row>
    <row r="1104" spans="1:3">
      <c r="A1104" t="s">
        <v>5772</v>
      </c>
      <c r="B1104">
        <v>50.16</v>
      </c>
      <c r="C1104">
        <v>-3.0000000000001137E-2</v>
      </c>
    </row>
    <row r="1105" spans="1:3">
      <c r="A1105" t="s">
        <v>5776</v>
      </c>
      <c r="B1105">
        <v>49.98</v>
      </c>
      <c r="C1105">
        <v>-0.17999999999999972</v>
      </c>
    </row>
    <row r="1106" spans="1:3">
      <c r="A1106" t="s">
        <v>5783</v>
      </c>
      <c r="B1106">
        <v>50.1</v>
      </c>
      <c r="C1106">
        <v>0.12000000000000455</v>
      </c>
    </row>
    <row r="1107" spans="1:3">
      <c r="A1107" t="s">
        <v>5787</v>
      </c>
      <c r="B1107">
        <v>80.73</v>
      </c>
      <c r="C1107">
        <v>30.630000000000003</v>
      </c>
    </row>
    <row r="1108" spans="1:3">
      <c r="A1108" t="s">
        <v>5794</v>
      </c>
      <c r="B1108">
        <v>82.38</v>
      </c>
      <c r="C1108">
        <v>1.6499999999999915</v>
      </c>
    </row>
    <row r="1109" spans="1:3">
      <c r="A1109" t="s">
        <v>5800</v>
      </c>
      <c r="B1109">
        <v>82.8</v>
      </c>
      <c r="C1109">
        <v>0.42000000000000171</v>
      </c>
    </row>
    <row r="1110" spans="1:3">
      <c r="A1110" t="s">
        <v>5805</v>
      </c>
      <c r="B1110">
        <v>67.38</v>
      </c>
      <c r="C1110">
        <v>-15.420000000000002</v>
      </c>
    </row>
    <row r="1111" spans="1:3">
      <c r="A1111" t="s">
        <v>5815</v>
      </c>
      <c r="B1111">
        <v>53.16</v>
      </c>
      <c r="C1111">
        <v>-14.219999999999999</v>
      </c>
    </row>
    <row r="1112" spans="1:3">
      <c r="A1112" t="s">
        <v>5820</v>
      </c>
      <c r="B1112">
        <v>52.92</v>
      </c>
      <c r="C1112">
        <v>-0.23999999999999488</v>
      </c>
    </row>
    <row r="1113" spans="1:3">
      <c r="A1113" t="s">
        <v>5824</v>
      </c>
      <c r="B1113">
        <v>52.89</v>
      </c>
      <c r="C1113">
        <v>-3.0000000000001137E-2</v>
      </c>
    </row>
    <row r="1114" spans="1:3">
      <c r="A1114" t="s">
        <v>5828</v>
      </c>
      <c r="B1114">
        <v>52.92</v>
      </c>
      <c r="C1114">
        <v>3.0000000000001137E-2</v>
      </c>
    </row>
    <row r="1115" spans="1:3">
      <c r="A1115" t="s">
        <v>5832</v>
      </c>
      <c r="B1115">
        <v>52.77</v>
      </c>
      <c r="C1115">
        <v>-0.14999999999999858</v>
      </c>
    </row>
    <row r="1116" spans="1:3">
      <c r="A1116" t="s">
        <v>5836</v>
      </c>
      <c r="B1116">
        <v>52.74</v>
      </c>
      <c r="C1116">
        <v>-3.0000000000001137E-2</v>
      </c>
    </row>
    <row r="1117" spans="1:3">
      <c r="A1117" t="s">
        <v>5840</v>
      </c>
      <c r="B1117">
        <v>52.77</v>
      </c>
      <c r="C1117">
        <v>3.0000000000001137E-2</v>
      </c>
    </row>
    <row r="1118" spans="1:3">
      <c r="A1118" t="s">
        <v>5844</v>
      </c>
      <c r="B1118">
        <v>52.62</v>
      </c>
      <c r="C1118">
        <v>-0.15000000000000568</v>
      </c>
    </row>
    <row r="1119" spans="1:3">
      <c r="A1119" t="s">
        <v>5848</v>
      </c>
      <c r="B1119">
        <v>52.59</v>
      </c>
      <c r="C1119">
        <v>-2.9999999999994031E-2</v>
      </c>
    </row>
    <row r="1120" spans="1:3">
      <c r="A1120" t="s">
        <v>5852</v>
      </c>
      <c r="B1120">
        <v>52.38</v>
      </c>
      <c r="C1120">
        <v>-0.21000000000000085</v>
      </c>
    </row>
    <row r="1121" spans="1:3">
      <c r="A1121" t="s">
        <v>5856</v>
      </c>
      <c r="B1121">
        <v>52.56</v>
      </c>
      <c r="C1121">
        <v>0.17999999999999972</v>
      </c>
    </row>
    <row r="1122" spans="1:3">
      <c r="A1122" t="s">
        <v>5860</v>
      </c>
      <c r="B1122">
        <v>52.35</v>
      </c>
      <c r="C1122">
        <v>-0.21000000000000085</v>
      </c>
    </row>
    <row r="1123" spans="1:3">
      <c r="A1123" t="s">
        <v>5864</v>
      </c>
      <c r="B1123">
        <v>52.23</v>
      </c>
      <c r="C1123">
        <v>-0.12000000000000455</v>
      </c>
    </row>
    <row r="1124" spans="1:3">
      <c r="A1124" t="s">
        <v>5868</v>
      </c>
      <c r="B1124">
        <v>52.26</v>
      </c>
      <c r="C1124">
        <v>3.0000000000001137E-2</v>
      </c>
    </row>
    <row r="1125" spans="1:3">
      <c r="A1125" t="s">
        <v>5872</v>
      </c>
      <c r="B1125">
        <v>52.2</v>
      </c>
      <c r="C1125">
        <v>-5.9999999999995168E-2</v>
      </c>
    </row>
    <row r="1126" spans="1:3">
      <c r="A1126" t="s">
        <v>5876</v>
      </c>
      <c r="B1126">
        <v>52.05</v>
      </c>
      <c r="C1126">
        <v>-0.15000000000000568</v>
      </c>
    </row>
    <row r="1127" spans="1:3">
      <c r="A1127" t="s">
        <v>5880</v>
      </c>
      <c r="B1127">
        <v>52.14</v>
      </c>
      <c r="C1127">
        <v>9.0000000000003411E-2</v>
      </c>
    </row>
    <row r="1128" spans="1:3">
      <c r="A1128" t="s">
        <v>5884</v>
      </c>
      <c r="B1128">
        <v>52.08</v>
      </c>
      <c r="C1128">
        <v>-6.0000000000002274E-2</v>
      </c>
    </row>
    <row r="1129" spans="1:3">
      <c r="A1129" t="s">
        <v>5888</v>
      </c>
      <c r="B1129">
        <v>52.14</v>
      </c>
      <c r="C1129">
        <v>6.0000000000002274E-2</v>
      </c>
    </row>
    <row r="1130" spans="1:3">
      <c r="A1130" t="s">
        <v>5892</v>
      </c>
      <c r="B1130">
        <v>51.96</v>
      </c>
      <c r="C1130">
        <v>-0.17999999999999972</v>
      </c>
    </row>
    <row r="1131" spans="1:3">
      <c r="A1131" t="s">
        <v>5896</v>
      </c>
      <c r="B1131">
        <v>51.99</v>
      </c>
      <c r="C1131">
        <v>3.0000000000001137E-2</v>
      </c>
    </row>
    <row r="1132" spans="1:3">
      <c r="A1132" t="s">
        <v>5900</v>
      </c>
      <c r="B1132">
        <v>51.93</v>
      </c>
      <c r="C1132">
        <v>-6.0000000000002274E-2</v>
      </c>
    </row>
    <row r="1133" spans="1:3">
      <c r="A1133" t="s">
        <v>5904</v>
      </c>
      <c r="B1133">
        <v>51.93</v>
      </c>
      <c r="C1133">
        <v>0</v>
      </c>
    </row>
    <row r="1134" spans="1:3">
      <c r="A1134" t="s">
        <v>5908</v>
      </c>
      <c r="B1134">
        <v>51.72</v>
      </c>
      <c r="C1134">
        <v>-0.21000000000000085</v>
      </c>
    </row>
    <row r="1135" spans="1:3">
      <c r="A1135" t="s">
        <v>5912</v>
      </c>
      <c r="B1135">
        <v>51.75</v>
      </c>
      <c r="C1135">
        <v>3.0000000000001137E-2</v>
      </c>
    </row>
    <row r="1136" spans="1:3">
      <c r="A1136" t="s">
        <v>5916</v>
      </c>
      <c r="B1136">
        <v>51.69</v>
      </c>
      <c r="C1136">
        <v>-6.0000000000002274E-2</v>
      </c>
    </row>
    <row r="1137" spans="1:3">
      <c r="A1137" t="s">
        <v>5920</v>
      </c>
      <c r="B1137">
        <v>51.72</v>
      </c>
      <c r="C1137">
        <v>3.0000000000001137E-2</v>
      </c>
    </row>
    <row r="1138" spans="1:3">
      <c r="A1138" t="s">
        <v>5924</v>
      </c>
      <c r="B1138">
        <v>51.51</v>
      </c>
      <c r="C1138">
        <v>-0.21000000000000085</v>
      </c>
    </row>
    <row r="1139" spans="1:3">
      <c r="A1139" t="s">
        <v>5928</v>
      </c>
      <c r="B1139">
        <v>51.66</v>
      </c>
      <c r="C1139">
        <v>0.14999999999999858</v>
      </c>
    </row>
    <row r="1140" spans="1:3">
      <c r="A1140" t="s">
        <v>5932</v>
      </c>
      <c r="B1140">
        <v>51.57</v>
      </c>
      <c r="C1140">
        <v>-8.9999999999996305E-2</v>
      </c>
    </row>
    <row r="1141" spans="1:3">
      <c r="A1141" t="s">
        <v>5936</v>
      </c>
      <c r="B1141">
        <v>51.45</v>
      </c>
      <c r="C1141">
        <v>-0.11999999999999744</v>
      </c>
    </row>
    <row r="1142" spans="1:3">
      <c r="A1142" t="s">
        <v>5940</v>
      </c>
      <c r="B1142">
        <v>51.54</v>
      </c>
      <c r="C1142">
        <v>8.9999999999996305E-2</v>
      </c>
    </row>
    <row r="1143" spans="1:3">
      <c r="A1143" t="s">
        <v>5944</v>
      </c>
      <c r="B1143">
        <v>51.48</v>
      </c>
      <c r="C1143">
        <v>-6.0000000000002274E-2</v>
      </c>
    </row>
    <row r="1144" spans="1:3">
      <c r="A1144" t="s">
        <v>5948</v>
      </c>
      <c r="B1144">
        <v>51.45</v>
      </c>
      <c r="C1144">
        <v>-2.9999999999994031E-2</v>
      </c>
    </row>
    <row r="1145" spans="1:3">
      <c r="A1145" t="s">
        <v>5953</v>
      </c>
      <c r="B1145">
        <v>51.36</v>
      </c>
      <c r="C1145">
        <v>-9.0000000000003411E-2</v>
      </c>
    </row>
    <row r="1146" spans="1:3">
      <c r="A1146" t="s">
        <v>5957</v>
      </c>
      <c r="B1146">
        <v>51.24</v>
      </c>
      <c r="C1146">
        <v>-0.11999999999999744</v>
      </c>
    </row>
    <row r="1147" spans="1:3">
      <c r="A1147" t="s">
        <v>5961</v>
      </c>
      <c r="B1147">
        <v>51.36</v>
      </c>
      <c r="C1147">
        <v>0.11999999999999744</v>
      </c>
    </row>
    <row r="1148" spans="1:3">
      <c r="A1148" t="s">
        <v>5965</v>
      </c>
      <c r="B1148">
        <v>51.3</v>
      </c>
      <c r="C1148">
        <v>-6.0000000000002274E-2</v>
      </c>
    </row>
    <row r="1149" spans="1:3">
      <c r="A1149" t="s">
        <v>5969</v>
      </c>
      <c r="B1149">
        <v>51.27</v>
      </c>
      <c r="C1149">
        <v>-2.9999999999994031E-2</v>
      </c>
    </row>
    <row r="1150" spans="1:3">
      <c r="A1150" t="s">
        <v>5973</v>
      </c>
      <c r="B1150">
        <v>51.18</v>
      </c>
      <c r="C1150">
        <v>-9.0000000000003411E-2</v>
      </c>
    </row>
    <row r="1151" spans="1:3">
      <c r="A1151" t="s">
        <v>5977</v>
      </c>
      <c r="B1151">
        <v>51.12</v>
      </c>
      <c r="C1151">
        <v>-6.0000000000002274E-2</v>
      </c>
    </row>
    <row r="1152" spans="1:3">
      <c r="A1152" t="s">
        <v>5981</v>
      </c>
      <c r="B1152">
        <v>51.06</v>
      </c>
      <c r="C1152">
        <v>-5.9999999999995168E-2</v>
      </c>
    </row>
    <row r="1153" spans="1:3">
      <c r="A1153" t="s">
        <v>5985</v>
      </c>
      <c r="B1153">
        <v>51.15</v>
      </c>
      <c r="C1153">
        <v>8.9999999999996305E-2</v>
      </c>
    </row>
    <row r="1154" spans="1:3">
      <c r="A1154" t="s">
        <v>5989</v>
      </c>
      <c r="B1154">
        <v>51.06</v>
      </c>
      <c r="C1154">
        <v>-8.9999999999996305E-2</v>
      </c>
    </row>
    <row r="1155" spans="1:3">
      <c r="A1155" t="s">
        <v>5993</v>
      </c>
      <c r="B1155">
        <v>51.09</v>
      </c>
      <c r="C1155">
        <v>3.0000000000001137E-2</v>
      </c>
    </row>
    <row r="1156" spans="1:3">
      <c r="A1156" t="s">
        <v>5997</v>
      </c>
      <c r="B1156">
        <v>51.06</v>
      </c>
      <c r="C1156">
        <v>-3.0000000000001137E-2</v>
      </c>
    </row>
    <row r="1157" spans="1:3">
      <c r="A1157" t="s">
        <v>6001</v>
      </c>
      <c r="B1157">
        <v>51.06</v>
      </c>
      <c r="C1157">
        <v>0</v>
      </c>
    </row>
    <row r="1158" spans="1:3">
      <c r="A1158" t="s">
        <v>6005</v>
      </c>
      <c r="B1158">
        <v>50.97</v>
      </c>
      <c r="C1158">
        <v>-9.0000000000003411E-2</v>
      </c>
    </row>
    <row r="1159" spans="1:3">
      <c r="A1159" t="s">
        <v>6009</v>
      </c>
      <c r="B1159">
        <v>51</v>
      </c>
      <c r="C1159">
        <v>3.0000000000001137E-2</v>
      </c>
    </row>
    <row r="1160" spans="1:3">
      <c r="A1160" t="s">
        <v>6013</v>
      </c>
      <c r="B1160">
        <v>50.94</v>
      </c>
      <c r="C1160">
        <v>-6.0000000000002274E-2</v>
      </c>
    </row>
    <row r="1161" spans="1:3">
      <c r="A1161" t="s">
        <v>6017</v>
      </c>
      <c r="B1161">
        <v>50.82</v>
      </c>
      <c r="C1161">
        <v>-0.11999999999999744</v>
      </c>
    </row>
    <row r="1162" spans="1:3">
      <c r="A1162" t="s">
        <v>6021</v>
      </c>
      <c r="B1162">
        <v>50.88</v>
      </c>
      <c r="C1162">
        <v>6.0000000000002274E-2</v>
      </c>
    </row>
    <row r="1163" spans="1:3">
      <c r="A1163" t="s">
        <v>6025</v>
      </c>
      <c r="B1163">
        <v>50.94</v>
      </c>
      <c r="C1163">
        <v>5.9999999999995168E-2</v>
      </c>
    </row>
    <row r="1164" spans="1:3">
      <c r="A1164" t="s">
        <v>6029</v>
      </c>
      <c r="B1164">
        <v>50.97</v>
      </c>
      <c r="C1164">
        <v>3.0000000000001137E-2</v>
      </c>
    </row>
    <row r="1165" spans="1:3">
      <c r="A1165" t="s">
        <v>6033</v>
      </c>
      <c r="B1165">
        <v>50.88</v>
      </c>
      <c r="C1165">
        <v>-8.9999999999996305E-2</v>
      </c>
    </row>
    <row r="1166" spans="1:3">
      <c r="A1166" t="s">
        <v>6037</v>
      </c>
      <c r="B1166">
        <v>50.85</v>
      </c>
      <c r="C1166">
        <v>-3.0000000000001137E-2</v>
      </c>
    </row>
    <row r="1167" spans="1:3">
      <c r="A1167" t="s">
        <v>6041</v>
      </c>
      <c r="B1167">
        <v>50.7</v>
      </c>
      <c r="C1167">
        <v>-0.14999999999999858</v>
      </c>
    </row>
    <row r="1168" spans="1:3">
      <c r="A1168" t="s">
        <v>6045</v>
      </c>
      <c r="B1168">
        <v>50.7</v>
      </c>
      <c r="C1168">
        <v>0</v>
      </c>
    </row>
    <row r="1169" spans="1:3">
      <c r="A1169" t="s">
        <v>6049</v>
      </c>
      <c r="B1169">
        <v>50.52</v>
      </c>
      <c r="C1169">
        <v>-0.17999999999999972</v>
      </c>
    </row>
    <row r="1170" spans="1:3">
      <c r="A1170" t="s">
        <v>6053</v>
      </c>
      <c r="B1170">
        <v>50.58</v>
      </c>
      <c r="C1170">
        <v>5.9999999999995168E-2</v>
      </c>
    </row>
    <row r="1171" spans="1:3">
      <c r="A1171" t="s">
        <v>6057</v>
      </c>
      <c r="B1171">
        <v>50.61</v>
      </c>
      <c r="C1171">
        <v>3.0000000000001137E-2</v>
      </c>
    </row>
    <row r="1172" spans="1:3">
      <c r="A1172" t="s">
        <v>6061</v>
      </c>
      <c r="B1172">
        <v>50.64</v>
      </c>
      <c r="C1172">
        <v>3.0000000000001137E-2</v>
      </c>
    </row>
    <row r="1173" spans="1:3">
      <c r="A1173" t="s">
        <v>6065</v>
      </c>
      <c r="B1173">
        <v>50.46</v>
      </c>
      <c r="C1173">
        <v>-0.17999999999999972</v>
      </c>
    </row>
    <row r="1174" spans="1:3">
      <c r="A1174" t="s">
        <v>6069</v>
      </c>
      <c r="B1174">
        <v>50.43</v>
      </c>
      <c r="C1174">
        <v>-3.0000000000001137E-2</v>
      </c>
    </row>
    <row r="1175" spans="1:3">
      <c r="A1175" t="s">
        <v>6073</v>
      </c>
      <c r="B1175">
        <v>50.43</v>
      </c>
      <c r="C1175">
        <v>0</v>
      </c>
    </row>
    <row r="1176" spans="1:3">
      <c r="A1176" t="s">
        <v>6077</v>
      </c>
      <c r="B1176">
        <v>50.28</v>
      </c>
      <c r="C1176">
        <v>-0.14999999999999858</v>
      </c>
    </row>
    <row r="1177" spans="1:3">
      <c r="A1177" t="s">
        <v>6081</v>
      </c>
      <c r="B1177">
        <v>50.25</v>
      </c>
      <c r="C1177">
        <v>-3.0000000000001137E-2</v>
      </c>
    </row>
    <row r="1178" spans="1:3">
      <c r="A1178" t="s">
        <v>6085</v>
      </c>
      <c r="B1178">
        <v>50.16</v>
      </c>
      <c r="C1178">
        <v>-9.0000000000003411E-2</v>
      </c>
    </row>
    <row r="1179" spans="1:3">
      <c r="A1179" t="s">
        <v>6089</v>
      </c>
      <c r="B1179">
        <v>50.25</v>
      </c>
      <c r="C1179">
        <v>9.0000000000003411E-2</v>
      </c>
    </row>
    <row r="1180" spans="1:3">
      <c r="A1180" t="s">
        <v>6093</v>
      </c>
      <c r="B1180">
        <v>50.1</v>
      </c>
      <c r="C1180">
        <v>-0.14999999999999858</v>
      </c>
    </row>
    <row r="1181" spans="1:3">
      <c r="A1181" t="s">
        <v>6097</v>
      </c>
      <c r="B1181">
        <v>50.19</v>
      </c>
      <c r="C1181">
        <v>8.9999999999996305E-2</v>
      </c>
    </row>
    <row r="1182" spans="1:3">
      <c r="A1182" t="s">
        <v>6101</v>
      </c>
      <c r="B1182">
        <v>80.849999999999994</v>
      </c>
      <c r="C1182">
        <v>30.659999999999997</v>
      </c>
    </row>
    <row r="1183" spans="1:3">
      <c r="A1183" t="s">
        <v>6110</v>
      </c>
      <c r="B1183">
        <v>81.75</v>
      </c>
      <c r="C1183">
        <v>0.90000000000000568</v>
      </c>
    </row>
    <row r="1184" spans="1:3">
      <c r="A1184" t="s">
        <v>6116</v>
      </c>
      <c r="B1184">
        <v>82.8</v>
      </c>
      <c r="C1184">
        <v>1.0499999999999972</v>
      </c>
    </row>
    <row r="1185" spans="1:3">
      <c r="A1185" t="s">
        <v>6121</v>
      </c>
      <c r="B1185">
        <v>62.79</v>
      </c>
      <c r="C1185">
        <v>-20.009999999999998</v>
      </c>
    </row>
    <row r="1186" spans="1:3">
      <c r="A1186" t="s">
        <v>6128</v>
      </c>
      <c r="B1186">
        <v>52.89</v>
      </c>
      <c r="C1186">
        <v>-9.8999999999999986</v>
      </c>
    </row>
    <row r="1187" spans="1:3">
      <c r="A1187" t="s">
        <v>6133</v>
      </c>
      <c r="B1187">
        <v>52.59</v>
      </c>
      <c r="C1187">
        <v>-0.29999999999999716</v>
      </c>
    </row>
    <row r="1188" spans="1:3">
      <c r="A1188" t="s">
        <v>6137</v>
      </c>
      <c r="B1188">
        <v>52.47</v>
      </c>
      <c r="C1188">
        <v>-0.12000000000000455</v>
      </c>
    </row>
    <row r="1189" spans="1:3">
      <c r="A1189" t="s">
        <v>6141</v>
      </c>
      <c r="B1189">
        <v>52.32</v>
      </c>
      <c r="C1189">
        <v>-0.14999999999999858</v>
      </c>
    </row>
    <row r="1190" spans="1:3">
      <c r="A1190" t="s">
        <v>6145</v>
      </c>
      <c r="B1190">
        <v>52.23</v>
      </c>
      <c r="C1190">
        <v>-9.0000000000003411E-2</v>
      </c>
    </row>
    <row r="1191" spans="1:3">
      <c r="A1191" t="s">
        <v>6149</v>
      </c>
      <c r="B1191">
        <v>52.11</v>
      </c>
      <c r="C1191">
        <v>-0.11999999999999744</v>
      </c>
    </row>
    <row r="1192" spans="1:3">
      <c r="A1192" t="s">
        <v>6153</v>
      </c>
      <c r="B1192">
        <v>51.99</v>
      </c>
      <c r="C1192">
        <v>-0.11999999999999744</v>
      </c>
    </row>
    <row r="1193" spans="1:3">
      <c r="A1193" t="s">
        <v>6157</v>
      </c>
      <c r="B1193">
        <v>51.66</v>
      </c>
      <c r="C1193">
        <v>-0.3300000000000054</v>
      </c>
    </row>
    <row r="1194" spans="1:3">
      <c r="A1194" t="s">
        <v>6161</v>
      </c>
      <c r="B1194">
        <v>51.69</v>
      </c>
      <c r="C1194">
        <v>3.0000000000001137E-2</v>
      </c>
    </row>
    <row r="1195" spans="1:3">
      <c r="A1195" t="s">
        <v>6165</v>
      </c>
      <c r="B1195">
        <v>51.6</v>
      </c>
      <c r="C1195">
        <v>-8.9999999999996305E-2</v>
      </c>
    </row>
    <row r="1196" spans="1:3">
      <c r="A1196" t="s">
        <v>6169</v>
      </c>
      <c r="B1196">
        <v>51.51</v>
      </c>
      <c r="C1196">
        <v>-9.0000000000003411E-2</v>
      </c>
    </row>
    <row r="1197" spans="1:3">
      <c r="A1197" t="s">
        <v>6173</v>
      </c>
      <c r="B1197">
        <v>51.39</v>
      </c>
      <c r="C1197">
        <v>-0.11999999999999744</v>
      </c>
    </row>
    <row r="1198" spans="1:3">
      <c r="A1198" t="s">
        <v>6177</v>
      </c>
      <c r="B1198">
        <v>51.27</v>
      </c>
      <c r="C1198">
        <v>-0.11999999999999744</v>
      </c>
    </row>
    <row r="1199" spans="1:3">
      <c r="A1199" t="s">
        <v>6181</v>
      </c>
      <c r="B1199">
        <v>51.27</v>
      </c>
      <c r="C1199">
        <v>0</v>
      </c>
    </row>
    <row r="1200" spans="1:3">
      <c r="A1200" t="s">
        <v>6185</v>
      </c>
      <c r="B1200">
        <v>51.06</v>
      </c>
      <c r="C1200">
        <v>-0.21000000000000085</v>
      </c>
    </row>
    <row r="1201" spans="1:3">
      <c r="A1201" t="s">
        <v>6189</v>
      </c>
      <c r="B1201">
        <v>50.94</v>
      </c>
      <c r="C1201">
        <v>-0.12000000000000455</v>
      </c>
    </row>
    <row r="1202" spans="1:3">
      <c r="A1202" t="s">
        <v>6193</v>
      </c>
      <c r="B1202">
        <v>50.79</v>
      </c>
      <c r="C1202">
        <v>-0.14999999999999858</v>
      </c>
    </row>
    <row r="1203" spans="1:3">
      <c r="A1203" t="s">
        <v>6197</v>
      </c>
      <c r="B1203">
        <v>50.7</v>
      </c>
      <c r="C1203">
        <v>-8.9999999999996305E-2</v>
      </c>
    </row>
    <row r="1204" spans="1:3">
      <c r="A1204" t="s">
        <v>6201</v>
      </c>
      <c r="B1204">
        <v>50.64</v>
      </c>
      <c r="C1204">
        <v>-6.0000000000002274E-2</v>
      </c>
    </row>
    <row r="1205" spans="1:3">
      <c r="A1205" t="s">
        <v>6205</v>
      </c>
      <c r="B1205">
        <v>50.31</v>
      </c>
      <c r="C1205">
        <v>-0.32999999999999829</v>
      </c>
    </row>
    <row r="1206" spans="1:3">
      <c r="A1206" t="s">
        <v>6209</v>
      </c>
      <c r="B1206">
        <v>50.19</v>
      </c>
      <c r="C1206">
        <v>-0.12000000000000455</v>
      </c>
    </row>
    <row r="1207" spans="1:3">
      <c r="A1207" t="s">
        <v>6213</v>
      </c>
      <c r="B1207">
        <v>50.19</v>
      </c>
      <c r="C1207">
        <v>0</v>
      </c>
    </row>
    <row r="1208" spans="1:3">
      <c r="A1208" t="s">
        <v>6217</v>
      </c>
      <c r="B1208">
        <v>70.05</v>
      </c>
      <c r="C1208">
        <v>19.86</v>
      </c>
    </row>
    <row r="1209" spans="1:3">
      <c r="A1209" t="s">
        <v>6225</v>
      </c>
      <c r="B1209">
        <v>81.150000000000006</v>
      </c>
      <c r="C1209">
        <v>11.100000000000009</v>
      </c>
    </row>
    <row r="1210" spans="1:3">
      <c r="A1210" t="s">
        <v>6232</v>
      </c>
      <c r="B1210">
        <v>82.38</v>
      </c>
      <c r="C1210">
        <v>1.2299999999999898</v>
      </c>
    </row>
    <row r="1211" spans="1:3">
      <c r="A1211" t="s">
        <v>6237</v>
      </c>
      <c r="B1211">
        <v>81.75</v>
      </c>
      <c r="C1211">
        <v>-0.62999999999999545</v>
      </c>
    </row>
    <row r="1212" spans="1:3">
      <c r="A1212" t="s">
        <v>6241</v>
      </c>
      <c r="B1212">
        <v>54.69</v>
      </c>
      <c r="C1212">
        <v>-27.060000000000002</v>
      </c>
    </row>
    <row r="1213" spans="1:3">
      <c r="A1213" t="s">
        <v>6248</v>
      </c>
      <c r="B1213">
        <v>52.47</v>
      </c>
      <c r="C1213">
        <v>-2.2199999999999989</v>
      </c>
    </row>
    <row r="1214" spans="1:3">
      <c r="A1214" t="s">
        <v>6252</v>
      </c>
      <c r="B1214">
        <v>52.38</v>
      </c>
      <c r="C1214">
        <v>-8.9999999999996305E-2</v>
      </c>
    </row>
    <row r="1215" spans="1:3">
      <c r="A1215" t="s">
        <v>6256</v>
      </c>
      <c r="B1215">
        <v>52.23</v>
      </c>
      <c r="C1215">
        <v>-0.15000000000000568</v>
      </c>
    </row>
    <row r="1216" spans="1:3">
      <c r="A1216" t="s">
        <v>6260</v>
      </c>
      <c r="B1216">
        <v>51.9</v>
      </c>
      <c r="C1216">
        <v>-0.32999999999999829</v>
      </c>
    </row>
    <row r="1217" spans="1:3">
      <c r="A1217" t="s">
        <v>6264</v>
      </c>
      <c r="B1217">
        <v>51.69</v>
      </c>
      <c r="C1217">
        <v>-0.21000000000000085</v>
      </c>
    </row>
    <row r="1218" spans="1:3">
      <c r="A1218" t="s">
        <v>6268</v>
      </c>
      <c r="B1218">
        <v>51.57</v>
      </c>
      <c r="C1218">
        <v>-0.11999999999999744</v>
      </c>
    </row>
    <row r="1219" spans="1:3">
      <c r="A1219" t="s">
        <v>6272</v>
      </c>
      <c r="B1219">
        <v>51.57</v>
      </c>
      <c r="C1219">
        <v>0</v>
      </c>
    </row>
    <row r="1220" spans="1:3">
      <c r="A1220" t="s">
        <v>6276</v>
      </c>
      <c r="B1220">
        <v>51.36</v>
      </c>
      <c r="C1220">
        <v>-0.21000000000000085</v>
      </c>
    </row>
    <row r="1221" spans="1:3">
      <c r="A1221" t="s">
        <v>6280</v>
      </c>
      <c r="B1221">
        <v>51.06</v>
      </c>
      <c r="C1221">
        <v>-0.29999999999999716</v>
      </c>
    </row>
    <row r="1222" spans="1:3">
      <c r="A1222" t="s">
        <v>6284</v>
      </c>
      <c r="B1222">
        <v>51.15</v>
      </c>
      <c r="C1222">
        <v>8.9999999999996305E-2</v>
      </c>
    </row>
    <row r="1223" spans="1:3">
      <c r="A1223" t="s">
        <v>6288</v>
      </c>
      <c r="B1223">
        <v>50.88</v>
      </c>
      <c r="C1223">
        <v>-0.26999999999999602</v>
      </c>
    </row>
    <row r="1224" spans="1:3">
      <c r="A1224" t="s">
        <v>6292</v>
      </c>
      <c r="B1224">
        <v>50.67</v>
      </c>
      <c r="C1224">
        <v>-0.21000000000000085</v>
      </c>
    </row>
    <row r="1225" spans="1:3">
      <c r="A1225" t="s">
        <v>6296</v>
      </c>
      <c r="B1225">
        <v>50.61</v>
      </c>
      <c r="C1225">
        <v>-6.0000000000002274E-2</v>
      </c>
    </row>
    <row r="1226" spans="1:3">
      <c r="A1226" t="s">
        <v>6300</v>
      </c>
      <c r="B1226">
        <v>50.55</v>
      </c>
      <c r="C1226">
        <v>-6.0000000000002274E-2</v>
      </c>
    </row>
    <row r="1227" spans="1:3">
      <c r="A1227" t="s">
        <v>6304</v>
      </c>
      <c r="B1227">
        <v>50.37</v>
      </c>
      <c r="C1227">
        <v>-0.17999999999999972</v>
      </c>
    </row>
    <row r="1228" spans="1:3">
      <c r="A1228" t="s">
        <v>6308</v>
      </c>
      <c r="B1228">
        <v>50.1</v>
      </c>
      <c r="C1228">
        <v>-0.26999999999999602</v>
      </c>
    </row>
    <row r="1229" spans="1:3">
      <c r="A1229" t="s">
        <v>6312</v>
      </c>
      <c r="B1229">
        <v>78.03</v>
      </c>
      <c r="C1229">
        <v>27.93</v>
      </c>
    </row>
    <row r="1230" spans="1:3">
      <c r="A1230" t="s">
        <v>6320</v>
      </c>
      <c r="B1230">
        <v>81.3</v>
      </c>
      <c r="C1230">
        <v>3.269999999999996</v>
      </c>
    </row>
    <row r="1231" spans="1:3">
      <c r="A1231" t="s">
        <v>6326</v>
      </c>
      <c r="B1231">
        <v>82.53</v>
      </c>
      <c r="C1231">
        <v>1.230000000000004</v>
      </c>
    </row>
    <row r="1232" spans="1:3">
      <c r="A1232" t="s">
        <v>6331</v>
      </c>
      <c r="B1232">
        <v>82.98</v>
      </c>
      <c r="C1232">
        <v>0.45000000000000284</v>
      </c>
    </row>
    <row r="1233" spans="1:3">
      <c r="A1233" t="s">
        <v>6336</v>
      </c>
      <c r="B1233">
        <v>53.13</v>
      </c>
      <c r="C1233">
        <v>-29.85</v>
      </c>
    </row>
    <row r="1234" spans="1:3">
      <c r="A1234" t="s">
        <v>6341</v>
      </c>
      <c r="B1234">
        <v>52.65</v>
      </c>
      <c r="C1234">
        <v>-0.48000000000000398</v>
      </c>
    </row>
    <row r="1235" spans="1:3">
      <c r="A1235" t="s">
        <v>6345</v>
      </c>
      <c r="B1235">
        <v>52.38</v>
      </c>
      <c r="C1235">
        <v>-0.26999999999999602</v>
      </c>
    </row>
    <row r="1236" spans="1:3">
      <c r="A1236" t="s">
        <v>6349</v>
      </c>
      <c r="B1236">
        <v>52.29</v>
      </c>
      <c r="C1236">
        <v>-9.0000000000003411E-2</v>
      </c>
    </row>
    <row r="1237" spans="1:3">
      <c r="A1237" t="s">
        <v>6353</v>
      </c>
      <c r="B1237">
        <v>52.23</v>
      </c>
      <c r="C1237">
        <v>-6.0000000000002274E-2</v>
      </c>
    </row>
    <row r="1238" spans="1:3">
      <c r="A1238" t="s">
        <v>6357</v>
      </c>
      <c r="B1238">
        <v>52.05</v>
      </c>
      <c r="C1238">
        <v>-0.17999999999999972</v>
      </c>
    </row>
    <row r="1239" spans="1:3">
      <c r="A1239" t="s">
        <v>6361</v>
      </c>
      <c r="B1239">
        <v>51.93</v>
      </c>
      <c r="C1239">
        <v>-0.11999999999999744</v>
      </c>
    </row>
    <row r="1240" spans="1:3">
      <c r="A1240" t="s">
        <v>6365</v>
      </c>
      <c r="B1240">
        <v>51.84</v>
      </c>
      <c r="C1240">
        <v>-8.9999999999996305E-2</v>
      </c>
    </row>
    <row r="1241" spans="1:3">
      <c r="A1241" t="s">
        <v>6369</v>
      </c>
      <c r="B1241">
        <v>51.78</v>
      </c>
      <c r="C1241">
        <v>-6.0000000000002274E-2</v>
      </c>
    </row>
    <row r="1242" spans="1:3">
      <c r="A1242" t="s">
        <v>6373</v>
      </c>
      <c r="B1242">
        <v>51.69</v>
      </c>
      <c r="C1242">
        <v>-9.0000000000003411E-2</v>
      </c>
    </row>
    <row r="1243" spans="1:3">
      <c r="A1243" t="s">
        <v>6377</v>
      </c>
      <c r="B1243">
        <v>51.42</v>
      </c>
      <c r="C1243">
        <v>-0.26999999999999602</v>
      </c>
    </row>
    <row r="1244" spans="1:3">
      <c r="A1244" t="s">
        <v>6381</v>
      </c>
      <c r="B1244">
        <v>51.42</v>
      </c>
      <c r="C1244">
        <v>0</v>
      </c>
    </row>
    <row r="1245" spans="1:3">
      <c r="A1245" t="s">
        <v>6385</v>
      </c>
      <c r="B1245">
        <v>51.3</v>
      </c>
      <c r="C1245">
        <v>-0.12000000000000455</v>
      </c>
    </row>
    <row r="1246" spans="1:3">
      <c r="A1246" t="s">
        <v>6389</v>
      </c>
      <c r="B1246">
        <v>51.24</v>
      </c>
      <c r="C1246">
        <v>-5.9999999999995168E-2</v>
      </c>
    </row>
    <row r="1247" spans="1:3">
      <c r="A1247" t="s">
        <v>6393</v>
      </c>
      <c r="B1247">
        <v>51.12</v>
      </c>
      <c r="C1247">
        <v>-0.12000000000000455</v>
      </c>
    </row>
    <row r="1248" spans="1:3">
      <c r="A1248" t="s">
        <v>6397</v>
      </c>
      <c r="B1248">
        <v>51.12</v>
      </c>
      <c r="C1248">
        <v>0</v>
      </c>
    </row>
    <row r="1249" spans="1:3">
      <c r="A1249" t="s">
        <v>6401</v>
      </c>
      <c r="B1249">
        <v>50.88</v>
      </c>
      <c r="C1249">
        <v>-0.23999999999999488</v>
      </c>
    </row>
    <row r="1250" spans="1:3">
      <c r="A1250" t="s">
        <v>6405</v>
      </c>
      <c r="B1250">
        <v>50.88</v>
      </c>
      <c r="C1250">
        <v>0</v>
      </c>
    </row>
    <row r="1251" spans="1:3">
      <c r="A1251" t="s">
        <v>6409</v>
      </c>
      <c r="B1251">
        <v>50.7</v>
      </c>
      <c r="C1251">
        <v>-0.17999999999999972</v>
      </c>
    </row>
    <row r="1252" spans="1:3">
      <c r="A1252" t="s">
        <v>6413</v>
      </c>
      <c r="B1252">
        <v>50.61</v>
      </c>
      <c r="C1252">
        <v>-9.0000000000003411E-2</v>
      </c>
    </row>
    <row r="1253" spans="1:3">
      <c r="A1253" t="s">
        <v>6417</v>
      </c>
      <c r="B1253">
        <v>50.55</v>
      </c>
      <c r="C1253">
        <v>-6.0000000000002274E-2</v>
      </c>
    </row>
    <row r="1254" spans="1:3">
      <c r="A1254" t="s">
        <v>6421</v>
      </c>
      <c r="B1254">
        <v>50.37</v>
      </c>
      <c r="C1254">
        <v>-0.17999999999999972</v>
      </c>
    </row>
    <row r="1255" spans="1:3">
      <c r="A1255" t="s">
        <v>6425</v>
      </c>
      <c r="B1255">
        <v>50.49</v>
      </c>
      <c r="C1255">
        <v>0.12000000000000455</v>
      </c>
    </row>
    <row r="1256" spans="1:3">
      <c r="A1256" t="s">
        <v>6429</v>
      </c>
      <c r="B1256">
        <v>50.25</v>
      </c>
      <c r="C1256">
        <v>-0.24000000000000199</v>
      </c>
    </row>
    <row r="1257" spans="1:3">
      <c r="A1257" t="s">
        <v>6433</v>
      </c>
      <c r="B1257">
        <v>50.25</v>
      </c>
      <c r="C1257">
        <v>0</v>
      </c>
    </row>
    <row r="1258" spans="1:3">
      <c r="A1258" t="s">
        <v>6437</v>
      </c>
      <c r="B1258">
        <v>50.07</v>
      </c>
      <c r="C1258">
        <v>-0.17999999999999972</v>
      </c>
    </row>
    <row r="1259" spans="1:3">
      <c r="A1259" t="s">
        <v>6441</v>
      </c>
      <c r="B1259">
        <v>80.73</v>
      </c>
      <c r="C1259">
        <v>30.660000000000004</v>
      </c>
    </row>
    <row r="1260" spans="1:3">
      <c r="A1260" t="s">
        <v>6447</v>
      </c>
      <c r="B1260">
        <v>82.29</v>
      </c>
      <c r="C1260">
        <v>1.5600000000000023</v>
      </c>
    </row>
    <row r="1261" spans="1:3">
      <c r="A1261" t="s">
        <v>6452</v>
      </c>
      <c r="B1261">
        <v>82.83</v>
      </c>
      <c r="C1261">
        <v>0.53999999999999204</v>
      </c>
    </row>
    <row r="1262" spans="1:3">
      <c r="A1262" t="s">
        <v>6456</v>
      </c>
      <c r="B1262">
        <v>65.58</v>
      </c>
      <c r="C1262">
        <v>-17.25</v>
      </c>
    </row>
    <row r="1263" spans="1:3">
      <c r="A1263" t="s">
        <v>6465</v>
      </c>
      <c r="B1263">
        <v>53.07</v>
      </c>
      <c r="C1263">
        <v>-12.509999999999998</v>
      </c>
    </row>
    <row r="1264" spans="1:3">
      <c r="A1264" t="s">
        <v>6469</v>
      </c>
      <c r="B1264">
        <v>52.71</v>
      </c>
      <c r="C1264">
        <v>-0.35999999999999943</v>
      </c>
    </row>
    <row r="1265" spans="1:3">
      <c r="A1265" t="s">
        <v>6473</v>
      </c>
      <c r="B1265">
        <v>52.5</v>
      </c>
      <c r="C1265">
        <v>-0.21000000000000085</v>
      </c>
    </row>
    <row r="1266" spans="1:3">
      <c r="A1266" t="s">
        <v>6477</v>
      </c>
      <c r="B1266">
        <v>52.53</v>
      </c>
      <c r="C1266">
        <v>3.0000000000001137E-2</v>
      </c>
    </row>
    <row r="1267" spans="1:3">
      <c r="A1267" t="s">
        <v>6481</v>
      </c>
      <c r="B1267">
        <v>52.47</v>
      </c>
      <c r="C1267">
        <v>-6.0000000000002274E-2</v>
      </c>
    </row>
    <row r="1268" spans="1:3">
      <c r="A1268" t="s">
        <v>6485</v>
      </c>
      <c r="B1268">
        <v>52.23</v>
      </c>
      <c r="C1268">
        <v>-0.24000000000000199</v>
      </c>
    </row>
    <row r="1269" spans="1:3">
      <c r="A1269" t="s">
        <v>6489</v>
      </c>
      <c r="B1269">
        <v>52.05</v>
      </c>
      <c r="C1269">
        <v>-0.17999999999999972</v>
      </c>
    </row>
    <row r="1270" spans="1:3">
      <c r="A1270" t="s">
        <v>6493</v>
      </c>
      <c r="B1270">
        <v>52.02</v>
      </c>
      <c r="C1270">
        <v>-2.9999999999994031E-2</v>
      </c>
    </row>
    <row r="1271" spans="1:3">
      <c r="A1271" t="s">
        <v>6497</v>
      </c>
      <c r="B1271">
        <v>51.93</v>
      </c>
      <c r="C1271">
        <v>-9.0000000000003411E-2</v>
      </c>
    </row>
    <row r="1272" spans="1:3">
      <c r="A1272" t="s">
        <v>6501</v>
      </c>
      <c r="B1272">
        <v>51.69</v>
      </c>
      <c r="C1272">
        <v>-0.24000000000000199</v>
      </c>
    </row>
    <row r="1273" spans="1:3">
      <c r="A1273" t="s">
        <v>6505</v>
      </c>
      <c r="B1273">
        <v>51.63</v>
      </c>
      <c r="C1273">
        <v>-5.9999999999995168E-2</v>
      </c>
    </row>
    <row r="1274" spans="1:3">
      <c r="A1274" t="s">
        <v>6509</v>
      </c>
      <c r="B1274">
        <v>51.57</v>
      </c>
      <c r="C1274">
        <v>-6.0000000000002274E-2</v>
      </c>
    </row>
    <row r="1275" spans="1:3">
      <c r="A1275" t="s">
        <v>6513</v>
      </c>
      <c r="B1275">
        <v>51.48</v>
      </c>
      <c r="C1275">
        <v>-9.0000000000003411E-2</v>
      </c>
    </row>
    <row r="1276" spans="1:3">
      <c r="A1276" t="s">
        <v>6517</v>
      </c>
      <c r="B1276">
        <v>51.3</v>
      </c>
      <c r="C1276">
        <v>-0.17999999999999972</v>
      </c>
    </row>
    <row r="1277" spans="1:3">
      <c r="A1277" t="s">
        <v>6521</v>
      </c>
      <c r="B1277">
        <v>51.27</v>
      </c>
      <c r="C1277">
        <v>-2.9999999999994031E-2</v>
      </c>
    </row>
    <row r="1278" spans="1:3">
      <c r="A1278" t="s">
        <v>6525</v>
      </c>
      <c r="B1278">
        <v>51.15</v>
      </c>
      <c r="C1278">
        <v>-0.12000000000000455</v>
      </c>
    </row>
    <row r="1279" spans="1:3">
      <c r="A1279" t="s">
        <v>6529</v>
      </c>
      <c r="B1279">
        <v>51.15</v>
      </c>
      <c r="C1279">
        <v>0</v>
      </c>
    </row>
    <row r="1280" spans="1:3">
      <c r="A1280" t="s">
        <v>6533</v>
      </c>
      <c r="B1280">
        <v>50.94</v>
      </c>
      <c r="C1280">
        <v>-0.21000000000000085</v>
      </c>
    </row>
    <row r="1281" spans="1:3">
      <c r="A1281" t="s">
        <v>6537</v>
      </c>
      <c r="B1281">
        <v>50.91</v>
      </c>
      <c r="C1281">
        <v>-3.0000000000001137E-2</v>
      </c>
    </row>
    <row r="1282" spans="1:3">
      <c r="A1282" t="s">
        <v>6541</v>
      </c>
      <c r="B1282">
        <v>50.73</v>
      </c>
      <c r="C1282">
        <v>-0.17999999999999972</v>
      </c>
    </row>
    <row r="1283" spans="1:3">
      <c r="A1283" t="s">
        <v>6545</v>
      </c>
      <c r="B1283">
        <v>50.79</v>
      </c>
      <c r="C1283">
        <v>6.0000000000002274E-2</v>
      </c>
    </row>
    <row r="1284" spans="1:3">
      <c r="A1284" t="s">
        <v>6549</v>
      </c>
      <c r="B1284">
        <v>50.52</v>
      </c>
      <c r="C1284">
        <v>-0.26999999999999602</v>
      </c>
    </row>
    <row r="1285" spans="1:3">
      <c r="A1285" t="s">
        <v>6553</v>
      </c>
      <c r="B1285">
        <v>50.4</v>
      </c>
      <c r="C1285">
        <v>-0.12000000000000455</v>
      </c>
    </row>
    <row r="1286" spans="1:3">
      <c r="A1286" t="s">
        <v>6557</v>
      </c>
      <c r="B1286">
        <v>50.37</v>
      </c>
      <c r="C1286">
        <v>-3.0000000000001137E-2</v>
      </c>
    </row>
    <row r="1287" spans="1:3">
      <c r="A1287" t="s">
        <v>6561</v>
      </c>
      <c r="B1287">
        <v>50.37</v>
      </c>
      <c r="C1287">
        <v>0</v>
      </c>
    </row>
    <row r="1288" spans="1:3">
      <c r="A1288" t="s">
        <v>6565</v>
      </c>
      <c r="B1288">
        <v>50.19</v>
      </c>
      <c r="C1288">
        <v>-0.17999999999999972</v>
      </c>
    </row>
    <row r="1289" spans="1:3">
      <c r="A1289" t="s">
        <v>6569</v>
      </c>
      <c r="B1289">
        <v>50.19</v>
      </c>
      <c r="C1289">
        <v>0</v>
      </c>
    </row>
    <row r="1290" spans="1:3">
      <c r="A1290" t="s">
        <v>6573</v>
      </c>
      <c r="B1290">
        <v>66.33</v>
      </c>
      <c r="C1290">
        <v>16.14</v>
      </c>
    </row>
    <row r="1291" spans="1:3">
      <c r="A1291" t="s">
        <v>6580</v>
      </c>
      <c r="B1291">
        <v>81.93</v>
      </c>
      <c r="C1291">
        <v>15.600000000000009</v>
      </c>
    </row>
    <row r="1292" spans="1:3">
      <c r="A1292" t="s">
        <v>6585</v>
      </c>
      <c r="B1292">
        <v>82.47</v>
      </c>
      <c r="C1292">
        <v>0.53999999999999204</v>
      </c>
    </row>
    <row r="1293" spans="1:3">
      <c r="A1293" t="s">
        <v>6591</v>
      </c>
      <c r="B1293">
        <v>82.83</v>
      </c>
      <c r="C1293">
        <v>0.35999999999999943</v>
      </c>
    </row>
    <row r="1294" spans="1:3">
      <c r="A1294" t="s">
        <v>6595</v>
      </c>
      <c r="B1294">
        <v>58.38</v>
      </c>
      <c r="C1294">
        <v>-24.449999999999996</v>
      </c>
    </row>
    <row r="1295" spans="1:3">
      <c r="A1295" t="s">
        <v>6603</v>
      </c>
      <c r="B1295">
        <v>52.65</v>
      </c>
      <c r="C1295">
        <v>-5.730000000000004</v>
      </c>
    </row>
    <row r="1296" spans="1:3">
      <c r="A1296" t="s">
        <v>6607</v>
      </c>
      <c r="B1296">
        <v>52.56</v>
      </c>
      <c r="C1296">
        <v>-8.9999999999996305E-2</v>
      </c>
    </row>
    <row r="1297" spans="1:3">
      <c r="A1297" t="s">
        <v>6611</v>
      </c>
      <c r="B1297">
        <v>52.53</v>
      </c>
      <c r="C1297">
        <v>-3.0000000000001137E-2</v>
      </c>
    </row>
    <row r="1298" spans="1:3">
      <c r="A1298" t="s">
        <v>6615</v>
      </c>
      <c r="B1298">
        <v>52.35</v>
      </c>
      <c r="C1298">
        <v>-0.17999999999999972</v>
      </c>
    </row>
    <row r="1299" spans="1:3">
      <c r="A1299" t="s">
        <v>6619</v>
      </c>
      <c r="B1299">
        <v>52.23</v>
      </c>
      <c r="C1299">
        <v>-0.12000000000000455</v>
      </c>
    </row>
    <row r="1300" spans="1:3">
      <c r="A1300" t="s">
        <v>6623</v>
      </c>
      <c r="B1300">
        <v>51.99</v>
      </c>
      <c r="C1300">
        <v>-0.23999999999999488</v>
      </c>
    </row>
    <row r="1301" spans="1:3">
      <c r="A1301" t="s">
        <v>6627</v>
      </c>
      <c r="B1301">
        <v>51.84</v>
      </c>
      <c r="C1301">
        <v>-0.14999999999999858</v>
      </c>
    </row>
    <row r="1302" spans="1:3">
      <c r="A1302" t="s">
        <v>6631</v>
      </c>
      <c r="B1302">
        <v>51.78</v>
      </c>
      <c r="C1302">
        <v>-6.0000000000002274E-2</v>
      </c>
    </row>
    <row r="1303" spans="1:3">
      <c r="A1303" t="s">
        <v>6635</v>
      </c>
      <c r="B1303">
        <v>51.57</v>
      </c>
      <c r="C1303">
        <v>-0.21000000000000085</v>
      </c>
    </row>
    <row r="1304" spans="1:3">
      <c r="A1304" t="s">
        <v>6639</v>
      </c>
      <c r="B1304">
        <v>51.39</v>
      </c>
      <c r="C1304">
        <v>-0.17999999999999972</v>
      </c>
    </row>
    <row r="1305" spans="1:3">
      <c r="A1305" t="s">
        <v>6643</v>
      </c>
      <c r="B1305">
        <v>51.24</v>
      </c>
      <c r="C1305">
        <v>-0.14999999999999858</v>
      </c>
    </row>
    <row r="1306" spans="1:3">
      <c r="A1306" t="s">
        <v>6647</v>
      </c>
      <c r="B1306">
        <v>51.15</v>
      </c>
      <c r="C1306">
        <v>-9.0000000000003411E-2</v>
      </c>
    </row>
    <row r="1307" spans="1:3">
      <c r="A1307" t="s">
        <v>6651</v>
      </c>
      <c r="B1307">
        <v>51</v>
      </c>
      <c r="C1307">
        <v>-0.14999999999999858</v>
      </c>
    </row>
    <row r="1308" spans="1:3">
      <c r="A1308" t="s">
        <v>6655</v>
      </c>
      <c r="B1308">
        <v>50.82</v>
      </c>
      <c r="C1308">
        <v>-0.17999999999999972</v>
      </c>
    </row>
    <row r="1309" spans="1:3">
      <c r="A1309" t="s">
        <v>6659</v>
      </c>
      <c r="B1309">
        <v>50.79</v>
      </c>
      <c r="C1309">
        <v>-3.0000000000001137E-2</v>
      </c>
    </row>
    <row r="1310" spans="1:3">
      <c r="A1310" t="s">
        <v>6663</v>
      </c>
      <c r="B1310">
        <v>50.76</v>
      </c>
      <c r="C1310">
        <v>-3.0000000000001137E-2</v>
      </c>
    </row>
    <row r="1311" spans="1:3">
      <c r="A1311" t="s">
        <v>6667</v>
      </c>
      <c r="B1311">
        <v>50.61</v>
      </c>
      <c r="C1311">
        <v>-0.14999999999999858</v>
      </c>
    </row>
    <row r="1312" spans="1:3">
      <c r="A1312" t="s">
        <v>6671</v>
      </c>
      <c r="B1312">
        <v>50.58</v>
      </c>
      <c r="C1312">
        <v>-3.0000000000001137E-2</v>
      </c>
    </row>
    <row r="1313" spans="1:3">
      <c r="A1313" t="s">
        <v>6675</v>
      </c>
      <c r="B1313">
        <v>50.4</v>
      </c>
      <c r="C1313">
        <v>-0.17999999999999972</v>
      </c>
    </row>
    <row r="1314" spans="1:3">
      <c r="A1314" t="s">
        <v>6679</v>
      </c>
      <c r="B1314">
        <v>50.25</v>
      </c>
      <c r="C1314">
        <v>-0.14999999999999858</v>
      </c>
    </row>
    <row r="1315" spans="1:3">
      <c r="A1315" t="s">
        <v>6683</v>
      </c>
      <c r="B1315">
        <v>50.28</v>
      </c>
      <c r="C1315">
        <v>3.0000000000001137E-2</v>
      </c>
    </row>
    <row r="1316" spans="1:3">
      <c r="A1316" t="s">
        <v>6687</v>
      </c>
      <c r="B1316">
        <v>50.04</v>
      </c>
      <c r="C1316">
        <v>-0.24000000000000199</v>
      </c>
    </row>
    <row r="1317" spans="1:3">
      <c r="A1317" t="s">
        <v>6691</v>
      </c>
      <c r="B1317">
        <v>50.55</v>
      </c>
      <c r="C1317">
        <v>0.50999999999999801</v>
      </c>
    </row>
    <row r="1318" spans="1:3">
      <c r="A1318" t="s">
        <v>6695</v>
      </c>
      <c r="B1318">
        <v>81.510000000000005</v>
      </c>
      <c r="C1318">
        <v>30.960000000000008</v>
      </c>
    </row>
    <row r="1319" spans="1:3">
      <c r="A1319" t="s">
        <v>6702</v>
      </c>
      <c r="B1319">
        <v>82.65</v>
      </c>
      <c r="C1319">
        <v>1.1400000000000006</v>
      </c>
    </row>
    <row r="1320" spans="1:3">
      <c r="A1320" t="s">
        <v>6707</v>
      </c>
      <c r="B1320">
        <v>83.13</v>
      </c>
      <c r="C1320">
        <v>0.47999999999998977</v>
      </c>
    </row>
    <row r="1321" spans="1:3">
      <c r="A1321" t="s">
        <v>6712</v>
      </c>
      <c r="B1321">
        <v>53.1</v>
      </c>
      <c r="C1321">
        <v>-30.029999999999994</v>
      </c>
    </row>
    <row r="1322" spans="1:3">
      <c r="A1322" t="s">
        <v>6719</v>
      </c>
      <c r="B1322">
        <v>52.68</v>
      </c>
      <c r="C1322">
        <v>-0.42000000000000171</v>
      </c>
    </row>
    <row r="1323" spans="1:3">
      <c r="A1323" t="s">
        <v>6724</v>
      </c>
      <c r="B1323">
        <v>52.53</v>
      </c>
      <c r="C1323">
        <v>-0.14999999999999858</v>
      </c>
    </row>
    <row r="1324" spans="1:3">
      <c r="A1324" t="s">
        <v>6728</v>
      </c>
      <c r="B1324">
        <v>52.47</v>
      </c>
      <c r="C1324">
        <v>-6.0000000000002274E-2</v>
      </c>
    </row>
    <row r="1325" spans="1:3">
      <c r="A1325" t="s">
        <v>6732</v>
      </c>
      <c r="B1325">
        <v>52.29</v>
      </c>
      <c r="C1325">
        <v>-0.17999999999999972</v>
      </c>
    </row>
    <row r="1326" spans="1:3">
      <c r="A1326" t="s">
        <v>6736</v>
      </c>
      <c r="B1326">
        <v>52.26</v>
      </c>
      <c r="C1326">
        <v>-3.0000000000001137E-2</v>
      </c>
    </row>
    <row r="1327" spans="1:3">
      <c r="A1327" t="s">
        <v>6740</v>
      </c>
      <c r="B1327">
        <v>51.3</v>
      </c>
      <c r="C1327">
        <v>-0.96000000000000085</v>
      </c>
    </row>
    <row r="1328" spans="1:3">
      <c r="A1328" t="s">
        <v>6744</v>
      </c>
      <c r="B1328">
        <v>51.3</v>
      </c>
      <c r="C1328">
        <v>0</v>
      </c>
    </row>
    <row r="1329" spans="1:3">
      <c r="A1329" t="s">
        <v>6748</v>
      </c>
      <c r="B1329">
        <v>51.3</v>
      </c>
      <c r="C1329">
        <v>0</v>
      </c>
    </row>
    <row r="1330" spans="1:3">
      <c r="A1330" t="s">
        <v>6752</v>
      </c>
      <c r="B1330">
        <v>51.06</v>
      </c>
      <c r="C1330">
        <v>-0.23999999999999488</v>
      </c>
    </row>
    <row r="1331" spans="1:3">
      <c r="A1331" t="s">
        <v>6756</v>
      </c>
      <c r="B1331">
        <v>51.09</v>
      </c>
      <c r="C1331">
        <v>3.0000000000001137E-2</v>
      </c>
    </row>
    <row r="1332" spans="1:3">
      <c r="A1332" t="s">
        <v>6760</v>
      </c>
      <c r="B1332">
        <v>51.03</v>
      </c>
      <c r="C1332">
        <v>-6.0000000000002274E-2</v>
      </c>
    </row>
    <row r="1333" spans="1:3">
      <c r="A1333" t="s">
        <v>6764</v>
      </c>
      <c r="B1333">
        <v>51</v>
      </c>
      <c r="C1333">
        <v>-3.0000000000001137E-2</v>
      </c>
    </row>
    <row r="1334" spans="1:3">
      <c r="A1334" t="s">
        <v>6768</v>
      </c>
      <c r="B1334">
        <v>50.79</v>
      </c>
      <c r="C1334">
        <v>-0.21000000000000085</v>
      </c>
    </row>
    <row r="1335" spans="1:3">
      <c r="A1335" t="s">
        <v>6772</v>
      </c>
      <c r="B1335">
        <v>50.91</v>
      </c>
      <c r="C1335">
        <v>0.11999999999999744</v>
      </c>
    </row>
    <row r="1336" spans="1:3">
      <c r="A1336" t="s">
        <v>6776</v>
      </c>
      <c r="B1336">
        <v>50.67</v>
      </c>
      <c r="C1336">
        <v>-0.23999999999999488</v>
      </c>
    </row>
    <row r="1337" spans="1:3">
      <c r="A1337" t="s">
        <v>6780</v>
      </c>
      <c r="B1337">
        <v>50.55</v>
      </c>
      <c r="C1337">
        <v>-0.12000000000000455</v>
      </c>
    </row>
    <row r="1338" spans="1:3">
      <c r="A1338" t="s">
        <v>6784</v>
      </c>
      <c r="B1338">
        <v>50.55</v>
      </c>
      <c r="C1338">
        <v>0</v>
      </c>
    </row>
    <row r="1339" spans="1:3">
      <c r="A1339" t="s">
        <v>6788</v>
      </c>
      <c r="B1339">
        <v>50.4</v>
      </c>
      <c r="C1339">
        <v>-0.14999999999999858</v>
      </c>
    </row>
    <row r="1340" spans="1:3">
      <c r="A1340" t="s">
        <v>6792</v>
      </c>
      <c r="B1340">
        <v>50.34</v>
      </c>
      <c r="C1340">
        <v>-5.9999999999995168E-2</v>
      </c>
    </row>
    <row r="1341" spans="1:3">
      <c r="A1341" t="s">
        <v>6796</v>
      </c>
      <c r="B1341">
        <v>50.16</v>
      </c>
      <c r="C1341">
        <v>-0.18000000000000682</v>
      </c>
    </row>
    <row r="1342" spans="1:3">
      <c r="A1342" t="s">
        <v>6800</v>
      </c>
      <c r="B1342">
        <v>50.25</v>
      </c>
      <c r="C1342">
        <v>9.0000000000003411E-2</v>
      </c>
    </row>
    <row r="1343" spans="1:3">
      <c r="A1343" t="s">
        <v>6804</v>
      </c>
      <c r="B1343">
        <v>50.22</v>
      </c>
      <c r="C1343">
        <v>-3.0000000000001137E-2</v>
      </c>
    </row>
    <row r="1344" spans="1:3">
      <c r="A1344" t="s">
        <v>6808</v>
      </c>
      <c r="B1344">
        <v>50.1</v>
      </c>
      <c r="C1344">
        <v>-0.11999999999999744</v>
      </c>
    </row>
    <row r="1345" spans="1:3">
      <c r="A1345" t="s">
        <v>6812</v>
      </c>
      <c r="B1345">
        <v>81.180000000000007</v>
      </c>
      <c r="C1345">
        <v>31.080000000000005</v>
      </c>
    </row>
    <row r="1346" spans="1:3">
      <c r="A1346" t="s">
        <v>6817</v>
      </c>
      <c r="B1346">
        <v>82.05</v>
      </c>
      <c r="C1346">
        <v>0.86999999999999034</v>
      </c>
    </row>
    <row r="1347" spans="1:3">
      <c r="A1347" t="s">
        <v>6822</v>
      </c>
      <c r="B1347">
        <v>83.01</v>
      </c>
      <c r="C1347">
        <v>0.96000000000000796</v>
      </c>
    </row>
    <row r="1348" spans="1:3">
      <c r="A1348" t="s">
        <v>6827</v>
      </c>
      <c r="B1348">
        <v>81.87</v>
      </c>
      <c r="C1348">
        <v>-1.1400000000000006</v>
      </c>
    </row>
    <row r="1349" spans="1:3">
      <c r="A1349" t="s">
        <v>6833</v>
      </c>
      <c r="B1349">
        <v>52.86</v>
      </c>
      <c r="C1349">
        <v>-29.010000000000005</v>
      </c>
    </row>
    <row r="1350" spans="1:3">
      <c r="A1350" t="s">
        <v>6837</v>
      </c>
      <c r="B1350">
        <v>52.59</v>
      </c>
      <c r="C1350">
        <v>-0.26999999999999602</v>
      </c>
    </row>
    <row r="1351" spans="1:3">
      <c r="A1351" t="s">
        <v>6841</v>
      </c>
      <c r="B1351">
        <v>52.47</v>
      </c>
      <c r="C1351">
        <v>-0.12000000000000455</v>
      </c>
    </row>
    <row r="1352" spans="1:3">
      <c r="A1352" t="s">
        <v>6847</v>
      </c>
      <c r="B1352">
        <v>52.32</v>
      </c>
      <c r="C1352">
        <v>-0.14999999999999858</v>
      </c>
    </row>
    <row r="1353" spans="1:3">
      <c r="A1353" t="s">
        <v>6851</v>
      </c>
      <c r="B1353">
        <v>52.17</v>
      </c>
      <c r="C1353">
        <v>-0.14999999999999858</v>
      </c>
    </row>
    <row r="1354" spans="1:3">
      <c r="A1354" t="s">
        <v>6855</v>
      </c>
      <c r="B1354">
        <v>52.08</v>
      </c>
      <c r="C1354">
        <v>-9.0000000000003411E-2</v>
      </c>
    </row>
    <row r="1355" spans="1:3">
      <c r="A1355" t="s">
        <v>6859</v>
      </c>
      <c r="B1355">
        <v>51.84</v>
      </c>
      <c r="C1355">
        <v>-0.23999999999999488</v>
      </c>
    </row>
    <row r="1356" spans="1:3">
      <c r="A1356" t="s">
        <v>6863</v>
      </c>
      <c r="B1356">
        <v>51.81</v>
      </c>
      <c r="C1356">
        <v>-3.0000000000001137E-2</v>
      </c>
    </row>
    <row r="1357" spans="1:3">
      <c r="A1357" t="s">
        <v>6867</v>
      </c>
      <c r="B1357">
        <v>51.6</v>
      </c>
      <c r="C1357">
        <v>-0.21000000000000085</v>
      </c>
    </row>
    <row r="1358" spans="1:3">
      <c r="A1358" t="s">
        <v>6871</v>
      </c>
      <c r="B1358">
        <v>51.54</v>
      </c>
      <c r="C1358">
        <v>-6.0000000000002274E-2</v>
      </c>
    </row>
    <row r="1359" spans="1:3">
      <c r="A1359" t="s">
        <v>6875</v>
      </c>
      <c r="B1359">
        <v>51.33</v>
      </c>
      <c r="C1359">
        <v>-0.21000000000000085</v>
      </c>
    </row>
    <row r="1360" spans="1:3">
      <c r="A1360" t="s">
        <v>6879</v>
      </c>
      <c r="B1360">
        <v>51.24</v>
      </c>
      <c r="C1360">
        <v>-8.9999999999996305E-2</v>
      </c>
    </row>
    <row r="1361" spans="1:3">
      <c r="A1361" t="s">
        <v>6883</v>
      </c>
      <c r="B1361">
        <v>51.27</v>
      </c>
      <c r="C1361">
        <v>3.0000000000001137E-2</v>
      </c>
    </row>
    <row r="1362" spans="1:3">
      <c r="A1362" t="s">
        <v>6887</v>
      </c>
      <c r="B1362">
        <v>51.12</v>
      </c>
      <c r="C1362">
        <v>-0.15000000000000568</v>
      </c>
    </row>
    <row r="1363" spans="1:3">
      <c r="A1363" t="s">
        <v>6891</v>
      </c>
      <c r="B1363">
        <v>50.88</v>
      </c>
      <c r="C1363">
        <v>-0.23999999999999488</v>
      </c>
    </row>
    <row r="1364" spans="1:3">
      <c r="A1364" t="s">
        <v>6895</v>
      </c>
      <c r="B1364">
        <v>50.82</v>
      </c>
      <c r="C1364">
        <v>-6.0000000000002274E-2</v>
      </c>
    </row>
    <row r="1365" spans="1:3">
      <c r="A1365" t="s">
        <v>6899</v>
      </c>
      <c r="B1365">
        <v>50.7</v>
      </c>
      <c r="C1365">
        <v>-0.11999999999999744</v>
      </c>
    </row>
    <row r="1366" spans="1:3">
      <c r="A1366" t="s">
        <v>6903</v>
      </c>
      <c r="B1366">
        <v>50.58</v>
      </c>
      <c r="C1366">
        <v>-0.12000000000000455</v>
      </c>
    </row>
    <row r="1367" spans="1:3">
      <c r="A1367" t="s">
        <v>6907</v>
      </c>
      <c r="B1367">
        <v>50.46</v>
      </c>
      <c r="C1367">
        <v>-0.11999999999999744</v>
      </c>
    </row>
    <row r="1368" spans="1:3">
      <c r="A1368" t="s">
        <v>6911</v>
      </c>
      <c r="B1368">
        <v>50.43</v>
      </c>
      <c r="C1368">
        <v>-3.0000000000001137E-2</v>
      </c>
    </row>
    <row r="1369" spans="1:3">
      <c r="A1369" t="s">
        <v>6917</v>
      </c>
      <c r="B1369">
        <v>50.22</v>
      </c>
      <c r="C1369">
        <v>-0.21000000000000085</v>
      </c>
    </row>
    <row r="1370" spans="1:3">
      <c r="A1370" t="s">
        <v>6922</v>
      </c>
      <c r="B1370">
        <v>50.04</v>
      </c>
      <c r="C1370">
        <v>-0.17999999999999972</v>
      </c>
    </row>
    <row r="1371" spans="1:3">
      <c r="A1371" t="s">
        <v>6928</v>
      </c>
      <c r="B1371">
        <v>50.1</v>
      </c>
      <c r="C1371">
        <v>6.0000000000002274E-2</v>
      </c>
    </row>
    <row r="1372" spans="1:3">
      <c r="A1372" t="s">
        <v>6933</v>
      </c>
      <c r="B1372">
        <v>80.58</v>
      </c>
      <c r="C1372">
        <v>30.479999999999997</v>
      </c>
    </row>
    <row r="1373" spans="1:3">
      <c r="A1373" t="s">
        <v>6940</v>
      </c>
      <c r="B1373">
        <v>82.2</v>
      </c>
      <c r="C1373">
        <v>1.6200000000000045</v>
      </c>
    </row>
    <row r="1374" spans="1:3">
      <c r="A1374" t="s">
        <v>6949</v>
      </c>
      <c r="B1374">
        <v>82.74</v>
      </c>
      <c r="C1374">
        <v>0.53999999999999204</v>
      </c>
    </row>
    <row r="1375" spans="1:3">
      <c r="A1375" t="s">
        <v>6954</v>
      </c>
      <c r="B1375">
        <v>69.540000000000006</v>
      </c>
      <c r="C1375">
        <v>-13.199999999999989</v>
      </c>
    </row>
    <row r="1376" spans="1:3">
      <c r="A1376" t="s">
        <v>6963</v>
      </c>
      <c r="B1376">
        <v>52.62</v>
      </c>
      <c r="C1376">
        <v>-16.920000000000009</v>
      </c>
    </row>
    <row r="1377" spans="1:3">
      <c r="A1377" t="s">
        <v>6967</v>
      </c>
      <c r="B1377">
        <v>52.44</v>
      </c>
      <c r="C1377">
        <v>-0.17999999999999972</v>
      </c>
    </row>
    <row r="1378" spans="1:3">
      <c r="A1378" t="s">
        <v>6971</v>
      </c>
      <c r="B1378">
        <v>52.38</v>
      </c>
      <c r="C1378">
        <v>-5.9999999999995168E-2</v>
      </c>
    </row>
    <row r="1379" spans="1:3">
      <c r="A1379" t="s">
        <v>6975</v>
      </c>
      <c r="B1379">
        <v>52.41</v>
      </c>
      <c r="C1379">
        <v>2.9999999999994031E-2</v>
      </c>
    </row>
    <row r="1380" spans="1:3">
      <c r="A1380" t="s">
        <v>6979</v>
      </c>
      <c r="B1380">
        <v>52.17</v>
      </c>
      <c r="C1380">
        <v>-0.23999999999999488</v>
      </c>
    </row>
    <row r="1381" spans="1:3">
      <c r="A1381" t="s">
        <v>6983</v>
      </c>
      <c r="B1381">
        <v>52.05</v>
      </c>
      <c r="C1381">
        <v>-0.12000000000000455</v>
      </c>
    </row>
    <row r="1382" spans="1:3">
      <c r="A1382" t="s">
        <v>6990</v>
      </c>
      <c r="B1382">
        <v>52.05</v>
      </c>
      <c r="C1382">
        <v>0</v>
      </c>
    </row>
    <row r="1383" spans="1:3">
      <c r="A1383" t="s">
        <v>6994</v>
      </c>
      <c r="B1383">
        <v>51.87</v>
      </c>
      <c r="C1383">
        <v>-0.17999999999999972</v>
      </c>
    </row>
    <row r="1384" spans="1:3">
      <c r="A1384" t="s">
        <v>6998</v>
      </c>
      <c r="B1384">
        <v>51.84</v>
      </c>
      <c r="C1384">
        <v>-2.9999999999994031E-2</v>
      </c>
    </row>
    <row r="1385" spans="1:3">
      <c r="A1385" t="s">
        <v>7002</v>
      </c>
      <c r="B1385">
        <v>51.87</v>
      </c>
      <c r="C1385">
        <v>2.9999999999994031E-2</v>
      </c>
    </row>
    <row r="1386" spans="1:3">
      <c r="A1386" t="s">
        <v>7006</v>
      </c>
      <c r="B1386">
        <v>51.69</v>
      </c>
      <c r="C1386">
        <v>-0.17999999999999972</v>
      </c>
    </row>
    <row r="1387" spans="1:3">
      <c r="A1387" t="s">
        <v>7010</v>
      </c>
      <c r="B1387">
        <v>51.66</v>
      </c>
      <c r="C1387">
        <v>-3.0000000000001137E-2</v>
      </c>
    </row>
    <row r="1388" spans="1:3">
      <c r="A1388" t="s">
        <v>7014</v>
      </c>
      <c r="B1388">
        <v>51.66</v>
      </c>
      <c r="C1388">
        <v>0</v>
      </c>
    </row>
    <row r="1389" spans="1:3">
      <c r="A1389" t="s">
        <v>7018</v>
      </c>
      <c r="B1389">
        <v>51.57</v>
      </c>
      <c r="C1389">
        <v>-8.9999999999996305E-2</v>
      </c>
    </row>
    <row r="1390" spans="1:3">
      <c r="A1390" t="s">
        <v>7022</v>
      </c>
      <c r="B1390">
        <v>51.33</v>
      </c>
      <c r="C1390">
        <v>-0.24000000000000199</v>
      </c>
    </row>
    <row r="1391" spans="1:3">
      <c r="A1391" t="s">
        <v>7026</v>
      </c>
      <c r="B1391">
        <v>51.27</v>
      </c>
      <c r="C1391">
        <v>-5.9999999999995168E-2</v>
      </c>
    </row>
    <row r="1392" spans="1:3">
      <c r="A1392" t="s">
        <v>7030</v>
      </c>
      <c r="B1392">
        <v>51.24</v>
      </c>
      <c r="C1392">
        <v>-3.0000000000001137E-2</v>
      </c>
    </row>
    <row r="1393" spans="1:3">
      <c r="A1393" t="s">
        <v>7034</v>
      </c>
      <c r="B1393">
        <v>51.09</v>
      </c>
      <c r="C1393">
        <v>-0.14999999999999858</v>
      </c>
    </row>
    <row r="1394" spans="1:3">
      <c r="A1394" t="s">
        <v>7039</v>
      </c>
      <c r="B1394">
        <v>51.09</v>
      </c>
      <c r="C1394">
        <v>0</v>
      </c>
    </row>
    <row r="1395" spans="1:3">
      <c r="A1395" t="s">
        <v>7043</v>
      </c>
      <c r="B1395">
        <v>51.03</v>
      </c>
      <c r="C1395">
        <v>-6.0000000000002274E-2</v>
      </c>
    </row>
    <row r="1396" spans="1:3">
      <c r="A1396" t="s">
        <v>7047</v>
      </c>
      <c r="B1396">
        <v>51.06</v>
      </c>
      <c r="C1396">
        <v>3.0000000000001137E-2</v>
      </c>
    </row>
    <row r="1397" spans="1:3">
      <c r="A1397" t="s">
        <v>7051</v>
      </c>
      <c r="B1397">
        <v>50.94</v>
      </c>
      <c r="C1397">
        <v>-0.12000000000000455</v>
      </c>
    </row>
    <row r="1398" spans="1:3">
      <c r="A1398" t="s">
        <v>7056</v>
      </c>
      <c r="B1398">
        <v>50.97</v>
      </c>
      <c r="C1398">
        <v>3.0000000000001137E-2</v>
      </c>
    </row>
    <row r="1399" spans="1:3">
      <c r="A1399" t="s">
        <v>7060</v>
      </c>
      <c r="B1399">
        <v>50.73</v>
      </c>
      <c r="C1399">
        <v>-0.24000000000000199</v>
      </c>
    </row>
    <row r="1400" spans="1:3">
      <c r="A1400" t="s">
        <v>7064</v>
      </c>
      <c r="B1400">
        <v>50.67</v>
      </c>
      <c r="C1400">
        <v>-5.9999999999995168E-2</v>
      </c>
    </row>
    <row r="1401" spans="1:3">
      <c r="A1401" t="s">
        <v>7069</v>
      </c>
      <c r="B1401">
        <v>50.67</v>
      </c>
      <c r="C1401">
        <v>0</v>
      </c>
    </row>
    <row r="1402" spans="1:3">
      <c r="A1402" t="s">
        <v>7073</v>
      </c>
      <c r="B1402">
        <v>50.58</v>
      </c>
      <c r="C1402">
        <v>-9.0000000000003411E-2</v>
      </c>
    </row>
    <row r="1403" spans="1:3">
      <c r="A1403" t="s">
        <v>7077</v>
      </c>
      <c r="B1403">
        <v>50.49</v>
      </c>
      <c r="C1403">
        <v>-8.9999999999996305E-2</v>
      </c>
    </row>
    <row r="1404" spans="1:3">
      <c r="A1404" t="s">
        <v>7082</v>
      </c>
      <c r="B1404">
        <v>50.52</v>
      </c>
      <c r="C1404">
        <v>3.0000000000001137E-2</v>
      </c>
    </row>
    <row r="1405" spans="1:3">
      <c r="A1405" t="s">
        <v>7087</v>
      </c>
      <c r="B1405">
        <v>50.46</v>
      </c>
      <c r="C1405">
        <v>-6.0000000000002274E-2</v>
      </c>
    </row>
    <row r="1406" spans="1:3">
      <c r="A1406" t="s">
        <v>7092</v>
      </c>
      <c r="B1406">
        <v>50.28</v>
      </c>
      <c r="C1406">
        <v>-0.17999999999999972</v>
      </c>
    </row>
    <row r="1407" spans="1:3">
      <c r="A1407" t="s">
        <v>7097</v>
      </c>
      <c r="B1407">
        <v>50.19</v>
      </c>
      <c r="C1407">
        <v>-9.0000000000003411E-2</v>
      </c>
    </row>
    <row r="1408" spans="1:3">
      <c r="A1408" t="s">
        <v>7102</v>
      </c>
      <c r="B1408">
        <v>50.22</v>
      </c>
      <c r="C1408">
        <v>3.0000000000001137E-2</v>
      </c>
    </row>
    <row r="1409" spans="1:3">
      <c r="A1409" t="s">
        <v>7106</v>
      </c>
      <c r="B1409">
        <v>50.1</v>
      </c>
      <c r="C1409">
        <v>-0.11999999999999744</v>
      </c>
    </row>
    <row r="1410" spans="1:3">
      <c r="A1410" t="s">
        <v>7110</v>
      </c>
      <c r="B1410">
        <v>53.07</v>
      </c>
      <c r="C1410">
        <v>2.9699999999999989</v>
      </c>
    </row>
    <row r="1411" spans="1:3">
      <c r="A1411" t="s">
        <v>7115</v>
      </c>
      <c r="B1411">
        <v>81.69</v>
      </c>
      <c r="C1411">
        <v>28.619999999999997</v>
      </c>
    </row>
    <row r="1412" spans="1:3">
      <c r="A1412" t="s">
        <v>7123</v>
      </c>
      <c r="B1412">
        <v>82.83</v>
      </c>
      <c r="C1412">
        <v>1.1400000000000006</v>
      </c>
    </row>
    <row r="1413" spans="1:3">
      <c r="A1413" t="s">
        <v>7130</v>
      </c>
      <c r="B1413">
        <v>83.22</v>
      </c>
      <c r="C1413">
        <v>0.39000000000000057</v>
      </c>
    </row>
    <row r="1414" spans="1:3">
      <c r="A1414" t="s">
        <v>7139</v>
      </c>
      <c r="B1414">
        <v>53.25</v>
      </c>
      <c r="C1414">
        <v>-29.97</v>
      </c>
    </row>
    <row r="1415" spans="1:3">
      <c r="A1415" t="s">
        <v>7145</v>
      </c>
      <c r="B1415">
        <v>52.77</v>
      </c>
      <c r="C1415">
        <v>-0.47999999999999687</v>
      </c>
    </row>
    <row r="1416" spans="1:3">
      <c r="A1416" t="s">
        <v>7149</v>
      </c>
      <c r="B1416">
        <v>52.65</v>
      </c>
      <c r="C1416">
        <v>-0.12000000000000455</v>
      </c>
    </row>
    <row r="1417" spans="1:3">
      <c r="A1417" t="s">
        <v>7153</v>
      </c>
      <c r="B1417">
        <v>52.59</v>
      </c>
      <c r="C1417">
        <v>-5.9999999999995168E-2</v>
      </c>
    </row>
    <row r="1418" spans="1:3">
      <c r="A1418" t="s">
        <v>7157</v>
      </c>
      <c r="B1418">
        <v>52.5</v>
      </c>
      <c r="C1418">
        <v>-9.0000000000003411E-2</v>
      </c>
    </row>
    <row r="1419" spans="1:3">
      <c r="A1419" t="s">
        <v>7161</v>
      </c>
      <c r="B1419">
        <v>52.44</v>
      </c>
      <c r="C1419">
        <v>-6.0000000000002274E-2</v>
      </c>
    </row>
    <row r="1420" spans="1:3">
      <c r="A1420" t="s">
        <v>7165</v>
      </c>
      <c r="B1420">
        <v>52.32</v>
      </c>
      <c r="C1420">
        <v>-0.11999999999999744</v>
      </c>
    </row>
    <row r="1421" spans="1:3">
      <c r="A1421" t="s">
        <v>7169</v>
      </c>
      <c r="B1421">
        <v>52.17</v>
      </c>
      <c r="C1421">
        <v>-0.14999999999999858</v>
      </c>
    </row>
    <row r="1422" spans="1:3">
      <c r="A1422" t="s">
        <v>7173</v>
      </c>
      <c r="B1422">
        <v>52.08</v>
      </c>
      <c r="C1422">
        <v>-9.0000000000003411E-2</v>
      </c>
    </row>
    <row r="1423" spans="1:3">
      <c r="A1423" t="s">
        <v>7177</v>
      </c>
      <c r="B1423">
        <v>52.02</v>
      </c>
      <c r="C1423">
        <v>-5.9999999999995168E-2</v>
      </c>
    </row>
    <row r="1424" spans="1:3">
      <c r="A1424" t="s">
        <v>7181</v>
      </c>
      <c r="B1424">
        <v>51.72</v>
      </c>
      <c r="C1424">
        <v>-0.30000000000000426</v>
      </c>
    </row>
    <row r="1425" spans="1:3">
      <c r="A1425" t="s">
        <v>7185</v>
      </c>
      <c r="B1425">
        <v>51.54</v>
      </c>
      <c r="C1425">
        <v>-0.17999999999999972</v>
      </c>
    </row>
    <row r="1426" spans="1:3">
      <c r="A1426" t="s">
        <v>7189</v>
      </c>
      <c r="B1426">
        <v>51.63</v>
      </c>
      <c r="C1426">
        <v>9.0000000000003411E-2</v>
      </c>
    </row>
    <row r="1427" spans="1:3">
      <c r="A1427" t="s">
        <v>7193</v>
      </c>
      <c r="B1427">
        <v>51.39</v>
      </c>
      <c r="C1427">
        <v>-0.24000000000000199</v>
      </c>
    </row>
    <row r="1428" spans="1:3">
      <c r="A1428" t="s">
        <v>7197</v>
      </c>
      <c r="B1428">
        <v>51.51</v>
      </c>
      <c r="C1428">
        <v>0.11999999999999744</v>
      </c>
    </row>
    <row r="1429" spans="1:3">
      <c r="A1429" t="s">
        <v>7201</v>
      </c>
      <c r="B1429">
        <v>51.3</v>
      </c>
      <c r="C1429">
        <v>-0.21000000000000085</v>
      </c>
    </row>
    <row r="1430" spans="1:3">
      <c r="A1430" t="s">
        <v>7205</v>
      </c>
      <c r="B1430">
        <v>51.18</v>
      </c>
      <c r="C1430">
        <v>-0.11999999999999744</v>
      </c>
    </row>
    <row r="1431" spans="1:3">
      <c r="A1431" t="s">
        <v>7209</v>
      </c>
      <c r="B1431">
        <v>51.18</v>
      </c>
      <c r="C1431">
        <v>0</v>
      </c>
    </row>
    <row r="1432" spans="1:3">
      <c r="A1432" t="s">
        <v>7213</v>
      </c>
      <c r="B1432">
        <v>51</v>
      </c>
      <c r="C1432">
        <v>-0.17999999999999972</v>
      </c>
    </row>
    <row r="1433" spans="1:3">
      <c r="A1433" t="s">
        <v>7217</v>
      </c>
      <c r="B1433">
        <v>50.97</v>
      </c>
      <c r="C1433">
        <v>-3.0000000000001137E-2</v>
      </c>
    </row>
    <row r="1434" spans="1:3">
      <c r="A1434" t="s">
        <v>7221</v>
      </c>
      <c r="B1434">
        <v>50.82</v>
      </c>
      <c r="C1434">
        <v>-0.14999999999999858</v>
      </c>
    </row>
    <row r="1435" spans="1:3">
      <c r="A1435" t="s">
        <v>7225</v>
      </c>
      <c r="B1435">
        <v>50.7</v>
      </c>
      <c r="C1435">
        <v>-0.11999999999999744</v>
      </c>
    </row>
    <row r="1436" spans="1:3">
      <c r="A1436" t="s">
        <v>7229</v>
      </c>
      <c r="B1436">
        <v>50.61</v>
      </c>
      <c r="C1436">
        <v>-9.0000000000003411E-2</v>
      </c>
    </row>
    <row r="1437" spans="1:3">
      <c r="A1437" t="s">
        <v>7233</v>
      </c>
      <c r="B1437">
        <v>50.46</v>
      </c>
      <c r="C1437">
        <v>-0.14999999999999858</v>
      </c>
    </row>
    <row r="1438" spans="1:3">
      <c r="A1438" t="s">
        <v>7237</v>
      </c>
      <c r="B1438">
        <v>50.55</v>
      </c>
      <c r="C1438">
        <v>8.9999999999996305E-2</v>
      </c>
    </row>
    <row r="1439" spans="1:3">
      <c r="A1439" t="s">
        <v>7241</v>
      </c>
      <c r="B1439">
        <v>50.28</v>
      </c>
      <c r="C1439">
        <v>-0.26999999999999602</v>
      </c>
    </row>
    <row r="1440" spans="1:3">
      <c r="A1440" t="s">
        <v>7246</v>
      </c>
      <c r="B1440">
        <v>50.1</v>
      </c>
      <c r="C1440">
        <v>-0.17999999999999972</v>
      </c>
    </row>
    <row r="1441" spans="1:3">
      <c r="A1441" t="s">
        <v>7252</v>
      </c>
      <c r="B1441">
        <v>50.07</v>
      </c>
      <c r="C1441">
        <v>-3.0000000000001137E-2</v>
      </c>
    </row>
    <row r="1442" spans="1:3">
      <c r="A1442" t="s">
        <v>7257</v>
      </c>
      <c r="B1442">
        <v>64.38</v>
      </c>
      <c r="C1442">
        <v>14.309999999999995</v>
      </c>
    </row>
    <row r="1443" spans="1:3">
      <c r="A1443" t="s">
        <v>7266</v>
      </c>
      <c r="B1443">
        <v>81.87</v>
      </c>
      <c r="C1443">
        <v>17.490000000000009</v>
      </c>
    </row>
    <row r="1444" spans="1:3">
      <c r="A1444" t="s">
        <v>7273</v>
      </c>
      <c r="B1444">
        <v>82.5</v>
      </c>
      <c r="C1444">
        <v>0.62999999999999545</v>
      </c>
    </row>
    <row r="1445" spans="1:3">
      <c r="A1445" t="s">
        <v>7279</v>
      </c>
      <c r="B1445">
        <v>83.07</v>
      </c>
      <c r="C1445">
        <v>0.56999999999999318</v>
      </c>
    </row>
    <row r="1446" spans="1:3">
      <c r="A1446" t="s">
        <v>7287</v>
      </c>
      <c r="B1446">
        <v>59.82</v>
      </c>
      <c r="C1446">
        <v>-23.249999999999993</v>
      </c>
    </row>
    <row r="1447" spans="1:3">
      <c r="A1447" t="s">
        <v>7296</v>
      </c>
      <c r="B1447">
        <v>52.68</v>
      </c>
      <c r="C1447">
        <v>-7.1400000000000006</v>
      </c>
    </row>
    <row r="1448" spans="1:3">
      <c r="A1448" t="s">
        <v>7301</v>
      </c>
      <c r="B1448">
        <v>52.53</v>
      </c>
      <c r="C1448">
        <v>-0.14999999999999858</v>
      </c>
    </row>
    <row r="1449" spans="1:3">
      <c r="A1449" t="s">
        <v>7305</v>
      </c>
      <c r="B1449">
        <v>52.38</v>
      </c>
      <c r="C1449">
        <v>-0.14999999999999858</v>
      </c>
    </row>
    <row r="1450" spans="1:3">
      <c r="A1450" t="s">
        <v>7309</v>
      </c>
      <c r="B1450">
        <v>52.35</v>
      </c>
      <c r="C1450">
        <v>-3.0000000000001137E-2</v>
      </c>
    </row>
    <row r="1451" spans="1:3">
      <c r="A1451" t="s">
        <v>7313</v>
      </c>
      <c r="B1451">
        <v>52.2</v>
      </c>
      <c r="C1451">
        <v>-0.14999999999999858</v>
      </c>
    </row>
    <row r="1452" spans="1:3">
      <c r="A1452" t="s">
        <v>7317</v>
      </c>
      <c r="B1452">
        <v>52.14</v>
      </c>
      <c r="C1452">
        <v>-6.0000000000002274E-2</v>
      </c>
    </row>
    <row r="1453" spans="1:3">
      <c r="A1453" t="s">
        <v>7321</v>
      </c>
      <c r="B1453">
        <v>52.02</v>
      </c>
      <c r="C1453">
        <v>-0.11999999999999744</v>
      </c>
    </row>
    <row r="1454" spans="1:3">
      <c r="A1454" t="s">
        <v>7325</v>
      </c>
      <c r="B1454">
        <v>51.96</v>
      </c>
      <c r="C1454">
        <v>-6.0000000000002274E-2</v>
      </c>
    </row>
    <row r="1455" spans="1:3">
      <c r="A1455" t="s">
        <v>7329</v>
      </c>
      <c r="B1455">
        <v>51.81</v>
      </c>
      <c r="C1455">
        <v>-0.14999999999999858</v>
      </c>
    </row>
    <row r="1456" spans="1:3">
      <c r="A1456" t="s">
        <v>7333</v>
      </c>
      <c r="B1456">
        <v>51.81</v>
      </c>
      <c r="C1456">
        <v>0</v>
      </c>
    </row>
    <row r="1457" spans="1:3">
      <c r="A1457" t="s">
        <v>7337</v>
      </c>
      <c r="B1457">
        <v>51.72</v>
      </c>
      <c r="C1457">
        <v>-9.0000000000003411E-2</v>
      </c>
    </row>
    <row r="1458" spans="1:3">
      <c r="A1458" t="s">
        <v>7341</v>
      </c>
      <c r="B1458">
        <v>51.54</v>
      </c>
      <c r="C1458">
        <v>-0.17999999999999972</v>
      </c>
    </row>
    <row r="1459" spans="1:3">
      <c r="A1459" t="s">
        <v>7345</v>
      </c>
      <c r="B1459">
        <v>51.51</v>
      </c>
      <c r="C1459">
        <v>-3.0000000000001137E-2</v>
      </c>
    </row>
    <row r="1460" spans="1:3">
      <c r="A1460" t="s">
        <v>7349</v>
      </c>
      <c r="B1460">
        <v>51.24</v>
      </c>
      <c r="C1460">
        <v>-0.26999999999999602</v>
      </c>
    </row>
    <row r="1461" spans="1:3">
      <c r="A1461" t="s">
        <v>7353</v>
      </c>
      <c r="B1461">
        <v>51.3</v>
      </c>
      <c r="C1461">
        <v>5.9999999999995168E-2</v>
      </c>
    </row>
    <row r="1462" spans="1:3">
      <c r="A1462" t="s">
        <v>7357</v>
      </c>
      <c r="B1462">
        <v>51.12</v>
      </c>
      <c r="C1462">
        <v>-0.17999999999999972</v>
      </c>
    </row>
    <row r="1463" spans="1:3">
      <c r="A1463" t="s">
        <v>7361</v>
      </c>
      <c r="B1463">
        <v>51.06</v>
      </c>
      <c r="C1463">
        <v>-5.9999999999995168E-2</v>
      </c>
    </row>
    <row r="1464" spans="1:3">
      <c r="A1464" t="s">
        <v>7365</v>
      </c>
      <c r="B1464">
        <v>51</v>
      </c>
      <c r="C1464">
        <v>-6.0000000000002274E-2</v>
      </c>
    </row>
    <row r="1465" spans="1:3">
      <c r="A1465" t="s">
        <v>7369</v>
      </c>
      <c r="B1465">
        <v>50.85</v>
      </c>
      <c r="C1465">
        <v>-0.14999999999999858</v>
      </c>
    </row>
    <row r="1466" spans="1:3">
      <c r="A1466" t="s">
        <v>7373</v>
      </c>
      <c r="B1466">
        <v>50.82</v>
      </c>
      <c r="C1466">
        <v>-3.0000000000001137E-2</v>
      </c>
    </row>
    <row r="1467" spans="1:3">
      <c r="A1467" t="s">
        <v>7377</v>
      </c>
      <c r="B1467">
        <v>50.79</v>
      </c>
      <c r="C1467">
        <v>-3.0000000000001137E-2</v>
      </c>
    </row>
    <row r="1468" spans="1:3">
      <c r="A1468" t="s">
        <v>7381</v>
      </c>
      <c r="B1468">
        <v>50.76</v>
      </c>
      <c r="C1468">
        <v>-3.0000000000001137E-2</v>
      </c>
    </row>
    <row r="1469" spans="1:3">
      <c r="A1469" t="s">
        <v>7385</v>
      </c>
      <c r="B1469">
        <v>50.67</v>
      </c>
      <c r="C1469">
        <v>-8.9999999999996305E-2</v>
      </c>
    </row>
    <row r="1470" spans="1:3">
      <c r="A1470" t="s">
        <v>7389</v>
      </c>
      <c r="B1470">
        <v>50.55</v>
      </c>
      <c r="C1470">
        <v>-0.12000000000000455</v>
      </c>
    </row>
    <row r="1471" spans="1:3">
      <c r="A1471" t="s">
        <v>7393</v>
      </c>
      <c r="B1471">
        <v>50.4</v>
      </c>
      <c r="C1471">
        <v>-0.14999999999999858</v>
      </c>
    </row>
    <row r="1472" spans="1:3">
      <c r="A1472" t="s">
        <v>7397</v>
      </c>
      <c r="B1472">
        <v>50.46</v>
      </c>
      <c r="C1472">
        <v>6.0000000000002274E-2</v>
      </c>
    </row>
    <row r="1473" spans="1:3">
      <c r="A1473" t="s">
        <v>7401</v>
      </c>
      <c r="B1473">
        <v>50.37</v>
      </c>
      <c r="C1473">
        <v>-9.0000000000003411E-2</v>
      </c>
    </row>
    <row r="1474" spans="1:3">
      <c r="A1474" t="s">
        <v>7405</v>
      </c>
      <c r="B1474">
        <v>50.34</v>
      </c>
      <c r="C1474">
        <v>-2.9999999999994031E-2</v>
      </c>
    </row>
    <row r="1475" spans="1:3">
      <c r="A1475" t="s">
        <v>7409</v>
      </c>
      <c r="B1475">
        <v>50.31</v>
      </c>
      <c r="C1475">
        <v>-3.0000000000001137E-2</v>
      </c>
    </row>
    <row r="1476" spans="1:3">
      <c r="A1476" t="s">
        <v>7413</v>
      </c>
      <c r="B1476">
        <v>50.25</v>
      </c>
      <c r="C1476">
        <v>-6.0000000000002274E-2</v>
      </c>
    </row>
    <row r="1477" spans="1:3">
      <c r="A1477" t="s">
        <v>7417</v>
      </c>
      <c r="B1477">
        <v>50.16</v>
      </c>
      <c r="C1477">
        <v>-9.0000000000003411E-2</v>
      </c>
    </row>
    <row r="1478" spans="1:3">
      <c r="A1478" t="s">
        <v>7421</v>
      </c>
      <c r="B1478">
        <v>50.13</v>
      </c>
      <c r="C1478">
        <v>-2.9999999999994031E-2</v>
      </c>
    </row>
    <row r="1479" spans="1:3">
      <c r="A1479" t="s">
        <v>7425</v>
      </c>
      <c r="B1479">
        <v>76.05</v>
      </c>
      <c r="C1479">
        <v>25.919999999999995</v>
      </c>
    </row>
    <row r="1480" spans="1:3">
      <c r="A1480" t="s">
        <v>7432</v>
      </c>
      <c r="B1480">
        <v>81.36</v>
      </c>
      <c r="C1480">
        <v>5.3100000000000023</v>
      </c>
    </row>
    <row r="1481" spans="1:3">
      <c r="A1481" t="s">
        <v>7437</v>
      </c>
      <c r="B1481">
        <v>82.59</v>
      </c>
      <c r="C1481">
        <v>1.230000000000004</v>
      </c>
    </row>
    <row r="1482" spans="1:3">
      <c r="A1482" t="s">
        <v>7441</v>
      </c>
      <c r="B1482">
        <v>83.07</v>
      </c>
      <c r="C1482">
        <v>0.47999999999998977</v>
      </c>
    </row>
    <row r="1483" spans="1:3">
      <c r="A1483" t="s">
        <v>7448</v>
      </c>
      <c r="B1483">
        <v>53.16</v>
      </c>
      <c r="C1483">
        <v>-29.909999999999997</v>
      </c>
    </row>
    <row r="1484" spans="1:3">
      <c r="A1484" t="s">
        <v>7453</v>
      </c>
      <c r="B1484">
        <v>52.5</v>
      </c>
      <c r="C1484">
        <v>-0.65999999999999659</v>
      </c>
    </row>
    <row r="1485" spans="1:3">
      <c r="A1485" t="s">
        <v>7457</v>
      </c>
      <c r="B1485">
        <v>52.59</v>
      </c>
      <c r="C1485">
        <v>9.0000000000003411E-2</v>
      </c>
    </row>
    <row r="1486" spans="1:3">
      <c r="A1486" t="s">
        <v>7461</v>
      </c>
      <c r="B1486">
        <v>52.26</v>
      </c>
      <c r="C1486">
        <v>-0.3300000000000054</v>
      </c>
    </row>
    <row r="1487" spans="1:3">
      <c r="A1487" t="s">
        <v>7465</v>
      </c>
      <c r="B1487">
        <v>52.26</v>
      </c>
      <c r="C1487">
        <v>0</v>
      </c>
    </row>
    <row r="1488" spans="1:3">
      <c r="A1488" t="s">
        <v>7469</v>
      </c>
      <c r="B1488">
        <v>52.05</v>
      </c>
      <c r="C1488">
        <v>-0.21000000000000085</v>
      </c>
    </row>
    <row r="1489" spans="1:3">
      <c r="A1489" t="s">
        <v>7473</v>
      </c>
      <c r="B1489">
        <v>52.08</v>
      </c>
      <c r="C1489">
        <v>3.0000000000001137E-2</v>
      </c>
    </row>
    <row r="1490" spans="1:3">
      <c r="A1490" t="s">
        <v>7477</v>
      </c>
      <c r="B1490">
        <v>51.81</v>
      </c>
      <c r="C1490">
        <v>-0.26999999999999602</v>
      </c>
    </row>
    <row r="1491" spans="1:3">
      <c r="A1491" t="s">
        <v>7481</v>
      </c>
      <c r="B1491">
        <v>51.66</v>
      </c>
      <c r="C1491">
        <v>-0.15000000000000568</v>
      </c>
    </row>
    <row r="1492" spans="1:3">
      <c r="A1492" t="s">
        <v>7485</v>
      </c>
      <c r="B1492">
        <v>51.57</v>
      </c>
      <c r="C1492">
        <v>-8.9999999999996305E-2</v>
      </c>
    </row>
    <row r="1493" spans="1:3">
      <c r="A1493" t="s">
        <v>7489</v>
      </c>
      <c r="B1493">
        <v>51.48</v>
      </c>
      <c r="C1493">
        <v>-9.0000000000003411E-2</v>
      </c>
    </row>
    <row r="1494" spans="1:3">
      <c r="A1494" t="s">
        <v>7493</v>
      </c>
      <c r="B1494">
        <v>51.33</v>
      </c>
      <c r="C1494">
        <v>-0.14999999999999858</v>
      </c>
    </row>
    <row r="1495" spans="1:3">
      <c r="A1495" t="s">
        <v>7497</v>
      </c>
      <c r="B1495">
        <v>51.3</v>
      </c>
      <c r="C1495">
        <v>-3.0000000000001137E-2</v>
      </c>
    </row>
    <row r="1496" spans="1:3">
      <c r="A1496" t="s">
        <v>7501</v>
      </c>
      <c r="B1496">
        <v>51.15</v>
      </c>
      <c r="C1496">
        <v>-0.14999999999999858</v>
      </c>
    </row>
    <row r="1497" spans="1:3">
      <c r="A1497" t="s">
        <v>7505</v>
      </c>
      <c r="B1497">
        <v>51.03</v>
      </c>
      <c r="C1497">
        <v>-0.11999999999999744</v>
      </c>
    </row>
    <row r="1498" spans="1:3">
      <c r="A1498" t="s">
        <v>7509</v>
      </c>
      <c r="B1498">
        <v>50.97</v>
      </c>
      <c r="C1498">
        <v>-6.0000000000002274E-2</v>
      </c>
    </row>
    <row r="1499" spans="1:3">
      <c r="A1499" t="s">
        <v>7513</v>
      </c>
      <c r="B1499">
        <v>50.88</v>
      </c>
      <c r="C1499">
        <v>-8.9999999999996305E-2</v>
      </c>
    </row>
    <row r="1500" spans="1:3">
      <c r="A1500" t="s">
        <v>7517</v>
      </c>
      <c r="B1500">
        <v>50.79</v>
      </c>
      <c r="C1500">
        <v>-9.0000000000003411E-2</v>
      </c>
    </row>
    <row r="1501" spans="1:3">
      <c r="A1501" t="s">
        <v>7521</v>
      </c>
      <c r="B1501">
        <v>50.55</v>
      </c>
      <c r="C1501">
        <v>-0.24000000000000199</v>
      </c>
    </row>
    <row r="1502" spans="1:3">
      <c r="A1502" t="s">
        <v>7525</v>
      </c>
      <c r="B1502">
        <v>50.46</v>
      </c>
      <c r="C1502">
        <v>-8.9999999999996305E-2</v>
      </c>
    </row>
    <row r="1503" spans="1:3">
      <c r="A1503" t="s">
        <v>7529</v>
      </c>
      <c r="B1503">
        <v>50.43</v>
      </c>
      <c r="C1503">
        <v>-3.0000000000001137E-2</v>
      </c>
    </row>
    <row r="1504" spans="1:3">
      <c r="A1504" t="s">
        <v>7533</v>
      </c>
      <c r="B1504">
        <v>50.31</v>
      </c>
      <c r="C1504">
        <v>-0.11999999999999744</v>
      </c>
    </row>
    <row r="1505" spans="1:3">
      <c r="A1505" t="s">
        <v>7537</v>
      </c>
      <c r="B1505">
        <v>50.31</v>
      </c>
      <c r="C1505">
        <v>0</v>
      </c>
    </row>
    <row r="1506" spans="1:3">
      <c r="A1506" t="s">
        <v>7541</v>
      </c>
      <c r="B1506">
        <v>50.1</v>
      </c>
      <c r="C1506">
        <v>-0.21000000000000085</v>
      </c>
    </row>
    <row r="1507" spans="1:3">
      <c r="A1507" t="s">
        <v>7545</v>
      </c>
      <c r="B1507">
        <v>70.92</v>
      </c>
      <c r="C1507">
        <v>20.82</v>
      </c>
    </row>
    <row r="1508" spans="1:3">
      <c r="A1508" t="s">
        <v>7552</v>
      </c>
      <c r="B1508">
        <v>81.3</v>
      </c>
      <c r="C1508">
        <v>10.379999999999995</v>
      </c>
    </row>
    <row r="1509" spans="1:3">
      <c r="A1509" t="s">
        <v>7559</v>
      </c>
      <c r="B1509">
        <v>82.59</v>
      </c>
      <c r="C1509">
        <v>1.2900000000000063</v>
      </c>
    </row>
    <row r="1510" spans="1:3">
      <c r="A1510" t="s">
        <v>7563</v>
      </c>
      <c r="B1510">
        <v>81.69</v>
      </c>
      <c r="C1510">
        <v>-0.90000000000000568</v>
      </c>
    </row>
    <row r="1511" spans="1:3">
      <c r="A1511" t="s">
        <v>7569</v>
      </c>
      <c r="B1511">
        <v>54.24</v>
      </c>
      <c r="C1511">
        <v>-27.449999999999996</v>
      </c>
    </row>
    <row r="1512" spans="1:3">
      <c r="A1512" t="s">
        <v>7576</v>
      </c>
      <c r="B1512">
        <v>52.8</v>
      </c>
      <c r="C1512">
        <v>-1.4400000000000048</v>
      </c>
    </row>
    <row r="1513" spans="1:3">
      <c r="A1513" t="s">
        <v>7581</v>
      </c>
      <c r="B1513">
        <v>52.62</v>
      </c>
      <c r="C1513">
        <v>-0.17999999999999972</v>
      </c>
    </row>
    <row r="1514" spans="1:3">
      <c r="A1514" t="s">
        <v>7585</v>
      </c>
      <c r="B1514">
        <v>52.47</v>
      </c>
      <c r="C1514">
        <v>-0.14999999999999858</v>
      </c>
    </row>
    <row r="1515" spans="1:3">
      <c r="A1515" t="s">
        <v>7589</v>
      </c>
      <c r="B1515">
        <v>52.23</v>
      </c>
      <c r="C1515">
        <v>-0.24000000000000199</v>
      </c>
    </row>
    <row r="1516" spans="1:3">
      <c r="A1516" t="s">
        <v>7593</v>
      </c>
      <c r="B1516">
        <v>52.11</v>
      </c>
      <c r="C1516">
        <v>-0.11999999999999744</v>
      </c>
    </row>
    <row r="1517" spans="1:3">
      <c r="A1517" t="s">
        <v>7597</v>
      </c>
      <c r="B1517">
        <v>51.96</v>
      </c>
      <c r="C1517">
        <v>-0.14999999999999858</v>
      </c>
    </row>
    <row r="1518" spans="1:3">
      <c r="A1518" t="s">
        <v>7601</v>
      </c>
      <c r="B1518">
        <v>51.84</v>
      </c>
      <c r="C1518">
        <v>-0.11999999999999744</v>
      </c>
    </row>
    <row r="1519" spans="1:3">
      <c r="A1519" t="s">
        <v>7605</v>
      </c>
      <c r="B1519">
        <v>51.75</v>
      </c>
      <c r="C1519">
        <v>-9.0000000000003411E-2</v>
      </c>
    </row>
    <row r="1520" spans="1:3">
      <c r="A1520" t="s">
        <v>7609</v>
      </c>
      <c r="B1520">
        <v>51.66</v>
      </c>
      <c r="C1520">
        <v>-9.0000000000003411E-2</v>
      </c>
    </row>
    <row r="1521" spans="1:3">
      <c r="A1521" t="s">
        <v>7613</v>
      </c>
      <c r="B1521">
        <v>51.69</v>
      </c>
      <c r="C1521">
        <v>3.0000000000001137E-2</v>
      </c>
    </row>
    <row r="1522" spans="1:3">
      <c r="A1522" t="s">
        <v>7617</v>
      </c>
      <c r="B1522">
        <v>51.63</v>
      </c>
      <c r="C1522">
        <v>-5.9999999999995168E-2</v>
      </c>
    </row>
    <row r="1523" spans="1:3">
      <c r="A1523" t="s">
        <v>7621</v>
      </c>
      <c r="B1523">
        <v>51.39</v>
      </c>
      <c r="C1523">
        <v>-0.24000000000000199</v>
      </c>
    </row>
    <row r="1524" spans="1:3">
      <c r="A1524" t="s">
        <v>7625</v>
      </c>
      <c r="B1524">
        <v>51.39</v>
      </c>
      <c r="C1524">
        <v>0</v>
      </c>
    </row>
    <row r="1525" spans="1:3">
      <c r="A1525" t="s">
        <v>7629</v>
      </c>
      <c r="B1525">
        <v>51.21</v>
      </c>
      <c r="C1525">
        <v>-0.17999999999999972</v>
      </c>
    </row>
    <row r="1526" spans="1:3">
      <c r="A1526" t="s">
        <v>7633</v>
      </c>
      <c r="B1526">
        <v>51.12</v>
      </c>
      <c r="C1526">
        <v>-9.0000000000003411E-2</v>
      </c>
    </row>
    <row r="1527" spans="1:3">
      <c r="A1527" t="s">
        <v>7637</v>
      </c>
      <c r="B1527">
        <v>51.03</v>
      </c>
      <c r="C1527">
        <v>-8.9999999999996305E-2</v>
      </c>
    </row>
    <row r="1528" spans="1:3">
      <c r="A1528" t="s">
        <v>7641</v>
      </c>
      <c r="B1528">
        <v>50.82</v>
      </c>
      <c r="C1528">
        <v>-0.21000000000000085</v>
      </c>
    </row>
    <row r="1529" spans="1:3">
      <c r="A1529" t="s">
        <v>7645</v>
      </c>
      <c r="B1529">
        <v>50.82</v>
      </c>
      <c r="C1529">
        <v>0</v>
      </c>
    </row>
    <row r="1530" spans="1:3">
      <c r="A1530" t="s">
        <v>7649</v>
      </c>
      <c r="B1530">
        <v>50.64</v>
      </c>
      <c r="C1530">
        <v>-0.17999999999999972</v>
      </c>
    </row>
    <row r="1531" spans="1:3">
      <c r="A1531" t="s">
        <v>7653</v>
      </c>
      <c r="B1531">
        <v>50.64</v>
      </c>
      <c r="C1531">
        <v>0</v>
      </c>
    </row>
    <row r="1532" spans="1:3">
      <c r="A1532" t="s">
        <v>7657</v>
      </c>
      <c r="B1532">
        <v>50.58</v>
      </c>
      <c r="C1532">
        <v>-6.0000000000002274E-2</v>
      </c>
    </row>
    <row r="1533" spans="1:3">
      <c r="A1533" t="s">
        <v>7661</v>
      </c>
      <c r="B1533">
        <v>50.34</v>
      </c>
      <c r="C1533">
        <v>-0.23999999999999488</v>
      </c>
    </row>
    <row r="1534" spans="1:3">
      <c r="A1534" t="s">
        <v>7665</v>
      </c>
      <c r="B1534">
        <v>50.28</v>
      </c>
      <c r="C1534">
        <v>-6.0000000000002274E-2</v>
      </c>
    </row>
    <row r="1535" spans="1:3">
      <c r="A1535" t="s">
        <v>7669</v>
      </c>
      <c r="B1535">
        <v>50.31</v>
      </c>
      <c r="C1535">
        <v>3.0000000000001137E-2</v>
      </c>
    </row>
    <row r="1536" spans="1:3">
      <c r="A1536" t="s">
        <v>7673</v>
      </c>
      <c r="B1536">
        <v>50.19</v>
      </c>
      <c r="C1536">
        <v>-0.12000000000000455</v>
      </c>
    </row>
    <row r="1537" spans="1:3">
      <c r="A1537" t="s">
        <v>7677</v>
      </c>
      <c r="B1537">
        <v>50.1</v>
      </c>
      <c r="C1537">
        <v>-8.9999999999996305E-2</v>
      </c>
    </row>
    <row r="1538" spans="1:3">
      <c r="A1538" t="s">
        <v>7681</v>
      </c>
      <c r="B1538">
        <v>81.06</v>
      </c>
      <c r="C1538">
        <v>30.96</v>
      </c>
    </row>
    <row r="1539" spans="1:3">
      <c r="A1539" t="s">
        <v>7687</v>
      </c>
      <c r="B1539">
        <v>81.96</v>
      </c>
      <c r="C1539">
        <v>0.89999999999999147</v>
      </c>
    </row>
    <row r="1540" spans="1:3">
      <c r="A1540" t="s">
        <v>7691</v>
      </c>
      <c r="B1540">
        <v>82.92</v>
      </c>
      <c r="C1540">
        <v>0.96000000000000796</v>
      </c>
    </row>
    <row r="1541" spans="1:3">
      <c r="A1541" t="s">
        <v>7697</v>
      </c>
      <c r="B1541">
        <v>59.61</v>
      </c>
      <c r="C1541">
        <v>-23.310000000000002</v>
      </c>
    </row>
    <row r="1542" spans="1:3">
      <c r="A1542" t="s">
        <v>7704</v>
      </c>
      <c r="B1542">
        <v>52.95</v>
      </c>
      <c r="C1542">
        <v>-6.6599999999999966</v>
      </c>
    </row>
    <row r="1543" spans="1:3">
      <c r="A1543" t="s">
        <v>7708</v>
      </c>
      <c r="B1543">
        <v>52.71</v>
      </c>
      <c r="C1543">
        <v>-0.24000000000000199</v>
      </c>
    </row>
    <row r="1544" spans="1:3">
      <c r="A1544" t="s">
        <v>7712</v>
      </c>
      <c r="B1544">
        <v>52.59</v>
      </c>
      <c r="C1544">
        <v>-0.11999999999999744</v>
      </c>
    </row>
    <row r="1545" spans="1:3">
      <c r="A1545" t="s">
        <v>7716</v>
      </c>
      <c r="B1545">
        <v>52.32</v>
      </c>
      <c r="C1545">
        <v>-0.27000000000000313</v>
      </c>
    </row>
    <row r="1546" spans="1:3">
      <c r="A1546" t="s">
        <v>7720</v>
      </c>
      <c r="B1546">
        <v>52.26</v>
      </c>
      <c r="C1546">
        <v>-6.0000000000002274E-2</v>
      </c>
    </row>
    <row r="1547" spans="1:3">
      <c r="A1547" t="s">
        <v>7724</v>
      </c>
      <c r="B1547">
        <v>52.17</v>
      </c>
      <c r="C1547">
        <v>-8.9999999999996305E-2</v>
      </c>
    </row>
    <row r="1548" spans="1:3">
      <c r="A1548" t="s">
        <v>7728</v>
      </c>
      <c r="B1548">
        <v>52.02</v>
      </c>
      <c r="C1548">
        <v>-0.14999999999999858</v>
      </c>
    </row>
    <row r="1549" spans="1:3">
      <c r="A1549" t="s">
        <v>7732</v>
      </c>
      <c r="B1549">
        <v>51.99</v>
      </c>
      <c r="C1549">
        <v>-3.0000000000001137E-2</v>
      </c>
    </row>
    <row r="1550" spans="1:3">
      <c r="A1550" t="s">
        <v>7736</v>
      </c>
      <c r="B1550">
        <v>51.75</v>
      </c>
      <c r="C1550">
        <v>-0.24000000000000199</v>
      </c>
    </row>
    <row r="1551" spans="1:3">
      <c r="A1551" t="s">
        <v>7740</v>
      </c>
      <c r="B1551">
        <v>51.75</v>
      </c>
      <c r="C1551">
        <v>0</v>
      </c>
    </row>
    <row r="1552" spans="1:3">
      <c r="A1552" t="s">
        <v>7744</v>
      </c>
      <c r="B1552">
        <v>51.69</v>
      </c>
      <c r="C1552">
        <v>-6.0000000000002274E-2</v>
      </c>
    </row>
    <row r="1553" spans="1:3">
      <c r="A1553" t="s">
        <v>7748</v>
      </c>
      <c r="B1553">
        <v>51.63</v>
      </c>
      <c r="C1553">
        <v>-5.9999999999995168E-2</v>
      </c>
    </row>
    <row r="1554" spans="1:3">
      <c r="A1554" t="s">
        <v>7752</v>
      </c>
      <c r="B1554">
        <v>51.45</v>
      </c>
      <c r="C1554">
        <v>-0.17999999999999972</v>
      </c>
    </row>
    <row r="1555" spans="1:3">
      <c r="A1555" t="s">
        <v>7756</v>
      </c>
      <c r="B1555">
        <v>51.36</v>
      </c>
      <c r="C1555">
        <v>-9.0000000000003411E-2</v>
      </c>
    </row>
    <row r="1556" spans="1:3">
      <c r="A1556" t="s">
        <v>7760</v>
      </c>
      <c r="B1556">
        <v>51.3</v>
      </c>
      <c r="C1556">
        <v>-6.0000000000002274E-2</v>
      </c>
    </row>
    <row r="1557" spans="1:3">
      <c r="A1557" t="s">
        <v>7764</v>
      </c>
      <c r="B1557">
        <v>51.12</v>
      </c>
      <c r="C1557">
        <v>-0.17999999999999972</v>
      </c>
    </row>
    <row r="1558" spans="1:3">
      <c r="A1558" t="s">
        <v>7768</v>
      </c>
      <c r="B1558">
        <v>51.09</v>
      </c>
      <c r="C1558">
        <v>-2.9999999999994031E-2</v>
      </c>
    </row>
    <row r="1559" spans="1:3">
      <c r="A1559" t="s">
        <v>7772</v>
      </c>
      <c r="B1559">
        <v>51</v>
      </c>
      <c r="C1559">
        <v>-9.0000000000003411E-2</v>
      </c>
    </row>
    <row r="1560" spans="1:3">
      <c r="A1560" t="s">
        <v>7776</v>
      </c>
      <c r="B1560">
        <v>51</v>
      </c>
      <c r="C1560">
        <v>0</v>
      </c>
    </row>
    <row r="1561" spans="1:3">
      <c r="A1561" t="s">
        <v>7780</v>
      </c>
      <c r="B1561">
        <v>50.88</v>
      </c>
      <c r="C1561">
        <v>-0.11999999999999744</v>
      </c>
    </row>
    <row r="1562" spans="1:3">
      <c r="A1562" t="s">
        <v>7784</v>
      </c>
      <c r="B1562">
        <v>50.61</v>
      </c>
      <c r="C1562">
        <v>-0.27000000000000313</v>
      </c>
    </row>
    <row r="1563" spans="1:3">
      <c r="A1563" t="s">
        <v>7788</v>
      </c>
      <c r="B1563">
        <v>50.55</v>
      </c>
      <c r="C1563">
        <v>-6.0000000000002274E-2</v>
      </c>
    </row>
    <row r="1564" spans="1:3">
      <c r="A1564" t="s">
        <v>7792</v>
      </c>
      <c r="B1564">
        <v>50.43</v>
      </c>
      <c r="C1564">
        <v>-0.11999999999999744</v>
      </c>
    </row>
    <row r="1565" spans="1:3">
      <c r="A1565" t="s">
        <v>7796</v>
      </c>
      <c r="B1565">
        <v>50.4</v>
      </c>
      <c r="C1565">
        <v>-3.0000000000001137E-2</v>
      </c>
    </row>
    <row r="1566" spans="1:3">
      <c r="A1566" t="s">
        <v>7800</v>
      </c>
      <c r="B1566">
        <v>50.43</v>
      </c>
      <c r="C1566">
        <v>3.0000000000001137E-2</v>
      </c>
    </row>
    <row r="1567" spans="1:3">
      <c r="A1567" t="s">
        <v>7804</v>
      </c>
      <c r="B1567">
        <v>50.22</v>
      </c>
      <c r="C1567">
        <v>-0.21000000000000085</v>
      </c>
    </row>
    <row r="1568" spans="1:3">
      <c r="A1568" t="s">
        <v>7808</v>
      </c>
      <c r="B1568">
        <v>50.13</v>
      </c>
      <c r="C1568">
        <v>-8.9999999999996305E-2</v>
      </c>
    </row>
    <row r="1569" spans="1:3">
      <c r="A1569" t="s">
        <v>7812</v>
      </c>
      <c r="B1569">
        <v>50.01</v>
      </c>
      <c r="C1569">
        <v>-0.12000000000000455</v>
      </c>
    </row>
    <row r="1570" spans="1:3">
      <c r="A1570" t="s">
        <v>7818</v>
      </c>
      <c r="B1570">
        <v>80.37</v>
      </c>
      <c r="C1570">
        <v>30.360000000000007</v>
      </c>
    </row>
    <row r="1571" spans="1:3">
      <c r="A1571" t="s">
        <v>7825</v>
      </c>
      <c r="B1571">
        <v>82.14</v>
      </c>
      <c r="C1571">
        <v>1.769999999999996</v>
      </c>
    </row>
    <row r="1572" spans="1:3">
      <c r="A1572" t="s">
        <v>7831</v>
      </c>
      <c r="B1572">
        <v>82.71</v>
      </c>
      <c r="C1572">
        <v>0.56999999999999318</v>
      </c>
    </row>
    <row r="1573" spans="1:3">
      <c r="A1573" t="s">
        <v>7835</v>
      </c>
      <c r="B1573">
        <v>76.44</v>
      </c>
      <c r="C1573">
        <v>-6.269999999999996</v>
      </c>
    </row>
    <row r="1574" spans="1:3">
      <c r="A1574" t="s">
        <v>7842</v>
      </c>
      <c r="B1574">
        <v>52.8</v>
      </c>
      <c r="C1574">
        <v>-23.64</v>
      </c>
    </row>
    <row r="1575" spans="1:3">
      <c r="A1575" t="s">
        <v>7846</v>
      </c>
      <c r="B1575">
        <v>52.71</v>
      </c>
      <c r="C1575">
        <v>-8.9999999999996305E-2</v>
      </c>
    </row>
    <row r="1576" spans="1:3">
      <c r="A1576" t="s">
        <v>7850</v>
      </c>
      <c r="B1576">
        <v>52.44</v>
      </c>
      <c r="C1576">
        <v>-0.27000000000000313</v>
      </c>
    </row>
    <row r="1577" spans="1:3">
      <c r="A1577" t="s">
        <v>7854</v>
      </c>
      <c r="B1577">
        <v>52.38</v>
      </c>
      <c r="C1577">
        <v>-5.9999999999995168E-2</v>
      </c>
    </row>
    <row r="1578" spans="1:3">
      <c r="A1578" t="s">
        <v>7858</v>
      </c>
      <c r="B1578">
        <v>52.2</v>
      </c>
      <c r="C1578">
        <v>-0.17999999999999972</v>
      </c>
    </row>
    <row r="1579" spans="1:3">
      <c r="A1579" t="s">
        <v>7862</v>
      </c>
      <c r="B1579">
        <v>52.08</v>
      </c>
      <c r="C1579">
        <v>-0.12000000000000455</v>
      </c>
    </row>
    <row r="1580" spans="1:3">
      <c r="A1580" t="s">
        <v>7866</v>
      </c>
      <c r="B1580">
        <v>52.11</v>
      </c>
      <c r="C1580">
        <v>3.0000000000001137E-2</v>
      </c>
    </row>
    <row r="1581" spans="1:3">
      <c r="A1581" t="s">
        <v>7870</v>
      </c>
      <c r="B1581">
        <v>51.99</v>
      </c>
      <c r="C1581">
        <v>-0.11999999999999744</v>
      </c>
    </row>
    <row r="1582" spans="1:3">
      <c r="A1582" t="s">
        <v>7874</v>
      </c>
      <c r="B1582">
        <v>51.81</v>
      </c>
      <c r="C1582">
        <v>-0.17999999999999972</v>
      </c>
    </row>
    <row r="1583" spans="1:3">
      <c r="A1583" t="s">
        <v>7878</v>
      </c>
      <c r="B1583">
        <v>51.66</v>
      </c>
      <c r="C1583">
        <v>-0.15000000000000568</v>
      </c>
    </row>
    <row r="1584" spans="1:3">
      <c r="A1584" t="s">
        <v>7882</v>
      </c>
      <c r="B1584">
        <v>51.54</v>
      </c>
      <c r="C1584">
        <v>-0.11999999999999744</v>
      </c>
    </row>
    <row r="1585" spans="1:3">
      <c r="A1585" t="s">
        <v>7886</v>
      </c>
      <c r="B1585">
        <v>51.6</v>
      </c>
      <c r="C1585">
        <v>6.0000000000002274E-2</v>
      </c>
    </row>
    <row r="1586" spans="1:3">
      <c r="A1586" t="s">
        <v>7890</v>
      </c>
      <c r="B1586">
        <v>51.36</v>
      </c>
      <c r="C1586">
        <v>-0.24000000000000199</v>
      </c>
    </row>
    <row r="1587" spans="1:3">
      <c r="A1587" t="s">
        <v>7894</v>
      </c>
      <c r="B1587">
        <v>51.39</v>
      </c>
      <c r="C1587">
        <v>3.0000000000001137E-2</v>
      </c>
    </row>
    <row r="1588" spans="1:3">
      <c r="A1588" t="s">
        <v>7898</v>
      </c>
      <c r="B1588">
        <v>51.33</v>
      </c>
      <c r="C1588">
        <v>-6.0000000000002274E-2</v>
      </c>
    </row>
    <row r="1589" spans="1:3">
      <c r="A1589" t="s">
        <v>7902</v>
      </c>
      <c r="B1589">
        <v>51.03</v>
      </c>
      <c r="C1589">
        <v>-0.29999999999999716</v>
      </c>
    </row>
    <row r="1590" spans="1:3">
      <c r="A1590" t="s">
        <v>7906</v>
      </c>
      <c r="B1590">
        <v>51.12</v>
      </c>
      <c r="C1590">
        <v>8.9999999999996305E-2</v>
      </c>
    </row>
    <row r="1591" spans="1:3">
      <c r="A1591" t="s">
        <v>7910</v>
      </c>
      <c r="B1591">
        <v>50.91</v>
      </c>
      <c r="C1591">
        <v>-0.21000000000000085</v>
      </c>
    </row>
    <row r="1592" spans="1:3">
      <c r="A1592" t="s">
        <v>7914</v>
      </c>
      <c r="B1592">
        <v>50.85</v>
      </c>
      <c r="C1592">
        <v>-5.9999999999995168E-2</v>
      </c>
    </row>
    <row r="1593" spans="1:3">
      <c r="A1593" t="s">
        <v>7918</v>
      </c>
      <c r="B1593">
        <v>50.91</v>
      </c>
      <c r="C1593">
        <v>5.9999999999995168E-2</v>
      </c>
    </row>
    <row r="1594" spans="1:3">
      <c r="A1594" t="s">
        <v>7922</v>
      </c>
      <c r="B1594">
        <v>50.58</v>
      </c>
      <c r="C1594">
        <v>-0.32999999999999829</v>
      </c>
    </row>
    <row r="1595" spans="1:3">
      <c r="A1595" t="s">
        <v>7926</v>
      </c>
      <c r="B1595">
        <v>50.55</v>
      </c>
      <c r="C1595">
        <v>-3.0000000000001137E-2</v>
      </c>
    </row>
    <row r="1596" spans="1:3">
      <c r="A1596" t="s">
        <v>7930</v>
      </c>
      <c r="B1596">
        <v>50.55</v>
      </c>
      <c r="C1596">
        <v>0</v>
      </c>
    </row>
    <row r="1597" spans="1:3">
      <c r="A1597" t="s">
        <v>7934</v>
      </c>
      <c r="B1597">
        <v>50.37</v>
      </c>
      <c r="C1597">
        <v>-0.17999999999999972</v>
      </c>
    </row>
    <row r="1598" spans="1:3">
      <c r="A1598" t="s">
        <v>7938</v>
      </c>
      <c r="B1598">
        <v>50.37</v>
      </c>
      <c r="C1598">
        <v>0</v>
      </c>
    </row>
    <row r="1599" spans="1:3">
      <c r="A1599" t="s">
        <v>7942</v>
      </c>
      <c r="B1599">
        <v>50.13</v>
      </c>
      <c r="C1599">
        <v>-0.23999999999999488</v>
      </c>
    </row>
    <row r="1600" spans="1:3">
      <c r="A1600" t="s">
        <v>7946</v>
      </c>
      <c r="B1600">
        <v>49.95</v>
      </c>
      <c r="C1600">
        <v>-0.17999999999999972</v>
      </c>
    </row>
    <row r="1601" spans="1:3">
      <c r="A1601" t="s">
        <v>7951</v>
      </c>
      <c r="B1601">
        <v>55.77</v>
      </c>
      <c r="C1601">
        <v>5.82</v>
      </c>
    </row>
    <row r="1602" spans="1:3">
      <c r="A1602" t="s">
        <v>7959</v>
      </c>
      <c r="B1602">
        <v>81.75</v>
      </c>
      <c r="C1602">
        <v>25.979999999999997</v>
      </c>
    </row>
    <row r="1603" spans="1:3">
      <c r="A1603" t="s">
        <v>7963</v>
      </c>
      <c r="B1603">
        <v>82.32</v>
      </c>
      <c r="C1603">
        <v>0.56999999999999318</v>
      </c>
    </row>
    <row r="1604" spans="1:3">
      <c r="A1604" t="s">
        <v>7968</v>
      </c>
      <c r="B1604">
        <v>83.16</v>
      </c>
      <c r="C1604">
        <v>0.84000000000000341</v>
      </c>
    </row>
    <row r="1605" spans="1:3">
      <c r="A1605" t="s">
        <v>7975</v>
      </c>
      <c r="B1605">
        <v>53.07</v>
      </c>
      <c r="C1605">
        <v>-30.089999999999996</v>
      </c>
    </row>
    <row r="1606" spans="1:3">
      <c r="A1606" t="s">
        <v>7979</v>
      </c>
      <c r="B1606">
        <v>52.83</v>
      </c>
      <c r="C1606">
        <v>-0.24000000000000199</v>
      </c>
    </row>
    <row r="1607" spans="1:3">
      <c r="A1607" t="s">
        <v>7983</v>
      </c>
      <c r="B1607">
        <v>52.65</v>
      </c>
      <c r="C1607">
        <v>-0.17999999999999972</v>
      </c>
    </row>
    <row r="1608" spans="1:3">
      <c r="A1608" t="s">
        <v>7987</v>
      </c>
      <c r="B1608">
        <v>52.44</v>
      </c>
      <c r="C1608">
        <v>-0.21000000000000085</v>
      </c>
    </row>
    <row r="1609" spans="1:3">
      <c r="A1609" t="s">
        <v>7991</v>
      </c>
      <c r="B1609">
        <v>52.32</v>
      </c>
      <c r="C1609">
        <v>-0.11999999999999744</v>
      </c>
    </row>
    <row r="1610" spans="1:3">
      <c r="A1610" t="s">
        <v>7995</v>
      </c>
      <c r="B1610">
        <v>52.17</v>
      </c>
      <c r="C1610">
        <v>-0.14999999999999858</v>
      </c>
    </row>
    <row r="1611" spans="1:3">
      <c r="A1611" t="s">
        <v>7999</v>
      </c>
      <c r="B1611">
        <v>52.17</v>
      </c>
      <c r="C1611">
        <v>0</v>
      </c>
    </row>
    <row r="1612" spans="1:3">
      <c r="A1612" t="s">
        <v>8003</v>
      </c>
      <c r="B1612">
        <v>51.99</v>
      </c>
      <c r="C1612">
        <v>-0.17999999999999972</v>
      </c>
    </row>
    <row r="1613" spans="1:3">
      <c r="A1613" t="s">
        <v>8007</v>
      </c>
      <c r="B1613">
        <v>51.84</v>
      </c>
      <c r="C1613">
        <v>-0.14999999999999858</v>
      </c>
    </row>
    <row r="1614" spans="1:3">
      <c r="A1614" t="s">
        <v>8011</v>
      </c>
      <c r="B1614">
        <v>51.69</v>
      </c>
      <c r="C1614">
        <v>-0.15000000000000568</v>
      </c>
    </row>
    <row r="1615" spans="1:3">
      <c r="A1615" t="s">
        <v>8015</v>
      </c>
      <c r="B1615">
        <v>51.69</v>
      </c>
      <c r="C1615">
        <v>0</v>
      </c>
    </row>
    <row r="1616" spans="1:3">
      <c r="A1616" t="s">
        <v>8019</v>
      </c>
      <c r="B1616">
        <v>51.75</v>
      </c>
      <c r="C1616">
        <v>6.0000000000002274E-2</v>
      </c>
    </row>
    <row r="1617" spans="1:3">
      <c r="A1617" t="s">
        <v>8023</v>
      </c>
      <c r="B1617">
        <v>51.45</v>
      </c>
      <c r="C1617">
        <v>-0.29999999999999716</v>
      </c>
    </row>
    <row r="1618" spans="1:3">
      <c r="A1618" t="s">
        <v>8027</v>
      </c>
      <c r="B1618">
        <v>51.39</v>
      </c>
      <c r="C1618">
        <v>-6.0000000000002274E-2</v>
      </c>
    </row>
    <row r="1619" spans="1:3">
      <c r="A1619" t="s">
        <v>8031</v>
      </c>
      <c r="B1619">
        <v>51.24</v>
      </c>
      <c r="C1619">
        <v>-0.14999999999999858</v>
      </c>
    </row>
    <row r="1620" spans="1:3">
      <c r="A1620" t="s">
        <v>8035</v>
      </c>
      <c r="B1620">
        <v>51.24</v>
      </c>
      <c r="C1620">
        <v>0</v>
      </c>
    </row>
    <row r="1621" spans="1:3">
      <c r="A1621" t="s">
        <v>8039</v>
      </c>
      <c r="B1621">
        <v>51.18</v>
      </c>
      <c r="C1621">
        <v>-6.0000000000002274E-2</v>
      </c>
    </row>
    <row r="1622" spans="1:3">
      <c r="A1622" t="s">
        <v>8043</v>
      </c>
      <c r="B1622">
        <v>50.97</v>
      </c>
      <c r="C1622">
        <v>-0.21000000000000085</v>
      </c>
    </row>
    <row r="1623" spans="1:3">
      <c r="A1623" t="s">
        <v>8047</v>
      </c>
      <c r="B1623">
        <v>50.79</v>
      </c>
      <c r="C1623">
        <v>-0.17999999999999972</v>
      </c>
    </row>
    <row r="1624" spans="1:3">
      <c r="A1624" t="s">
        <v>8051</v>
      </c>
      <c r="B1624">
        <v>50.49</v>
      </c>
      <c r="C1624">
        <v>-0.29999999999999716</v>
      </c>
    </row>
    <row r="1625" spans="1:3">
      <c r="A1625" t="s">
        <v>8055</v>
      </c>
      <c r="B1625">
        <v>49.95</v>
      </c>
      <c r="C1625">
        <v>-0.53999999999999915</v>
      </c>
    </row>
    <row r="1626" spans="1:3">
      <c r="A1626" t="s">
        <v>8059</v>
      </c>
      <c r="B1626">
        <v>70.739999999999995</v>
      </c>
      <c r="C1626">
        <v>20.789999999999992</v>
      </c>
    </row>
    <row r="1627" spans="1:3">
      <c r="A1627" t="s">
        <v>8067</v>
      </c>
      <c r="B1627">
        <v>82.05</v>
      </c>
      <c r="C1627">
        <v>11.310000000000002</v>
      </c>
    </row>
    <row r="1628" spans="1:3">
      <c r="A1628" t="s">
        <v>8071</v>
      </c>
      <c r="B1628">
        <v>83.07</v>
      </c>
      <c r="C1628">
        <v>1.019999999999996</v>
      </c>
    </row>
    <row r="1629" spans="1:3">
      <c r="A1629" t="s">
        <v>8075</v>
      </c>
      <c r="B1629">
        <v>81.66</v>
      </c>
      <c r="C1629">
        <v>-1.4099999999999966</v>
      </c>
    </row>
    <row r="1630" spans="1:3">
      <c r="A1630" t="s">
        <v>8079</v>
      </c>
      <c r="B1630">
        <v>52.98</v>
      </c>
      <c r="C1630">
        <v>-28.68</v>
      </c>
    </row>
    <row r="1631" spans="1:3">
      <c r="A1631" t="s">
        <v>8083</v>
      </c>
      <c r="B1631">
        <v>52.71</v>
      </c>
      <c r="C1631">
        <v>-0.26999999999999602</v>
      </c>
    </row>
    <row r="1632" spans="1:3">
      <c r="A1632" t="s">
        <v>8087</v>
      </c>
      <c r="B1632">
        <v>52.68</v>
      </c>
      <c r="C1632">
        <v>-3.0000000000001137E-2</v>
      </c>
    </row>
    <row r="1633" spans="1:3">
      <c r="A1633" t="s">
        <v>8091</v>
      </c>
      <c r="B1633">
        <v>52.53</v>
      </c>
      <c r="C1633">
        <v>-0.14999999999999858</v>
      </c>
    </row>
    <row r="1634" spans="1:3">
      <c r="A1634" t="s">
        <v>8095</v>
      </c>
      <c r="B1634">
        <v>52.41</v>
      </c>
      <c r="C1634">
        <v>-0.12000000000000455</v>
      </c>
    </row>
    <row r="1635" spans="1:3">
      <c r="A1635" t="s">
        <v>8099</v>
      </c>
      <c r="B1635">
        <v>52.26</v>
      </c>
      <c r="C1635">
        <v>-0.14999999999999858</v>
      </c>
    </row>
    <row r="1636" spans="1:3">
      <c r="A1636" t="s">
        <v>8103</v>
      </c>
      <c r="B1636">
        <v>52.23</v>
      </c>
      <c r="C1636">
        <v>-3.0000000000001137E-2</v>
      </c>
    </row>
    <row r="1637" spans="1:3">
      <c r="A1637" t="s">
        <v>8107</v>
      </c>
      <c r="B1637">
        <v>52.26</v>
      </c>
      <c r="C1637">
        <v>3.0000000000001137E-2</v>
      </c>
    </row>
    <row r="1638" spans="1:3">
      <c r="A1638" t="s">
        <v>8111</v>
      </c>
      <c r="B1638">
        <v>52.11</v>
      </c>
      <c r="C1638">
        <v>-0.14999999999999858</v>
      </c>
    </row>
    <row r="1639" spans="1:3">
      <c r="A1639" t="s">
        <v>8115</v>
      </c>
      <c r="B1639">
        <v>51.75</v>
      </c>
      <c r="C1639">
        <v>-0.35999999999999943</v>
      </c>
    </row>
    <row r="1640" spans="1:3">
      <c r="A1640" t="s">
        <v>8119</v>
      </c>
      <c r="B1640">
        <v>51.84</v>
      </c>
      <c r="C1640">
        <v>9.0000000000003411E-2</v>
      </c>
    </row>
    <row r="1641" spans="1:3">
      <c r="A1641" t="s">
        <v>8123</v>
      </c>
      <c r="B1641">
        <v>51.69</v>
      </c>
      <c r="C1641">
        <v>-0.15000000000000568</v>
      </c>
    </row>
    <row r="1642" spans="1:3">
      <c r="A1642" t="s">
        <v>8127</v>
      </c>
      <c r="B1642">
        <v>51.75</v>
      </c>
      <c r="C1642">
        <v>6.0000000000002274E-2</v>
      </c>
    </row>
    <row r="1643" spans="1:3">
      <c r="A1643" t="s">
        <v>8131</v>
      </c>
      <c r="B1643">
        <v>51.54</v>
      </c>
      <c r="C1643">
        <v>-0.21000000000000085</v>
      </c>
    </row>
    <row r="1644" spans="1:3">
      <c r="A1644" t="s">
        <v>8135</v>
      </c>
      <c r="B1644">
        <v>51.6</v>
      </c>
      <c r="C1644">
        <v>6.0000000000002274E-2</v>
      </c>
    </row>
    <row r="1645" spans="1:3">
      <c r="A1645" t="s">
        <v>8139</v>
      </c>
      <c r="B1645">
        <v>51.42</v>
      </c>
      <c r="C1645">
        <v>-0.17999999999999972</v>
      </c>
    </row>
    <row r="1646" spans="1:3">
      <c r="A1646" t="s">
        <v>8143</v>
      </c>
      <c r="B1646">
        <v>51.36</v>
      </c>
      <c r="C1646">
        <v>-6.0000000000002274E-2</v>
      </c>
    </row>
    <row r="1647" spans="1:3">
      <c r="A1647" t="s">
        <v>8147</v>
      </c>
      <c r="B1647">
        <v>51.24</v>
      </c>
      <c r="C1647">
        <v>-0.11999999999999744</v>
      </c>
    </row>
    <row r="1648" spans="1:3">
      <c r="A1648" t="s">
        <v>8151</v>
      </c>
      <c r="B1648">
        <v>51.24</v>
      </c>
      <c r="C1648">
        <v>0</v>
      </c>
    </row>
    <row r="1649" spans="1:3">
      <c r="A1649" t="s">
        <v>8155</v>
      </c>
      <c r="B1649">
        <v>51.18</v>
      </c>
      <c r="C1649">
        <v>-6.0000000000002274E-2</v>
      </c>
    </row>
    <row r="1650" spans="1:3">
      <c r="A1650" t="s">
        <v>8159</v>
      </c>
      <c r="B1650">
        <v>51.09</v>
      </c>
      <c r="C1650">
        <v>-8.9999999999996305E-2</v>
      </c>
    </row>
    <row r="1651" spans="1:3">
      <c r="A1651" t="s">
        <v>8163</v>
      </c>
      <c r="B1651">
        <v>50.88</v>
      </c>
      <c r="C1651">
        <v>-0.21000000000000085</v>
      </c>
    </row>
    <row r="1652" spans="1:3">
      <c r="A1652" t="s">
        <v>8167</v>
      </c>
      <c r="B1652">
        <v>50.94</v>
      </c>
      <c r="C1652">
        <v>5.9999999999995168E-2</v>
      </c>
    </row>
    <row r="1653" spans="1:3">
      <c r="A1653" t="s">
        <v>8171</v>
      </c>
      <c r="B1653">
        <v>50.85</v>
      </c>
      <c r="C1653">
        <v>-8.9999999999996305E-2</v>
      </c>
    </row>
    <row r="1654" spans="1:3">
      <c r="A1654" t="s">
        <v>8175</v>
      </c>
      <c r="B1654">
        <v>50.79</v>
      </c>
      <c r="C1654">
        <v>-6.0000000000002274E-2</v>
      </c>
    </row>
    <row r="1655" spans="1:3">
      <c r="A1655" t="s">
        <v>8179</v>
      </c>
      <c r="B1655">
        <v>50.64</v>
      </c>
      <c r="C1655">
        <v>-0.14999999999999858</v>
      </c>
    </row>
    <row r="1656" spans="1:3">
      <c r="A1656" t="s">
        <v>8183</v>
      </c>
      <c r="B1656">
        <v>50.58</v>
      </c>
      <c r="C1656">
        <v>-6.0000000000002274E-2</v>
      </c>
    </row>
    <row r="1657" spans="1:3">
      <c r="A1657" t="s">
        <v>8187</v>
      </c>
      <c r="B1657">
        <v>50.58</v>
      </c>
      <c r="C1657">
        <v>0</v>
      </c>
    </row>
    <row r="1658" spans="1:3">
      <c r="A1658" t="s">
        <v>8191</v>
      </c>
      <c r="B1658">
        <v>50.4</v>
      </c>
      <c r="C1658">
        <v>-0.17999999999999972</v>
      </c>
    </row>
    <row r="1659" spans="1:3">
      <c r="A1659" t="s">
        <v>8195</v>
      </c>
      <c r="B1659">
        <v>50.34</v>
      </c>
      <c r="C1659">
        <v>-5.9999999999995168E-2</v>
      </c>
    </row>
    <row r="1660" spans="1:3">
      <c r="A1660" t="s">
        <v>8199</v>
      </c>
      <c r="B1660">
        <v>50.25</v>
      </c>
      <c r="C1660">
        <v>-9.0000000000003411E-2</v>
      </c>
    </row>
    <row r="1661" spans="1:3">
      <c r="A1661" t="s">
        <v>8203</v>
      </c>
      <c r="B1661">
        <v>50.16</v>
      </c>
      <c r="C1661">
        <v>-9.0000000000003411E-2</v>
      </c>
    </row>
    <row r="1662" spans="1:3">
      <c r="A1662" t="s">
        <v>8207</v>
      </c>
      <c r="B1662">
        <v>50.19</v>
      </c>
      <c r="C1662">
        <v>3.0000000000001137E-2</v>
      </c>
    </row>
    <row r="1663" spans="1:3">
      <c r="A1663" t="s">
        <v>8211</v>
      </c>
      <c r="B1663">
        <v>58.17</v>
      </c>
      <c r="C1663">
        <v>7.980000000000004</v>
      </c>
    </row>
    <row r="1664" spans="1:3">
      <c r="A1664" t="s">
        <v>8217</v>
      </c>
      <c r="B1664">
        <v>81.75</v>
      </c>
      <c r="C1664">
        <v>23.58</v>
      </c>
    </row>
    <row r="1665" spans="1:3">
      <c r="A1665" t="s">
        <v>8221</v>
      </c>
      <c r="B1665">
        <v>82.35</v>
      </c>
      <c r="C1665">
        <v>0.59999999999999432</v>
      </c>
    </row>
    <row r="1666" spans="1:3">
      <c r="A1666" t="s">
        <v>8226</v>
      </c>
      <c r="B1666">
        <v>83.28</v>
      </c>
      <c r="C1666">
        <v>0.93000000000000682</v>
      </c>
    </row>
    <row r="1667" spans="1:3">
      <c r="A1667" t="s">
        <v>8231</v>
      </c>
      <c r="B1667">
        <v>53.28</v>
      </c>
      <c r="C1667">
        <v>-30</v>
      </c>
    </row>
    <row r="1668" spans="1:3">
      <c r="A1668" t="s">
        <v>8239</v>
      </c>
      <c r="B1668">
        <v>52.8</v>
      </c>
      <c r="C1668">
        <v>-0.48000000000000398</v>
      </c>
    </row>
    <row r="1669" spans="1:3">
      <c r="A1669" t="s">
        <v>8243</v>
      </c>
      <c r="B1669">
        <v>52.59</v>
      </c>
      <c r="C1669">
        <v>-0.20999999999999375</v>
      </c>
    </row>
    <row r="1670" spans="1:3">
      <c r="A1670" t="s">
        <v>8247</v>
      </c>
      <c r="B1670">
        <v>52.53</v>
      </c>
      <c r="C1670">
        <v>-6.0000000000002274E-2</v>
      </c>
    </row>
    <row r="1671" spans="1:3">
      <c r="A1671" t="s">
        <v>8251</v>
      </c>
      <c r="B1671">
        <v>52.38</v>
      </c>
      <c r="C1671">
        <v>-0.14999999999999858</v>
      </c>
    </row>
    <row r="1672" spans="1:3">
      <c r="A1672" t="s">
        <v>8255</v>
      </c>
      <c r="B1672">
        <v>52.26</v>
      </c>
      <c r="C1672">
        <v>-0.12000000000000455</v>
      </c>
    </row>
    <row r="1673" spans="1:3">
      <c r="A1673" t="s">
        <v>8259</v>
      </c>
      <c r="B1673">
        <v>52.2</v>
      </c>
      <c r="C1673">
        <v>-5.9999999999995168E-2</v>
      </c>
    </row>
    <row r="1674" spans="1:3">
      <c r="A1674" t="s">
        <v>8263</v>
      </c>
      <c r="B1674">
        <v>52.05</v>
      </c>
      <c r="C1674">
        <v>-0.15000000000000568</v>
      </c>
    </row>
    <row r="1675" spans="1:3">
      <c r="A1675" t="s">
        <v>8267</v>
      </c>
      <c r="B1675">
        <v>52.08</v>
      </c>
      <c r="C1675">
        <v>3.0000000000001137E-2</v>
      </c>
    </row>
    <row r="1676" spans="1:3">
      <c r="A1676" t="s">
        <v>8271</v>
      </c>
      <c r="B1676">
        <v>51.99</v>
      </c>
      <c r="C1676">
        <v>-8.9999999999996305E-2</v>
      </c>
    </row>
    <row r="1677" spans="1:3">
      <c r="A1677" t="s">
        <v>8275</v>
      </c>
      <c r="B1677">
        <v>51.84</v>
      </c>
      <c r="C1677">
        <v>-0.14999999999999858</v>
      </c>
    </row>
    <row r="1678" spans="1:3">
      <c r="A1678" t="s">
        <v>8279</v>
      </c>
      <c r="B1678">
        <v>51.78</v>
      </c>
      <c r="C1678">
        <v>-6.0000000000002274E-2</v>
      </c>
    </row>
    <row r="1679" spans="1:3">
      <c r="A1679" t="s">
        <v>8283</v>
      </c>
      <c r="B1679">
        <v>51.72</v>
      </c>
      <c r="C1679">
        <v>-6.0000000000002274E-2</v>
      </c>
    </row>
    <row r="1680" spans="1:3">
      <c r="A1680" t="s">
        <v>8287</v>
      </c>
      <c r="B1680">
        <v>51.66</v>
      </c>
      <c r="C1680">
        <v>-6.0000000000002274E-2</v>
      </c>
    </row>
    <row r="1681" spans="1:3">
      <c r="A1681" t="s">
        <v>8291</v>
      </c>
      <c r="B1681">
        <v>51.57</v>
      </c>
      <c r="C1681">
        <v>-8.9999999999996305E-2</v>
      </c>
    </row>
    <row r="1682" spans="1:3">
      <c r="A1682" t="s">
        <v>8295</v>
      </c>
      <c r="B1682">
        <v>51.45</v>
      </c>
      <c r="C1682">
        <v>-0.11999999999999744</v>
      </c>
    </row>
    <row r="1683" spans="1:3">
      <c r="A1683" t="s">
        <v>8299</v>
      </c>
      <c r="B1683">
        <v>51.54</v>
      </c>
      <c r="C1683">
        <v>8.9999999999996305E-2</v>
      </c>
    </row>
    <row r="1684" spans="1:3">
      <c r="A1684" t="s">
        <v>8303</v>
      </c>
      <c r="B1684">
        <v>51.39</v>
      </c>
      <c r="C1684">
        <v>-0.14999999999999858</v>
      </c>
    </row>
    <row r="1685" spans="1:3">
      <c r="A1685" t="s">
        <v>8307</v>
      </c>
      <c r="B1685">
        <v>51.39</v>
      </c>
      <c r="C1685">
        <v>0</v>
      </c>
    </row>
    <row r="1686" spans="1:3">
      <c r="A1686" t="s">
        <v>8311</v>
      </c>
      <c r="B1686">
        <v>51.27</v>
      </c>
      <c r="C1686">
        <v>-0.11999999999999744</v>
      </c>
    </row>
    <row r="1687" spans="1:3">
      <c r="A1687" t="s">
        <v>8315</v>
      </c>
      <c r="B1687">
        <v>51.03</v>
      </c>
      <c r="C1687">
        <v>-0.24000000000000199</v>
      </c>
    </row>
    <row r="1688" spans="1:3">
      <c r="A1688" t="s">
        <v>8319</v>
      </c>
      <c r="B1688">
        <v>51.09</v>
      </c>
      <c r="C1688">
        <v>6.0000000000002274E-2</v>
      </c>
    </row>
    <row r="1689" spans="1:3">
      <c r="A1689" t="s">
        <v>8323</v>
      </c>
      <c r="B1689">
        <v>50.88</v>
      </c>
      <c r="C1689">
        <v>-0.21000000000000085</v>
      </c>
    </row>
    <row r="1690" spans="1:3">
      <c r="A1690" t="s">
        <v>8327</v>
      </c>
      <c r="B1690">
        <v>50.88</v>
      </c>
      <c r="C1690">
        <v>0</v>
      </c>
    </row>
    <row r="1691" spans="1:3">
      <c r="A1691" t="s">
        <v>8331</v>
      </c>
      <c r="B1691">
        <v>50.94</v>
      </c>
      <c r="C1691">
        <v>5.9999999999995168E-2</v>
      </c>
    </row>
    <row r="1692" spans="1:3">
      <c r="A1692" t="s">
        <v>8335</v>
      </c>
      <c r="B1692">
        <v>50.85</v>
      </c>
      <c r="C1692">
        <v>-8.9999999999996305E-2</v>
      </c>
    </row>
    <row r="1693" spans="1:3">
      <c r="A1693" t="s">
        <v>8339</v>
      </c>
      <c r="B1693">
        <v>50.73</v>
      </c>
      <c r="C1693">
        <v>-0.12000000000000455</v>
      </c>
    </row>
    <row r="1694" spans="1:3">
      <c r="A1694" t="s">
        <v>8343</v>
      </c>
      <c r="B1694">
        <v>50.7</v>
      </c>
      <c r="C1694">
        <v>-2.9999999999994031E-2</v>
      </c>
    </row>
    <row r="1695" spans="1:3">
      <c r="A1695" t="s">
        <v>8347</v>
      </c>
      <c r="B1695">
        <v>50.67</v>
      </c>
      <c r="C1695">
        <v>-3.0000000000001137E-2</v>
      </c>
    </row>
    <row r="1696" spans="1:3">
      <c r="A1696" t="s">
        <v>8351</v>
      </c>
      <c r="B1696">
        <v>50.46</v>
      </c>
      <c r="C1696">
        <v>-0.21000000000000085</v>
      </c>
    </row>
    <row r="1697" spans="1:3">
      <c r="A1697" t="s">
        <v>8355</v>
      </c>
      <c r="B1697">
        <v>50.52</v>
      </c>
      <c r="C1697">
        <v>6.0000000000002274E-2</v>
      </c>
    </row>
    <row r="1698" spans="1:3">
      <c r="A1698" t="s">
        <v>8359</v>
      </c>
      <c r="B1698">
        <v>50.43</v>
      </c>
      <c r="C1698">
        <v>-9.0000000000003411E-2</v>
      </c>
    </row>
    <row r="1699" spans="1:3">
      <c r="A1699" t="s">
        <v>8363</v>
      </c>
      <c r="B1699">
        <v>50.4</v>
      </c>
      <c r="C1699">
        <v>-3.0000000000001137E-2</v>
      </c>
    </row>
    <row r="1700" spans="1:3">
      <c r="A1700" t="s">
        <v>8367</v>
      </c>
      <c r="B1700">
        <v>50.25</v>
      </c>
      <c r="C1700">
        <v>-0.14999999999999858</v>
      </c>
    </row>
    <row r="1701" spans="1:3">
      <c r="A1701" t="s">
        <v>8371</v>
      </c>
      <c r="B1701">
        <v>50.19</v>
      </c>
      <c r="C1701">
        <v>-6.0000000000002274E-2</v>
      </c>
    </row>
    <row r="1702" spans="1:3">
      <c r="A1702" t="s">
        <v>8375</v>
      </c>
      <c r="B1702">
        <v>50.1</v>
      </c>
      <c r="C1702">
        <v>-8.9999999999996305E-2</v>
      </c>
    </row>
    <row r="1703" spans="1:3">
      <c r="A1703" t="s">
        <v>8379</v>
      </c>
      <c r="B1703">
        <v>50.07</v>
      </c>
      <c r="C1703">
        <v>-3.0000000000001137E-2</v>
      </c>
    </row>
    <row r="1704" spans="1:3">
      <c r="A1704" t="s">
        <v>8383</v>
      </c>
      <c r="B1704">
        <v>80.459999999999994</v>
      </c>
      <c r="C1704">
        <v>30.389999999999993</v>
      </c>
    </row>
    <row r="1705" spans="1:3">
      <c r="A1705" t="s">
        <v>8388</v>
      </c>
      <c r="B1705">
        <v>82.23</v>
      </c>
      <c r="C1705">
        <v>1.7700000000000102</v>
      </c>
    </row>
    <row r="1706" spans="1:3">
      <c r="A1706" t="s">
        <v>8392</v>
      </c>
      <c r="B1706">
        <v>82.68</v>
      </c>
      <c r="C1706">
        <v>0.45000000000000284</v>
      </c>
    </row>
    <row r="1707" spans="1:3">
      <c r="A1707" t="s">
        <v>8397</v>
      </c>
      <c r="B1707">
        <v>75.239999999999995</v>
      </c>
      <c r="C1707">
        <v>-7.4400000000000119</v>
      </c>
    </row>
    <row r="1708" spans="1:3">
      <c r="A1708" t="s">
        <v>8405</v>
      </c>
      <c r="B1708">
        <v>52.74</v>
      </c>
      <c r="C1708">
        <v>-22.499999999999993</v>
      </c>
    </row>
    <row r="1709" spans="1:3">
      <c r="A1709" t="s">
        <v>8409</v>
      </c>
      <c r="B1709">
        <v>52.8</v>
      </c>
      <c r="C1709">
        <v>5.9999999999995168E-2</v>
      </c>
    </row>
    <row r="1710" spans="1:3">
      <c r="A1710" t="s">
        <v>8413</v>
      </c>
      <c r="B1710">
        <v>52.62</v>
      </c>
      <c r="C1710">
        <v>-0.17999999999999972</v>
      </c>
    </row>
    <row r="1711" spans="1:3">
      <c r="A1711" t="s">
        <v>8417</v>
      </c>
      <c r="B1711">
        <v>52.68</v>
      </c>
      <c r="C1711">
        <v>6.0000000000002274E-2</v>
      </c>
    </row>
    <row r="1712" spans="1:3">
      <c r="A1712" t="s">
        <v>8421</v>
      </c>
      <c r="B1712">
        <v>52.53</v>
      </c>
      <c r="C1712">
        <v>-0.14999999999999858</v>
      </c>
    </row>
    <row r="1713" spans="1:3">
      <c r="A1713" t="s">
        <v>8425</v>
      </c>
      <c r="B1713">
        <v>52.38</v>
      </c>
      <c r="C1713">
        <v>-0.14999999999999858</v>
      </c>
    </row>
    <row r="1714" spans="1:3">
      <c r="A1714" t="s">
        <v>8429</v>
      </c>
      <c r="B1714">
        <v>52.23</v>
      </c>
      <c r="C1714">
        <v>-0.15000000000000568</v>
      </c>
    </row>
    <row r="1715" spans="1:3">
      <c r="A1715" t="s">
        <v>8433</v>
      </c>
      <c r="B1715">
        <v>52.11</v>
      </c>
      <c r="C1715">
        <v>-0.11999999999999744</v>
      </c>
    </row>
    <row r="1716" spans="1:3">
      <c r="A1716" t="s">
        <v>8437</v>
      </c>
      <c r="B1716">
        <v>52.11</v>
      </c>
      <c r="C1716">
        <v>0</v>
      </c>
    </row>
    <row r="1717" spans="1:3">
      <c r="A1717" t="s">
        <v>8441</v>
      </c>
      <c r="B1717">
        <v>51.93</v>
      </c>
      <c r="C1717">
        <v>-0.17999999999999972</v>
      </c>
    </row>
    <row r="1718" spans="1:3">
      <c r="A1718" t="s">
        <v>8445</v>
      </c>
      <c r="B1718">
        <v>51.99</v>
      </c>
      <c r="C1718">
        <v>6.0000000000002274E-2</v>
      </c>
    </row>
    <row r="1719" spans="1:3">
      <c r="A1719" t="s">
        <v>8449</v>
      </c>
      <c r="B1719">
        <v>51.9</v>
      </c>
      <c r="C1719">
        <v>-9.0000000000003411E-2</v>
      </c>
    </row>
    <row r="1720" spans="1:3">
      <c r="A1720" t="s">
        <v>8453</v>
      </c>
      <c r="B1720">
        <v>51.69</v>
      </c>
      <c r="C1720">
        <v>-0.21000000000000085</v>
      </c>
    </row>
    <row r="1721" spans="1:3">
      <c r="A1721" t="s">
        <v>8457</v>
      </c>
      <c r="B1721">
        <v>51.6</v>
      </c>
      <c r="C1721">
        <v>-8.9999999999996305E-2</v>
      </c>
    </row>
    <row r="1722" spans="1:3">
      <c r="A1722" t="s">
        <v>8461</v>
      </c>
      <c r="B1722">
        <v>51.6</v>
      </c>
      <c r="C1722">
        <v>0</v>
      </c>
    </row>
    <row r="1723" spans="1:3">
      <c r="A1723" t="s">
        <v>8465</v>
      </c>
      <c r="B1723">
        <v>51.63</v>
      </c>
      <c r="C1723">
        <v>3.0000000000001137E-2</v>
      </c>
    </row>
    <row r="1724" spans="1:3">
      <c r="A1724" t="s">
        <v>8469</v>
      </c>
      <c r="B1724">
        <v>51.42</v>
      </c>
      <c r="C1724">
        <v>-0.21000000000000085</v>
      </c>
    </row>
    <row r="1725" spans="1:3">
      <c r="A1725" t="s">
        <v>8473</v>
      </c>
      <c r="B1725">
        <v>51.39</v>
      </c>
      <c r="C1725">
        <v>-3.0000000000001137E-2</v>
      </c>
    </row>
    <row r="1726" spans="1:3">
      <c r="A1726" t="s">
        <v>8477</v>
      </c>
      <c r="B1726">
        <v>51.27</v>
      </c>
      <c r="C1726">
        <v>-0.11999999999999744</v>
      </c>
    </row>
    <row r="1727" spans="1:3">
      <c r="A1727" t="s">
        <v>8481</v>
      </c>
      <c r="B1727">
        <v>51.33</v>
      </c>
      <c r="C1727">
        <v>5.9999999999995168E-2</v>
      </c>
    </row>
    <row r="1728" spans="1:3">
      <c r="A1728" t="s">
        <v>8485</v>
      </c>
      <c r="B1728">
        <v>51.15</v>
      </c>
      <c r="C1728">
        <v>-0.17999999999999972</v>
      </c>
    </row>
    <row r="1729" spans="1:3">
      <c r="A1729" t="s">
        <v>8489</v>
      </c>
      <c r="B1729">
        <v>51.15</v>
      </c>
      <c r="C1729">
        <v>0</v>
      </c>
    </row>
    <row r="1730" spans="1:3">
      <c r="A1730" t="s">
        <v>8493</v>
      </c>
      <c r="B1730">
        <v>51.06</v>
      </c>
      <c r="C1730">
        <v>-8.9999999999996305E-2</v>
      </c>
    </row>
    <row r="1731" spans="1:3">
      <c r="A1731" t="s">
        <v>8497</v>
      </c>
      <c r="B1731">
        <v>50.91</v>
      </c>
      <c r="C1731">
        <v>-0.15000000000000568</v>
      </c>
    </row>
    <row r="1732" spans="1:3">
      <c r="A1732" t="s">
        <v>8501</v>
      </c>
      <c r="B1732">
        <v>50.91</v>
      </c>
      <c r="C1732">
        <v>0</v>
      </c>
    </row>
    <row r="1733" spans="1:3">
      <c r="A1733" t="s">
        <v>8505</v>
      </c>
      <c r="B1733">
        <v>50.91</v>
      </c>
      <c r="C1733">
        <v>0</v>
      </c>
    </row>
    <row r="1734" spans="1:3">
      <c r="A1734" t="s">
        <v>8509</v>
      </c>
      <c r="B1734">
        <v>50.79</v>
      </c>
      <c r="C1734">
        <v>-0.11999999999999744</v>
      </c>
    </row>
    <row r="1735" spans="1:3">
      <c r="A1735" t="s">
        <v>8513</v>
      </c>
      <c r="B1735">
        <v>50.67</v>
      </c>
      <c r="C1735">
        <v>-0.11999999999999744</v>
      </c>
    </row>
    <row r="1736" spans="1:3">
      <c r="A1736" t="s">
        <v>8517</v>
      </c>
      <c r="B1736">
        <v>50.61</v>
      </c>
      <c r="C1736">
        <v>-6.0000000000002274E-2</v>
      </c>
    </row>
    <row r="1737" spans="1:3">
      <c r="A1737" t="s">
        <v>8521</v>
      </c>
      <c r="B1737">
        <v>50.61</v>
      </c>
      <c r="C1737">
        <v>0</v>
      </c>
    </row>
    <row r="1738" spans="1:3">
      <c r="A1738" t="s">
        <v>8525</v>
      </c>
      <c r="B1738">
        <v>50.52</v>
      </c>
      <c r="C1738">
        <v>-8.9999999999996305E-2</v>
      </c>
    </row>
    <row r="1739" spans="1:3">
      <c r="A1739" t="s">
        <v>8529</v>
      </c>
      <c r="B1739">
        <v>50.55</v>
      </c>
      <c r="C1739">
        <v>2.9999999999994031E-2</v>
      </c>
    </row>
    <row r="1740" spans="1:3">
      <c r="A1740" t="s">
        <v>8533</v>
      </c>
      <c r="B1740">
        <v>50.34</v>
      </c>
      <c r="C1740">
        <v>-0.20999999999999375</v>
      </c>
    </row>
    <row r="1741" spans="1:3">
      <c r="A1741" t="s">
        <v>8537</v>
      </c>
      <c r="B1741">
        <v>50.31</v>
      </c>
      <c r="C1741">
        <v>-3.0000000000001137E-2</v>
      </c>
    </row>
    <row r="1742" spans="1:3">
      <c r="A1742" t="s">
        <v>8541</v>
      </c>
      <c r="B1742">
        <v>50.25</v>
      </c>
      <c r="C1742">
        <v>-6.0000000000002274E-2</v>
      </c>
    </row>
    <row r="1743" spans="1:3">
      <c r="A1743" t="s">
        <v>8545</v>
      </c>
      <c r="B1743">
        <v>50.22</v>
      </c>
      <c r="C1743">
        <v>-3.0000000000001137E-2</v>
      </c>
    </row>
    <row r="1744" spans="1:3">
      <c r="A1744" t="s">
        <v>8549</v>
      </c>
      <c r="B1744">
        <v>50.1</v>
      </c>
      <c r="C1744">
        <v>-0.11999999999999744</v>
      </c>
    </row>
    <row r="1745" spans="1:3">
      <c r="A1745" t="s">
        <v>8553</v>
      </c>
      <c r="B1745">
        <v>53.82</v>
      </c>
      <c r="C1745">
        <v>3.7199999999999989</v>
      </c>
    </row>
    <row r="1746" spans="1:3">
      <c r="A1746" t="s">
        <v>8561</v>
      </c>
      <c r="B1746">
        <v>81.69</v>
      </c>
      <c r="C1746">
        <v>27.869999999999997</v>
      </c>
    </row>
    <row r="1747" spans="1:3">
      <c r="A1747" t="s">
        <v>8566</v>
      </c>
      <c r="B1747">
        <v>82.35</v>
      </c>
      <c r="C1747">
        <v>0.65999999999999659</v>
      </c>
    </row>
    <row r="1748" spans="1:3">
      <c r="A1748" t="s">
        <v>8570</v>
      </c>
      <c r="B1748">
        <v>83.28</v>
      </c>
      <c r="C1748">
        <v>0.93000000000000682</v>
      </c>
    </row>
    <row r="1749" spans="1:3">
      <c r="A1749" t="s">
        <v>8575</v>
      </c>
      <c r="B1749">
        <v>53.13</v>
      </c>
      <c r="C1749">
        <v>-30.15</v>
      </c>
    </row>
    <row r="1750" spans="1:3">
      <c r="A1750" t="s">
        <v>8579</v>
      </c>
      <c r="B1750">
        <v>52.86</v>
      </c>
      <c r="C1750">
        <v>-0.27000000000000313</v>
      </c>
    </row>
    <row r="1751" spans="1:3">
      <c r="A1751" t="s">
        <v>8583</v>
      </c>
      <c r="B1751">
        <v>52.77</v>
      </c>
      <c r="C1751">
        <v>-8.9999999999996305E-2</v>
      </c>
    </row>
    <row r="1752" spans="1:3">
      <c r="A1752" t="s">
        <v>8587</v>
      </c>
      <c r="B1752">
        <v>52.62</v>
      </c>
      <c r="C1752">
        <v>-0.15000000000000568</v>
      </c>
    </row>
    <row r="1753" spans="1:3">
      <c r="A1753" t="s">
        <v>8591</v>
      </c>
      <c r="B1753">
        <v>52.53</v>
      </c>
      <c r="C1753">
        <v>-8.9999999999996305E-2</v>
      </c>
    </row>
    <row r="1754" spans="1:3">
      <c r="A1754" t="s">
        <v>8595</v>
      </c>
      <c r="B1754">
        <v>52.44</v>
      </c>
      <c r="C1754">
        <v>-9.0000000000003411E-2</v>
      </c>
    </row>
    <row r="1755" spans="1:3">
      <c r="A1755" t="s">
        <v>8599</v>
      </c>
      <c r="B1755">
        <v>52.44</v>
      </c>
      <c r="C1755">
        <v>0</v>
      </c>
    </row>
    <row r="1756" spans="1:3">
      <c r="A1756" t="s">
        <v>8603</v>
      </c>
      <c r="B1756">
        <v>52.29</v>
      </c>
      <c r="C1756">
        <v>-0.14999999999999858</v>
      </c>
    </row>
    <row r="1757" spans="1:3">
      <c r="A1757" t="s">
        <v>8607</v>
      </c>
      <c r="B1757">
        <v>52.23</v>
      </c>
      <c r="C1757">
        <v>-6.0000000000002274E-2</v>
      </c>
    </row>
    <row r="1758" spans="1:3">
      <c r="A1758" t="s">
        <v>8611</v>
      </c>
      <c r="B1758">
        <v>52.17</v>
      </c>
      <c r="C1758">
        <v>-5.9999999999995168E-2</v>
      </c>
    </row>
    <row r="1759" spans="1:3">
      <c r="A1759" t="s">
        <v>8615</v>
      </c>
      <c r="B1759">
        <v>52.11</v>
      </c>
      <c r="C1759">
        <v>-6.0000000000002274E-2</v>
      </c>
    </row>
    <row r="1760" spans="1:3">
      <c r="A1760" t="s">
        <v>8619</v>
      </c>
      <c r="B1760">
        <v>52.08</v>
      </c>
      <c r="C1760">
        <v>-3.0000000000001137E-2</v>
      </c>
    </row>
    <row r="1761" spans="1:3">
      <c r="A1761" t="s">
        <v>8623</v>
      </c>
      <c r="B1761">
        <v>52.08</v>
      </c>
      <c r="C1761">
        <v>0</v>
      </c>
    </row>
    <row r="1762" spans="1:3">
      <c r="A1762" t="s">
        <v>8627</v>
      </c>
      <c r="B1762">
        <v>51.93</v>
      </c>
      <c r="C1762">
        <v>-0.14999999999999858</v>
      </c>
    </row>
    <row r="1763" spans="1:3">
      <c r="A1763" t="s">
        <v>8631</v>
      </c>
      <c r="B1763">
        <v>51.96</v>
      </c>
      <c r="C1763">
        <v>3.0000000000001137E-2</v>
      </c>
    </row>
    <row r="1764" spans="1:3">
      <c r="A1764" t="s">
        <v>8635</v>
      </c>
      <c r="B1764">
        <v>51.84</v>
      </c>
      <c r="C1764">
        <v>-0.11999999999999744</v>
      </c>
    </row>
    <row r="1765" spans="1:3">
      <c r="A1765" t="s">
        <v>8639</v>
      </c>
      <c r="B1765">
        <v>51.9</v>
      </c>
      <c r="C1765">
        <v>5.9999999999995168E-2</v>
      </c>
    </row>
    <row r="1766" spans="1:3">
      <c r="A1766" t="s">
        <v>8643</v>
      </c>
      <c r="B1766">
        <v>51.75</v>
      </c>
      <c r="C1766">
        <v>-0.14999999999999858</v>
      </c>
    </row>
    <row r="1767" spans="1:3">
      <c r="A1767" t="s">
        <v>8647</v>
      </c>
      <c r="B1767">
        <v>51.57</v>
      </c>
      <c r="C1767">
        <v>-0.17999999999999972</v>
      </c>
    </row>
    <row r="1768" spans="1:3">
      <c r="A1768" t="s">
        <v>8651</v>
      </c>
      <c r="B1768">
        <v>51.69</v>
      </c>
      <c r="C1768">
        <v>0.11999999999999744</v>
      </c>
    </row>
    <row r="1769" spans="1:3">
      <c r="A1769" t="s">
        <v>8655</v>
      </c>
      <c r="B1769">
        <v>51.6</v>
      </c>
      <c r="C1769">
        <v>-8.9999999999996305E-2</v>
      </c>
    </row>
    <row r="1770" spans="1:3">
      <c r="A1770" t="s">
        <v>8659</v>
      </c>
      <c r="B1770">
        <v>51.63</v>
      </c>
      <c r="C1770">
        <v>3.0000000000001137E-2</v>
      </c>
    </row>
    <row r="1771" spans="1:3">
      <c r="A1771" t="s">
        <v>8663</v>
      </c>
      <c r="B1771">
        <v>51.39</v>
      </c>
      <c r="C1771">
        <v>-0.24000000000000199</v>
      </c>
    </row>
    <row r="1772" spans="1:3">
      <c r="A1772" t="s">
        <v>8667</v>
      </c>
      <c r="B1772">
        <v>51.27</v>
      </c>
      <c r="C1772">
        <v>-0.11999999999999744</v>
      </c>
    </row>
    <row r="1773" spans="1:3">
      <c r="A1773" t="s">
        <v>8671</v>
      </c>
      <c r="B1773">
        <v>51.36</v>
      </c>
      <c r="C1773">
        <v>8.9999999999996305E-2</v>
      </c>
    </row>
    <row r="1774" spans="1:3">
      <c r="A1774" t="s">
        <v>8675</v>
      </c>
      <c r="B1774">
        <v>51.3</v>
      </c>
      <c r="C1774">
        <v>-6.0000000000002274E-2</v>
      </c>
    </row>
    <row r="1775" spans="1:3">
      <c r="A1775" t="s">
        <v>8679</v>
      </c>
      <c r="B1775">
        <v>51.12</v>
      </c>
      <c r="C1775">
        <v>-0.17999999999999972</v>
      </c>
    </row>
    <row r="1776" spans="1:3">
      <c r="A1776" t="s">
        <v>8683</v>
      </c>
      <c r="B1776">
        <v>51.06</v>
      </c>
      <c r="C1776">
        <v>-5.9999999999995168E-2</v>
      </c>
    </row>
    <row r="1777" spans="1:3">
      <c r="A1777" t="s">
        <v>8687</v>
      </c>
      <c r="B1777">
        <v>51</v>
      </c>
      <c r="C1777">
        <v>-6.0000000000002274E-2</v>
      </c>
    </row>
    <row r="1778" spans="1:3">
      <c r="A1778" t="s">
        <v>8691</v>
      </c>
      <c r="B1778">
        <v>50.85</v>
      </c>
      <c r="C1778">
        <v>-0.14999999999999858</v>
      </c>
    </row>
    <row r="1779" spans="1:3">
      <c r="A1779" t="s">
        <v>8695</v>
      </c>
      <c r="B1779">
        <v>50.76</v>
      </c>
      <c r="C1779">
        <v>-9.0000000000003411E-2</v>
      </c>
    </row>
    <row r="1780" spans="1:3">
      <c r="A1780" t="s">
        <v>8699</v>
      </c>
      <c r="B1780">
        <v>50.67</v>
      </c>
      <c r="C1780">
        <v>-8.9999999999996305E-2</v>
      </c>
    </row>
    <row r="1781" spans="1:3">
      <c r="A1781" t="s">
        <v>8703</v>
      </c>
      <c r="B1781">
        <v>50.37</v>
      </c>
      <c r="C1781">
        <v>-0.30000000000000426</v>
      </c>
    </row>
    <row r="1782" spans="1:3">
      <c r="A1782" t="s">
        <v>8707</v>
      </c>
      <c r="B1782">
        <v>50.25</v>
      </c>
      <c r="C1782">
        <v>-0.11999999999999744</v>
      </c>
    </row>
    <row r="1783" spans="1:3">
      <c r="A1783" t="s">
        <v>8711</v>
      </c>
      <c r="B1783">
        <v>50.25</v>
      </c>
      <c r="C1783">
        <v>0</v>
      </c>
    </row>
    <row r="1784" spans="1:3">
      <c r="A1784" t="s">
        <v>8715</v>
      </c>
      <c r="B1784">
        <v>57.75</v>
      </c>
      <c r="C1784">
        <v>7.5</v>
      </c>
    </row>
    <row r="1785" spans="1:3">
      <c r="A1785" t="s">
        <v>8724</v>
      </c>
      <c r="B1785">
        <v>81.78</v>
      </c>
      <c r="C1785">
        <v>24.03</v>
      </c>
    </row>
    <row r="1786" spans="1:3">
      <c r="A1786" t="s">
        <v>8729</v>
      </c>
      <c r="B1786">
        <v>82.32</v>
      </c>
      <c r="C1786">
        <v>0.53999999999999204</v>
      </c>
    </row>
    <row r="1787" spans="1:3">
      <c r="A1787" t="s">
        <v>8733</v>
      </c>
      <c r="B1787">
        <v>83.13</v>
      </c>
      <c r="C1787">
        <v>0.81000000000000227</v>
      </c>
    </row>
    <row r="1788" spans="1:3">
      <c r="A1788" t="s">
        <v>8738</v>
      </c>
      <c r="B1788">
        <v>52.86</v>
      </c>
      <c r="C1788">
        <v>-30.269999999999996</v>
      </c>
    </row>
    <row r="1789" spans="1:3">
      <c r="A1789" t="s">
        <v>8742</v>
      </c>
      <c r="B1789">
        <v>52.5</v>
      </c>
      <c r="C1789">
        <v>-0.35999999999999943</v>
      </c>
    </row>
    <row r="1790" spans="1:3">
      <c r="A1790" t="s">
        <v>8746</v>
      </c>
      <c r="B1790">
        <v>52.29</v>
      </c>
      <c r="C1790">
        <v>-0.21000000000000085</v>
      </c>
    </row>
    <row r="1791" spans="1:3">
      <c r="A1791" t="s">
        <v>8750</v>
      </c>
      <c r="B1791">
        <v>52.17</v>
      </c>
      <c r="C1791">
        <v>-0.11999999999999744</v>
      </c>
    </row>
    <row r="1792" spans="1:3">
      <c r="A1792" t="s">
        <v>8754</v>
      </c>
      <c r="B1792">
        <v>51.99</v>
      </c>
      <c r="C1792">
        <v>-0.17999999999999972</v>
      </c>
    </row>
    <row r="1793" spans="1:3">
      <c r="A1793" t="s">
        <v>8758</v>
      </c>
      <c r="B1793">
        <v>51.69</v>
      </c>
      <c r="C1793">
        <v>-0.30000000000000426</v>
      </c>
    </row>
    <row r="1794" spans="1:3">
      <c r="A1794" t="s">
        <v>8762</v>
      </c>
      <c r="B1794">
        <v>51.69</v>
      </c>
      <c r="C1794">
        <v>0</v>
      </c>
    </row>
    <row r="1795" spans="1:3">
      <c r="A1795" t="s">
        <v>8766</v>
      </c>
      <c r="B1795">
        <v>51.54</v>
      </c>
      <c r="C1795">
        <v>-0.14999999999999858</v>
      </c>
    </row>
    <row r="1796" spans="1:3">
      <c r="A1796" t="s">
        <v>8770</v>
      </c>
      <c r="B1796">
        <v>51.42</v>
      </c>
      <c r="C1796">
        <v>-0.11999999999999744</v>
      </c>
    </row>
    <row r="1797" spans="1:3">
      <c r="A1797" t="s">
        <v>8774</v>
      </c>
      <c r="B1797">
        <v>51.21</v>
      </c>
      <c r="C1797">
        <v>-0.21000000000000085</v>
      </c>
    </row>
    <row r="1798" spans="1:3">
      <c r="A1798" t="s">
        <v>8778</v>
      </c>
      <c r="B1798">
        <v>51</v>
      </c>
      <c r="C1798">
        <v>-0.21000000000000085</v>
      </c>
    </row>
    <row r="1799" spans="1:3">
      <c r="A1799" t="s">
        <v>8782</v>
      </c>
      <c r="B1799">
        <v>50.97</v>
      </c>
      <c r="C1799">
        <v>-3.0000000000001137E-2</v>
      </c>
    </row>
    <row r="1800" spans="1:3">
      <c r="A1800" t="s">
        <v>8786</v>
      </c>
      <c r="B1800">
        <v>50.76</v>
      </c>
      <c r="C1800">
        <v>-0.21000000000000085</v>
      </c>
    </row>
    <row r="1801" spans="1:3">
      <c r="A1801" t="s">
        <v>8790</v>
      </c>
      <c r="B1801">
        <v>50.67</v>
      </c>
      <c r="C1801">
        <v>-8.9999999999996305E-2</v>
      </c>
    </row>
    <row r="1802" spans="1:3">
      <c r="A1802" t="s">
        <v>8796</v>
      </c>
      <c r="B1802">
        <v>50.55</v>
      </c>
      <c r="C1802">
        <v>-0.12000000000000455</v>
      </c>
    </row>
    <row r="1803" spans="1:3">
      <c r="A1803" t="s">
        <v>8800</v>
      </c>
      <c r="B1803">
        <v>50.4</v>
      </c>
      <c r="C1803">
        <v>-0.14999999999999858</v>
      </c>
    </row>
    <row r="1804" spans="1:3">
      <c r="A1804" t="s">
        <v>8804</v>
      </c>
      <c r="B1804">
        <v>50.34</v>
      </c>
      <c r="C1804">
        <v>-5.9999999999995168E-2</v>
      </c>
    </row>
    <row r="1805" spans="1:3">
      <c r="A1805" t="s">
        <v>8808</v>
      </c>
      <c r="B1805">
        <v>50.07</v>
      </c>
      <c r="C1805">
        <v>-0.27000000000000313</v>
      </c>
    </row>
    <row r="1806" spans="1:3">
      <c r="A1806" t="s">
        <v>8812</v>
      </c>
      <c r="B1806">
        <v>81.209999999999994</v>
      </c>
      <c r="C1806">
        <v>31.139999999999993</v>
      </c>
    </row>
    <row r="1807" spans="1:3">
      <c r="A1807" t="s">
        <v>8818</v>
      </c>
      <c r="B1807">
        <v>81.96</v>
      </c>
      <c r="C1807">
        <v>0.75</v>
      </c>
    </row>
    <row r="1808" spans="1:3">
      <c r="A1808" t="s">
        <v>8822</v>
      </c>
      <c r="B1808">
        <v>82.92</v>
      </c>
      <c r="C1808">
        <v>0.96000000000000796</v>
      </c>
    </row>
    <row r="1809" spans="1:3">
      <c r="A1809" t="s">
        <v>8826</v>
      </c>
      <c r="B1809">
        <v>82.11</v>
      </c>
      <c r="C1809">
        <v>-0.81000000000000227</v>
      </c>
    </row>
    <row r="1810" spans="1:3">
      <c r="A1810" t="s">
        <v>8830</v>
      </c>
      <c r="B1810">
        <v>52.62</v>
      </c>
      <c r="C1810">
        <v>-29.490000000000002</v>
      </c>
    </row>
    <row r="1811" spans="1:3">
      <c r="A1811" t="s">
        <v>8834</v>
      </c>
      <c r="B1811">
        <v>52.35</v>
      </c>
      <c r="C1811">
        <v>-0.26999999999999602</v>
      </c>
    </row>
    <row r="1812" spans="1:3">
      <c r="A1812" t="s">
        <v>8838</v>
      </c>
      <c r="B1812">
        <v>52.26</v>
      </c>
      <c r="C1812">
        <v>-9.0000000000003411E-2</v>
      </c>
    </row>
    <row r="1813" spans="1:3">
      <c r="A1813" t="s">
        <v>8842</v>
      </c>
      <c r="B1813">
        <v>51.93</v>
      </c>
      <c r="C1813">
        <v>-0.32999999999999829</v>
      </c>
    </row>
    <row r="1814" spans="1:3">
      <c r="A1814" t="s">
        <v>8846</v>
      </c>
      <c r="B1814">
        <v>51.99</v>
      </c>
      <c r="C1814">
        <v>6.0000000000002274E-2</v>
      </c>
    </row>
    <row r="1815" spans="1:3">
      <c r="A1815" t="s">
        <v>8850</v>
      </c>
      <c r="B1815">
        <v>51.63</v>
      </c>
      <c r="C1815">
        <v>-0.35999999999999943</v>
      </c>
    </row>
    <row r="1816" spans="1:3">
      <c r="A1816" t="s">
        <v>8854</v>
      </c>
      <c r="B1816">
        <v>51.54</v>
      </c>
      <c r="C1816">
        <v>-9.0000000000003411E-2</v>
      </c>
    </row>
    <row r="1817" spans="1:3">
      <c r="A1817" t="s">
        <v>8858</v>
      </c>
      <c r="B1817">
        <v>51.51</v>
      </c>
      <c r="C1817">
        <v>-3.0000000000001137E-2</v>
      </c>
    </row>
    <row r="1818" spans="1:3">
      <c r="A1818" t="s">
        <v>8862</v>
      </c>
      <c r="B1818">
        <v>51.39</v>
      </c>
      <c r="C1818">
        <v>-0.11999999999999744</v>
      </c>
    </row>
    <row r="1819" spans="1:3">
      <c r="A1819" t="s">
        <v>8866</v>
      </c>
      <c r="B1819">
        <v>51.12</v>
      </c>
      <c r="C1819">
        <v>-0.27000000000000313</v>
      </c>
    </row>
    <row r="1820" spans="1:3">
      <c r="A1820" t="s">
        <v>8870</v>
      </c>
      <c r="B1820">
        <v>51</v>
      </c>
      <c r="C1820">
        <v>-0.11999999999999744</v>
      </c>
    </row>
    <row r="1821" spans="1:3">
      <c r="A1821" t="s">
        <v>8874</v>
      </c>
      <c r="B1821">
        <v>50.82</v>
      </c>
      <c r="C1821">
        <v>-0.17999999999999972</v>
      </c>
    </row>
    <row r="1822" spans="1:3">
      <c r="A1822" t="s">
        <v>8878</v>
      </c>
      <c r="B1822">
        <v>50.7</v>
      </c>
      <c r="C1822">
        <v>-0.11999999999999744</v>
      </c>
    </row>
    <row r="1823" spans="1:3">
      <c r="A1823" t="s">
        <v>8882</v>
      </c>
      <c r="B1823">
        <v>50.67</v>
      </c>
      <c r="C1823">
        <v>-3.0000000000001137E-2</v>
      </c>
    </row>
    <row r="1824" spans="1:3">
      <c r="A1824" t="s">
        <v>8886</v>
      </c>
      <c r="B1824">
        <v>50.43</v>
      </c>
      <c r="C1824">
        <v>-0.24000000000000199</v>
      </c>
    </row>
    <row r="1825" spans="1:3">
      <c r="A1825" t="s">
        <v>8890</v>
      </c>
      <c r="B1825">
        <v>50.34</v>
      </c>
      <c r="C1825">
        <v>-8.9999999999996305E-2</v>
      </c>
    </row>
    <row r="1826" spans="1:3">
      <c r="A1826" t="s">
        <v>8894</v>
      </c>
      <c r="B1826">
        <v>50.07</v>
      </c>
      <c r="C1826">
        <v>-0.27000000000000313</v>
      </c>
    </row>
    <row r="1827" spans="1:3">
      <c r="A1827" t="s">
        <v>8898</v>
      </c>
      <c r="B1827">
        <v>50.19</v>
      </c>
      <c r="C1827">
        <v>0.11999999999999744</v>
      </c>
    </row>
    <row r="1828" spans="1:3">
      <c r="A1828" t="s">
        <v>8902</v>
      </c>
      <c r="B1828">
        <v>81.540000000000006</v>
      </c>
      <c r="C1828">
        <v>31.350000000000009</v>
      </c>
    </row>
    <row r="1829" spans="1:3">
      <c r="A1829" t="s">
        <v>8906</v>
      </c>
      <c r="B1829">
        <v>82.59</v>
      </c>
      <c r="C1829">
        <v>1.0499999999999972</v>
      </c>
    </row>
    <row r="1830" spans="1:3">
      <c r="A1830" t="s">
        <v>8911</v>
      </c>
      <c r="B1830">
        <v>83.1</v>
      </c>
      <c r="C1830">
        <v>0.50999999999999091</v>
      </c>
    </row>
    <row r="1831" spans="1:3">
      <c r="A1831" t="s">
        <v>8916</v>
      </c>
      <c r="B1831">
        <v>52.92</v>
      </c>
      <c r="C1831">
        <v>-30.179999999999993</v>
      </c>
    </row>
    <row r="1832" spans="1:3">
      <c r="A1832" t="s">
        <v>8921</v>
      </c>
      <c r="B1832">
        <v>52.68</v>
      </c>
      <c r="C1832">
        <v>-0.24000000000000199</v>
      </c>
    </row>
    <row r="1833" spans="1:3">
      <c r="A1833" t="s">
        <v>8925</v>
      </c>
      <c r="B1833">
        <v>52.44</v>
      </c>
      <c r="C1833">
        <v>-0.24000000000000199</v>
      </c>
    </row>
    <row r="1834" spans="1:3">
      <c r="A1834" t="s">
        <v>8929</v>
      </c>
      <c r="B1834">
        <v>52.23</v>
      </c>
      <c r="C1834">
        <v>-0.21000000000000085</v>
      </c>
    </row>
    <row r="1835" spans="1:3">
      <c r="A1835" t="s">
        <v>8933</v>
      </c>
      <c r="B1835">
        <v>52.17</v>
      </c>
      <c r="C1835">
        <v>-5.9999999999995168E-2</v>
      </c>
    </row>
    <row r="1836" spans="1:3">
      <c r="A1836" t="s">
        <v>8937</v>
      </c>
      <c r="B1836">
        <v>51.84</v>
      </c>
      <c r="C1836">
        <v>-0.32999999999999829</v>
      </c>
    </row>
    <row r="1837" spans="1:3">
      <c r="A1837" t="s">
        <v>8941</v>
      </c>
      <c r="B1837">
        <v>51.9</v>
      </c>
      <c r="C1837">
        <v>5.9999999999995168E-2</v>
      </c>
    </row>
    <row r="1838" spans="1:3">
      <c r="A1838" t="s">
        <v>8945</v>
      </c>
      <c r="B1838">
        <v>51.78</v>
      </c>
      <c r="C1838">
        <v>-0.11999999999999744</v>
      </c>
    </row>
    <row r="1839" spans="1:3">
      <c r="A1839" t="s">
        <v>8949</v>
      </c>
      <c r="B1839">
        <v>51.51</v>
      </c>
      <c r="C1839">
        <v>-0.27000000000000313</v>
      </c>
    </row>
    <row r="1840" spans="1:3">
      <c r="A1840" t="s">
        <v>8953</v>
      </c>
      <c r="B1840">
        <v>51.42</v>
      </c>
      <c r="C1840">
        <v>-8.9999999999996305E-2</v>
      </c>
    </row>
    <row r="1841" spans="1:3">
      <c r="A1841" t="s">
        <v>8957</v>
      </c>
      <c r="B1841">
        <v>51.21</v>
      </c>
      <c r="C1841">
        <v>-0.21000000000000085</v>
      </c>
    </row>
    <row r="1842" spans="1:3">
      <c r="A1842" t="s">
        <v>8961</v>
      </c>
      <c r="B1842">
        <v>51.21</v>
      </c>
      <c r="C1842">
        <v>0</v>
      </c>
    </row>
    <row r="1843" spans="1:3">
      <c r="A1843" t="s">
        <v>8965</v>
      </c>
      <c r="B1843">
        <v>50.97</v>
      </c>
      <c r="C1843">
        <v>-0.24000000000000199</v>
      </c>
    </row>
    <row r="1844" spans="1:3">
      <c r="A1844" t="s">
        <v>8969</v>
      </c>
      <c r="B1844">
        <v>50.82</v>
      </c>
      <c r="C1844">
        <v>-0.14999999999999858</v>
      </c>
    </row>
    <row r="1845" spans="1:3">
      <c r="A1845" t="s">
        <v>8973</v>
      </c>
      <c r="B1845">
        <v>50.73</v>
      </c>
      <c r="C1845">
        <v>-9.0000000000003411E-2</v>
      </c>
    </row>
    <row r="1846" spans="1:3">
      <c r="A1846" t="s">
        <v>8977</v>
      </c>
      <c r="B1846">
        <v>50.55</v>
      </c>
      <c r="C1846">
        <v>-0.17999999999999972</v>
      </c>
    </row>
    <row r="1847" spans="1:3">
      <c r="A1847" t="s">
        <v>8981</v>
      </c>
      <c r="B1847">
        <v>50.43</v>
      </c>
      <c r="C1847">
        <v>-0.11999999999999744</v>
      </c>
    </row>
    <row r="1848" spans="1:3">
      <c r="A1848" t="s">
        <v>8985</v>
      </c>
      <c r="B1848">
        <v>50.46</v>
      </c>
      <c r="C1848">
        <v>3.0000000000001137E-2</v>
      </c>
    </row>
    <row r="1849" spans="1:3">
      <c r="A1849" t="s">
        <v>8989</v>
      </c>
      <c r="B1849">
        <v>50.19</v>
      </c>
      <c r="C1849">
        <v>-0.27000000000000313</v>
      </c>
    </row>
    <row r="1850" spans="1:3">
      <c r="A1850" t="s">
        <v>8993</v>
      </c>
      <c r="B1850">
        <v>50.13</v>
      </c>
      <c r="C1850">
        <v>-5.9999999999995168E-2</v>
      </c>
    </row>
    <row r="1851" spans="1:3">
      <c r="A1851" t="s">
        <v>8997</v>
      </c>
      <c r="B1851">
        <v>80.58</v>
      </c>
      <c r="C1851">
        <v>30.449999999999996</v>
      </c>
    </row>
    <row r="1852" spans="1:3">
      <c r="A1852" t="s">
        <v>9002</v>
      </c>
      <c r="B1852">
        <v>82.26</v>
      </c>
      <c r="C1852">
        <v>1.6800000000000068</v>
      </c>
    </row>
    <row r="1853" spans="1:3">
      <c r="A1853" t="s">
        <v>9006</v>
      </c>
      <c r="B1853">
        <v>82.74</v>
      </c>
      <c r="C1853">
        <v>0.47999999999998977</v>
      </c>
    </row>
    <row r="1854" spans="1:3">
      <c r="A1854" t="s">
        <v>9010</v>
      </c>
      <c r="B1854">
        <v>71.52</v>
      </c>
      <c r="C1854">
        <v>-11.219999999999999</v>
      </c>
    </row>
    <row r="1855" spans="1:3">
      <c r="A1855" t="s">
        <v>9018</v>
      </c>
      <c r="B1855">
        <v>52.95</v>
      </c>
      <c r="C1855">
        <v>-18.569999999999993</v>
      </c>
    </row>
    <row r="1856" spans="1:3">
      <c r="A1856" t="s">
        <v>9022</v>
      </c>
      <c r="B1856">
        <v>52.56</v>
      </c>
      <c r="C1856">
        <v>-0.39000000000000057</v>
      </c>
    </row>
    <row r="1857" spans="1:3">
      <c r="A1857" t="s">
        <v>9026</v>
      </c>
      <c r="B1857">
        <v>52.23</v>
      </c>
      <c r="C1857">
        <v>-0.3300000000000054</v>
      </c>
    </row>
    <row r="1858" spans="1:3">
      <c r="A1858" t="s">
        <v>9030</v>
      </c>
      <c r="B1858">
        <v>52.29</v>
      </c>
      <c r="C1858">
        <v>6.0000000000002274E-2</v>
      </c>
    </row>
    <row r="1859" spans="1:3">
      <c r="A1859" t="s">
        <v>9034</v>
      </c>
      <c r="B1859">
        <v>51.99</v>
      </c>
      <c r="C1859">
        <v>-0.29999999999999716</v>
      </c>
    </row>
    <row r="1860" spans="1:3">
      <c r="A1860" t="s">
        <v>9038</v>
      </c>
      <c r="B1860">
        <v>51.75</v>
      </c>
      <c r="C1860">
        <v>-0.24000000000000199</v>
      </c>
    </row>
    <row r="1861" spans="1:3">
      <c r="A1861" t="s">
        <v>9042</v>
      </c>
      <c r="B1861">
        <v>51.75</v>
      </c>
      <c r="C1861">
        <v>0</v>
      </c>
    </row>
    <row r="1862" spans="1:3">
      <c r="A1862" t="s">
        <v>9046</v>
      </c>
      <c r="B1862">
        <v>51.6</v>
      </c>
      <c r="C1862">
        <v>-0.14999999999999858</v>
      </c>
    </row>
    <row r="1863" spans="1:3">
      <c r="A1863" t="s">
        <v>9050</v>
      </c>
      <c r="B1863">
        <v>51.51</v>
      </c>
      <c r="C1863">
        <v>-9.0000000000003411E-2</v>
      </c>
    </row>
    <row r="1864" spans="1:3">
      <c r="A1864" t="s">
        <v>9054</v>
      </c>
      <c r="B1864">
        <v>51.27</v>
      </c>
      <c r="C1864">
        <v>-0.23999999999999488</v>
      </c>
    </row>
    <row r="1865" spans="1:3">
      <c r="A1865" t="s">
        <v>9058</v>
      </c>
      <c r="B1865">
        <v>51</v>
      </c>
      <c r="C1865">
        <v>-0.27000000000000313</v>
      </c>
    </row>
    <row r="1866" spans="1:3">
      <c r="A1866" t="s">
        <v>9062</v>
      </c>
      <c r="B1866">
        <v>51.03</v>
      </c>
      <c r="C1866">
        <v>3.0000000000001137E-2</v>
      </c>
    </row>
    <row r="1867" spans="1:3">
      <c r="A1867" t="s">
        <v>9066</v>
      </c>
      <c r="B1867">
        <v>50.88</v>
      </c>
      <c r="C1867">
        <v>-0.14999999999999858</v>
      </c>
    </row>
    <row r="1868" spans="1:3">
      <c r="A1868" t="s">
        <v>9070</v>
      </c>
      <c r="B1868">
        <v>50.82</v>
      </c>
      <c r="C1868">
        <v>-6.0000000000002274E-2</v>
      </c>
    </row>
    <row r="1869" spans="1:3">
      <c r="A1869" t="s">
        <v>9074</v>
      </c>
      <c r="B1869">
        <v>50.7</v>
      </c>
      <c r="C1869">
        <v>-0.11999999999999744</v>
      </c>
    </row>
    <row r="1870" spans="1:3">
      <c r="A1870" t="s">
        <v>9078</v>
      </c>
      <c r="B1870">
        <v>50.43</v>
      </c>
      <c r="C1870">
        <v>-0.27000000000000313</v>
      </c>
    </row>
    <row r="1871" spans="1:3">
      <c r="A1871" t="s">
        <v>9082</v>
      </c>
      <c r="B1871">
        <v>50.31</v>
      </c>
      <c r="C1871">
        <v>-0.11999999999999744</v>
      </c>
    </row>
    <row r="1872" spans="1:3">
      <c r="A1872" t="s">
        <v>9086</v>
      </c>
      <c r="B1872">
        <v>50.22</v>
      </c>
      <c r="C1872">
        <v>-9.0000000000003411E-2</v>
      </c>
    </row>
    <row r="1873" spans="1:3">
      <c r="A1873" t="s">
        <v>9090</v>
      </c>
      <c r="B1873">
        <v>50.01</v>
      </c>
      <c r="C1873">
        <v>-0.21000000000000085</v>
      </c>
    </row>
    <row r="1874" spans="1:3">
      <c r="A1874" t="s">
        <v>9094</v>
      </c>
      <c r="B1874">
        <v>57.78</v>
      </c>
      <c r="C1874">
        <v>7.7700000000000031</v>
      </c>
    </row>
    <row r="1875" spans="1:3">
      <c r="A1875" t="s">
        <v>9100</v>
      </c>
      <c r="B1875">
        <v>81.69</v>
      </c>
      <c r="C1875">
        <v>23.909999999999997</v>
      </c>
    </row>
    <row r="1876" spans="1:3">
      <c r="A1876" t="s">
        <v>9105</v>
      </c>
      <c r="B1876">
        <v>82.29</v>
      </c>
      <c r="C1876">
        <v>0.60000000000000853</v>
      </c>
    </row>
    <row r="1877" spans="1:3">
      <c r="A1877" t="s">
        <v>9110</v>
      </c>
      <c r="B1877">
        <v>83.04</v>
      </c>
      <c r="C1877">
        <v>0.75</v>
      </c>
    </row>
    <row r="1878" spans="1:3">
      <c r="A1878" t="s">
        <v>9116</v>
      </c>
      <c r="B1878">
        <v>52.86</v>
      </c>
      <c r="C1878">
        <v>-30.180000000000007</v>
      </c>
    </row>
    <row r="1879" spans="1:3">
      <c r="A1879" t="s">
        <v>9120</v>
      </c>
      <c r="B1879">
        <v>52.62</v>
      </c>
      <c r="C1879">
        <v>-0.24000000000000199</v>
      </c>
    </row>
    <row r="1880" spans="1:3">
      <c r="A1880" t="s">
        <v>9124</v>
      </c>
      <c r="B1880">
        <v>52.29</v>
      </c>
      <c r="C1880">
        <v>-0.32999999999999829</v>
      </c>
    </row>
    <row r="1881" spans="1:3">
      <c r="A1881" t="s">
        <v>9128</v>
      </c>
      <c r="B1881">
        <v>52.17</v>
      </c>
      <c r="C1881">
        <v>-0.11999999999999744</v>
      </c>
    </row>
    <row r="1882" spans="1:3">
      <c r="A1882" t="s">
        <v>9132</v>
      </c>
      <c r="B1882">
        <v>52.05</v>
      </c>
      <c r="C1882">
        <v>-0.12000000000000455</v>
      </c>
    </row>
    <row r="1883" spans="1:3">
      <c r="A1883" t="s">
        <v>9136</v>
      </c>
      <c r="B1883">
        <v>51.78</v>
      </c>
      <c r="C1883">
        <v>-0.26999999999999602</v>
      </c>
    </row>
    <row r="1884" spans="1:3">
      <c r="A1884" t="s">
        <v>9140</v>
      </c>
      <c r="B1884">
        <v>51.66</v>
      </c>
      <c r="C1884">
        <v>-0.12000000000000455</v>
      </c>
    </row>
    <row r="1885" spans="1:3">
      <c r="A1885" t="s">
        <v>9144</v>
      </c>
      <c r="B1885">
        <v>51.51</v>
      </c>
      <c r="C1885">
        <v>-0.14999999999999858</v>
      </c>
    </row>
    <row r="1886" spans="1:3">
      <c r="A1886" t="s">
        <v>9148</v>
      </c>
      <c r="B1886">
        <v>51.42</v>
      </c>
      <c r="C1886">
        <v>-8.9999999999996305E-2</v>
      </c>
    </row>
    <row r="1887" spans="1:3">
      <c r="A1887" t="s">
        <v>9152</v>
      </c>
      <c r="B1887">
        <v>51.27</v>
      </c>
      <c r="C1887">
        <v>-0.14999999999999858</v>
      </c>
    </row>
    <row r="1888" spans="1:3">
      <c r="A1888" t="s">
        <v>9156</v>
      </c>
      <c r="B1888">
        <v>51.12</v>
      </c>
      <c r="C1888">
        <v>-0.15000000000000568</v>
      </c>
    </row>
    <row r="1889" spans="1:3">
      <c r="A1889" t="s">
        <v>9160</v>
      </c>
      <c r="B1889">
        <v>51.03</v>
      </c>
      <c r="C1889">
        <v>-8.9999999999996305E-2</v>
      </c>
    </row>
    <row r="1890" spans="1:3">
      <c r="A1890" t="s">
        <v>9164</v>
      </c>
      <c r="B1890">
        <v>50.82</v>
      </c>
      <c r="C1890">
        <v>-0.21000000000000085</v>
      </c>
    </row>
    <row r="1891" spans="1:3">
      <c r="A1891" t="s">
        <v>9168</v>
      </c>
      <c r="B1891">
        <v>50.79</v>
      </c>
      <c r="C1891">
        <v>-3.0000000000001137E-2</v>
      </c>
    </row>
    <row r="1892" spans="1:3">
      <c r="A1892" t="s">
        <v>9172</v>
      </c>
      <c r="B1892">
        <v>50.61</v>
      </c>
      <c r="C1892">
        <v>-0.17999999999999972</v>
      </c>
    </row>
    <row r="1893" spans="1:3">
      <c r="A1893" t="s">
        <v>9176</v>
      </c>
      <c r="B1893">
        <v>50.52</v>
      </c>
      <c r="C1893">
        <v>-8.9999999999996305E-2</v>
      </c>
    </row>
    <row r="1894" spans="1:3">
      <c r="A1894" t="s">
        <v>9180</v>
      </c>
      <c r="B1894">
        <v>50.43</v>
      </c>
      <c r="C1894">
        <v>-9.0000000000003411E-2</v>
      </c>
    </row>
    <row r="1895" spans="1:3">
      <c r="A1895" t="s">
        <v>9184</v>
      </c>
      <c r="B1895">
        <v>50.19</v>
      </c>
      <c r="C1895">
        <v>-0.24000000000000199</v>
      </c>
    </row>
    <row r="1896" spans="1:3">
      <c r="A1896" t="s">
        <v>9188</v>
      </c>
      <c r="B1896">
        <v>50.13</v>
      </c>
      <c r="C1896">
        <v>-5.9999999999995168E-2</v>
      </c>
    </row>
    <row r="1897" spans="1:3">
      <c r="A1897" t="s">
        <v>9192</v>
      </c>
      <c r="B1897">
        <v>49.98</v>
      </c>
      <c r="C1897">
        <v>-0.15000000000000568</v>
      </c>
    </row>
    <row r="1898" spans="1:3">
      <c r="A1898" t="s">
        <v>9196</v>
      </c>
      <c r="B1898">
        <v>80.819999999999993</v>
      </c>
      <c r="C1898">
        <v>30.839999999999996</v>
      </c>
    </row>
    <row r="1899" spans="1:3">
      <c r="A1899" t="s">
        <v>9202</v>
      </c>
      <c r="B1899">
        <v>81.84</v>
      </c>
      <c r="C1899">
        <v>1.0200000000000102</v>
      </c>
    </row>
    <row r="1900" spans="1:3">
      <c r="A1900" t="s">
        <v>9208</v>
      </c>
      <c r="B1900">
        <v>82.77</v>
      </c>
      <c r="C1900">
        <v>0.92999999999999261</v>
      </c>
    </row>
    <row r="1901" spans="1:3">
      <c r="A1901" t="s">
        <v>9213</v>
      </c>
      <c r="B1901">
        <v>63.42</v>
      </c>
      <c r="C1901">
        <v>-19.349999999999994</v>
      </c>
    </row>
    <row r="1902" spans="1:3">
      <c r="A1902" t="s">
        <v>9221</v>
      </c>
      <c r="B1902">
        <v>52.8</v>
      </c>
      <c r="C1902">
        <v>-10.620000000000005</v>
      </c>
    </row>
    <row r="1903" spans="1:3">
      <c r="A1903" t="s">
        <v>9225</v>
      </c>
      <c r="B1903">
        <v>52.44</v>
      </c>
      <c r="C1903">
        <v>-0.35999999999999943</v>
      </c>
    </row>
    <row r="1904" spans="1:3">
      <c r="A1904" t="s">
        <v>9229</v>
      </c>
      <c r="B1904">
        <v>52.38</v>
      </c>
      <c r="C1904">
        <v>-5.9999999999995168E-2</v>
      </c>
    </row>
    <row r="1905" spans="1:3">
      <c r="A1905" t="s">
        <v>9233</v>
      </c>
      <c r="B1905">
        <v>52.17</v>
      </c>
      <c r="C1905">
        <v>-0.21000000000000085</v>
      </c>
    </row>
    <row r="1906" spans="1:3">
      <c r="A1906" t="s">
        <v>9237</v>
      </c>
      <c r="B1906">
        <v>51.9</v>
      </c>
      <c r="C1906">
        <v>-0.27000000000000313</v>
      </c>
    </row>
    <row r="1907" spans="1:3">
      <c r="A1907" t="s">
        <v>9241</v>
      </c>
      <c r="B1907">
        <v>51.81</v>
      </c>
      <c r="C1907">
        <v>-8.9999999999996305E-2</v>
      </c>
    </row>
    <row r="1908" spans="1:3">
      <c r="A1908" t="s">
        <v>9245</v>
      </c>
      <c r="B1908">
        <v>51.54</v>
      </c>
      <c r="C1908">
        <v>-0.27000000000000313</v>
      </c>
    </row>
    <row r="1909" spans="1:3">
      <c r="A1909" t="s">
        <v>9249</v>
      </c>
      <c r="B1909">
        <v>51.6</v>
      </c>
      <c r="C1909">
        <v>6.0000000000002274E-2</v>
      </c>
    </row>
    <row r="1910" spans="1:3">
      <c r="A1910" t="s">
        <v>9253</v>
      </c>
      <c r="B1910">
        <v>51.42</v>
      </c>
      <c r="C1910">
        <v>-0.17999999999999972</v>
      </c>
    </row>
    <row r="1911" spans="1:3">
      <c r="A1911" t="s">
        <v>9257</v>
      </c>
      <c r="B1911">
        <v>51.21</v>
      </c>
      <c r="C1911">
        <v>-0.21000000000000085</v>
      </c>
    </row>
    <row r="1912" spans="1:3">
      <c r="A1912" t="s">
        <v>9261</v>
      </c>
      <c r="B1912">
        <v>51.12</v>
      </c>
      <c r="C1912">
        <v>-9.0000000000003411E-2</v>
      </c>
    </row>
    <row r="1913" spans="1:3">
      <c r="A1913" t="s">
        <v>9265</v>
      </c>
      <c r="B1913">
        <v>51.03</v>
      </c>
      <c r="C1913">
        <v>-8.9999999999996305E-2</v>
      </c>
    </row>
    <row r="1914" spans="1:3">
      <c r="A1914" t="s">
        <v>9269</v>
      </c>
      <c r="B1914">
        <v>50.88</v>
      </c>
      <c r="C1914">
        <v>-0.14999999999999858</v>
      </c>
    </row>
    <row r="1915" spans="1:3">
      <c r="A1915" t="s">
        <v>9273</v>
      </c>
      <c r="B1915">
        <v>50.88</v>
      </c>
      <c r="C1915">
        <v>0</v>
      </c>
    </row>
    <row r="1916" spans="1:3">
      <c r="A1916" t="s">
        <v>9277</v>
      </c>
      <c r="B1916">
        <v>50.79</v>
      </c>
      <c r="C1916">
        <v>-9.0000000000003411E-2</v>
      </c>
    </row>
    <row r="1917" spans="1:3">
      <c r="A1917" t="s">
        <v>9281</v>
      </c>
      <c r="B1917">
        <v>50.64</v>
      </c>
      <c r="C1917">
        <v>-0.14999999999999858</v>
      </c>
    </row>
    <row r="1918" spans="1:3">
      <c r="A1918" t="s">
        <v>9285</v>
      </c>
      <c r="B1918">
        <v>50.49</v>
      </c>
      <c r="C1918">
        <v>-0.14999999999999858</v>
      </c>
    </row>
    <row r="1919" spans="1:3">
      <c r="A1919" t="s">
        <v>9289</v>
      </c>
      <c r="B1919">
        <v>50.46</v>
      </c>
      <c r="C1919">
        <v>-3.0000000000001137E-2</v>
      </c>
    </row>
    <row r="1920" spans="1:3">
      <c r="A1920" t="s">
        <v>9293</v>
      </c>
      <c r="B1920">
        <v>50.28</v>
      </c>
      <c r="C1920">
        <v>-0.17999999999999972</v>
      </c>
    </row>
    <row r="1921" spans="1:3">
      <c r="A1921" t="s">
        <v>9297</v>
      </c>
      <c r="B1921">
        <v>63.84</v>
      </c>
      <c r="C1921">
        <v>13.560000000000002</v>
      </c>
    </row>
    <row r="1922" spans="1:3">
      <c r="A1922" t="s">
        <v>9306</v>
      </c>
      <c r="B1922">
        <v>80.760000000000005</v>
      </c>
      <c r="C1922">
        <v>16.920000000000002</v>
      </c>
    </row>
    <row r="1923" spans="1:3">
      <c r="A1923" t="s">
        <v>9311</v>
      </c>
      <c r="B1923">
        <v>82.2</v>
      </c>
      <c r="C1923">
        <v>1.4399999999999977</v>
      </c>
    </row>
    <row r="1924" spans="1:3">
      <c r="A1924" t="s">
        <v>9315</v>
      </c>
      <c r="B1924">
        <v>83.07</v>
      </c>
      <c r="C1924">
        <v>0.86999999999999034</v>
      </c>
    </row>
    <row r="1925" spans="1:3">
      <c r="A1925" t="s">
        <v>9319</v>
      </c>
      <c r="B1925">
        <v>82.02</v>
      </c>
      <c r="C1925">
        <v>-1.0499999999999972</v>
      </c>
    </row>
    <row r="1926" spans="1:3">
      <c r="A1926" t="s">
        <v>9324</v>
      </c>
      <c r="B1926">
        <v>52.92</v>
      </c>
      <c r="C1926">
        <v>-29.099999999999994</v>
      </c>
    </row>
    <row r="1927" spans="1:3">
      <c r="A1927" t="s">
        <v>9328</v>
      </c>
      <c r="B1927">
        <v>52.8</v>
      </c>
      <c r="C1927">
        <v>-0.12000000000000455</v>
      </c>
    </row>
    <row r="1928" spans="1:3">
      <c r="A1928" t="s">
        <v>9332</v>
      </c>
      <c r="B1928">
        <v>52.56</v>
      </c>
      <c r="C1928">
        <v>-0.23999999999999488</v>
      </c>
    </row>
    <row r="1929" spans="1:3">
      <c r="A1929" t="s">
        <v>9336</v>
      </c>
      <c r="B1929">
        <v>52.44</v>
      </c>
      <c r="C1929">
        <v>-0.12000000000000455</v>
      </c>
    </row>
    <row r="1930" spans="1:3">
      <c r="A1930" t="s">
        <v>9340</v>
      </c>
      <c r="B1930">
        <v>52.47</v>
      </c>
      <c r="C1930">
        <v>3.0000000000001137E-2</v>
      </c>
    </row>
    <row r="1931" spans="1:3">
      <c r="A1931" t="s">
        <v>9344</v>
      </c>
      <c r="B1931">
        <v>52.32</v>
      </c>
      <c r="C1931">
        <v>-0.14999999999999858</v>
      </c>
    </row>
    <row r="1932" spans="1:3">
      <c r="A1932" t="s">
        <v>9348</v>
      </c>
      <c r="B1932">
        <v>51.99</v>
      </c>
      <c r="C1932">
        <v>-0.32999999999999829</v>
      </c>
    </row>
    <row r="1933" spans="1:3">
      <c r="A1933" t="s">
        <v>9352</v>
      </c>
      <c r="B1933">
        <v>52.17</v>
      </c>
      <c r="C1933">
        <v>0.17999999999999972</v>
      </c>
    </row>
    <row r="1934" spans="1:3">
      <c r="A1934" t="s">
        <v>9356</v>
      </c>
      <c r="B1934">
        <v>52.08</v>
      </c>
      <c r="C1934">
        <v>-9.0000000000003411E-2</v>
      </c>
    </row>
    <row r="1935" spans="1:3">
      <c r="A1935" t="s">
        <v>9360</v>
      </c>
      <c r="B1935">
        <v>51.9</v>
      </c>
      <c r="C1935">
        <v>-0.17999999999999972</v>
      </c>
    </row>
    <row r="1936" spans="1:3">
      <c r="A1936" t="s">
        <v>9364</v>
      </c>
      <c r="B1936">
        <v>51.81</v>
      </c>
      <c r="C1936">
        <v>-8.9999999999996305E-2</v>
      </c>
    </row>
    <row r="1937" spans="1:3">
      <c r="A1937" t="s">
        <v>9368</v>
      </c>
      <c r="B1937">
        <v>51.54</v>
      </c>
      <c r="C1937">
        <v>-0.27000000000000313</v>
      </c>
    </row>
    <row r="1938" spans="1:3">
      <c r="A1938" t="s">
        <v>9372</v>
      </c>
      <c r="B1938">
        <v>51.69</v>
      </c>
      <c r="C1938">
        <v>0.14999999999999858</v>
      </c>
    </row>
    <row r="1939" spans="1:3">
      <c r="A1939" t="s">
        <v>9376</v>
      </c>
      <c r="B1939">
        <v>51.54</v>
      </c>
      <c r="C1939">
        <v>-0.14999999999999858</v>
      </c>
    </row>
    <row r="1940" spans="1:3">
      <c r="A1940" t="s">
        <v>9380</v>
      </c>
      <c r="B1940">
        <v>51.48</v>
      </c>
      <c r="C1940">
        <v>-6.0000000000002274E-2</v>
      </c>
    </row>
    <row r="1941" spans="1:3">
      <c r="A1941" t="s">
        <v>9384</v>
      </c>
      <c r="B1941">
        <v>51.33</v>
      </c>
      <c r="C1941">
        <v>-0.14999999999999858</v>
      </c>
    </row>
    <row r="1942" spans="1:3">
      <c r="A1942" t="s">
        <v>9388</v>
      </c>
      <c r="B1942">
        <v>51.33</v>
      </c>
      <c r="C1942">
        <v>0</v>
      </c>
    </row>
    <row r="1943" spans="1:3">
      <c r="A1943" t="s">
        <v>9392</v>
      </c>
      <c r="B1943">
        <v>51.24</v>
      </c>
      <c r="C1943">
        <v>-8.9999999999996305E-2</v>
      </c>
    </row>
    <row r="1944" spans="1:3">
      <c r="A1944" t="s">
        <v>9396</v>
      </c>
      <c r="B1944">
        <v>51.12</v>
      </c>
      <c r="C1944">
        <v>-0.12000000000000455</v>
      </c>
    </row>
    <row r="1945" spans="1:3">
      <c r="A1945" t="s">
        <v>9400</v>
      </c>
      <c r="B1945">
        <v>51</v>
      </c>
      <c r="C1945">
        <v>-0.11999999999999744</v>
      </c>
    </row>
    <row r="1946" spans="1:3">
      <c r="A1946" t="s">
        <v>9404</v>
      </c>
      <c r="B1946">
        <v>51.12</v>
      </c>
      <c r="C1946">
        <v>0.11999999999999744</v>
      </c>
    </row>
    <row r="1947" spans="1:3">
      <c r="A1947" t="s">
        <v>9408</v>
      </c>
      <c r="B1947">
        <v>50.94</v>
      </c>
      <c r="C1947">
        <v>-0.17999999999999972</v>
      </c>
    </row>
    <row r="1948" spans="1:3">
      <c r="A1948" t="s">
        <v>9412</v>
      </c>
      <c r="B1948">
        <v>50.85</v>
      </c>
      <c r="C1948">
        <v>-8.9999999999996305E-2</v>
      </c>
    </row>
    <row r="1949" spans="1:3">
      <c r="A1949" t="s">
        <v>9416</v>
      </c>
      <c r="B1949">
        <v>50.67</v>
      </c>
      <c r="C1949">
        <v>-0.17999999999999972</v>
      </c>
    </row>
    <row r="1950" spans="1:3">
      <c r="A1950" t="s">
        <v>9420</v>
      </c>
      <c r="B1950">
        <v>50.7</v>
      </c>
      <c r="C1950">
        <v>3.0000000000001137E-2</v>
      </c>
    </row>
    <row r="1951" spans="1:3">
      <c r="A1951" t="s">
        <v>9424</v>
      </c>
      <c r="B1951">
        <v>50.64</v>
      </c>
      <c r="C1951">
        <v>-6.0000000000002274E-2</v>
      </c>
    </row>
    <row r="1952" spans="1:3">
      <c r="A1952" t="s">
        <v>9428</v>
      </c>
      <c r="B1952">
        <v>50.55</v>
      </c>
      <c r="C1952">
        <v>-9.0000000000003411E-2</v>
      </c>
    </row>
    <row r="1953" spans="1:3">
      <c r="A1953" t="s">
        <v>9432</v>
      </c>
      <c r="B1953">
        <v>50.49</v>
      </c>
      <c r="C1953">
        <v>-5.9999999999995168E-2</v>
      </c>
    </row>
    <row r="1954" spans="1:3">
      <c r="A1954" t="s">
        <v>9436</v>
      </c>
      <c r="B1954">
        <v>50.4</v>
      </c>
      <c r="C1954">
        <v>-9.0000000000003411E-2</v>
      </c>
    </row>
    <row r="1955" spans="1:3">
      <c r="A1955" t="s">
        <v>9440</v>
      </c>
      <c r="B1955">
        <v>50.31</v>
      </c>
      <c r="C1955">
        <v>-8.9999999999996305E-2</v>
      </c>
    </row>
    <row r="1956" spans="1:3">
      <c r="A1956" t="s">
        <v>9444</v>
      </c>
      <c r="B1956">
        <v>50.13</v>
      </c>
      <c r="C1956">
        <v>-0.17999999999999972</v>
      </c>
    </row>
    <row r="1957" spans="1:3">
      <c r="A1957" t="s">
        <v>9448</v>
      </c>
      <c r="B1957">
        <v>50.07</v>
      </c>
      <c r="C1957">
        <v>-6.0000000000002274E-2</v>
      </c>
    </row>
    <row r="1958" spans="1:3">
      <c r="A1958" t="s">
        <v>9452</v>
      </c>
      <c r="B1958">
        <v>50.07</v>
      </c>
      <c r="C1958">
        <v>0</v>
      </c>
    </row>
    <row r="1959" spans="1:3">
      <c r="A1959" t="s">
        <v>9456</v>
      </c>
      <c r="B1959">
        <v>80.489999999999995</v>
      </c>
      <c r="C1959">
        <v>30.419999999999995</v>
      </c>
    </row>
    <row r="1960" spans="1:3">
      <c r="A1960" t="s">
        <v>9462</v>
      </c>
      <c r="B1960">
        <v>82.26</v>
      </c>
      <c r="C1960">
        <v>1.7700000000000102</v>
      </c>
    </row>
    <row r="1961" spans="1:3">
      <c r="A1961" t="s">
        <v>9466</v>
      </c>
      <c r="B1961">
        <v>82.77</v>
      </c>
      <c r="C1961">
        <v>0.50999999999999091</v>
      </c>
    </row>
    <row r="1962" spans="1:3">
      <c r="A1962" t="s">
        <v>9471</v>
      </c>
      <c r="B1962">
        <v>73.05</v>
      </c>
      <c r="C1962">
        <v>-9.7199999999999989</v>
      </c>
    </row>
    <row r="1963" spans="1:3">
      <c r="A1963" t="s">
        <v>9479</v>
      </c>
      <c r="B1963">
        <v>53.19</v>
      </c>
      <c r="C1963">
        <v>-19.86</v>
      </c>
    </row>
    <row r="1964" spans="1:3">
      <c r="A1964" t="s">
        <v>9484</v>
      </c>
      <c r="B1964">
        <v>52.56</v>
      </c>
      <c r="C1964">
        <v>-0.62999999999999545</v>
      </c>
    </row>
    <row r="1965" spans="1:3">
      <c r="A1965" t="s">
        <v>9488</v>
      </c>
      <c r="B1965">
        <v>52.44</v>
      </c>
      <c r="C1965">
        <v>-0.12000000000000455</v>
      </c>
    </row>
    <row r="1966" spans="1:3">
      <c r="A1966" t="s">
        <v>9492</v>
      </c>
      <c r="B1966">
        <v>52.53</v>
      </c>
      <c r="C1966">
        <v>9.0000000000003411E-2</v>
      </c>
    </row>
    <row r="1967" spans="1:3">
      <c r="A1967" t="s">
        <v>9496</v>
      </c>
      <c r="B1967">
        <v>52.38</v>
      </c>
      <c r="C1967">
        <v>-0.14999999999999858</v>
      </c>
    </row>
    <row r="1968" spans="1:3">
      <c r="A1968" t="s">
        <v>9500</v>
      </c>
      <c r="B1968">
        <v>52.14</v>
      </c>
      <c r="C1968">
        <v>-0.24000000000000199</v>
      </c>
    </row>
    <row r="1969" spans="1:3">
      <c r="A1969" t="s">
        <v>9504</v>
      </c>
      <c r="B1969">
        <v>52.26</v>
      </c>
      <c r="C1969">
        <v>0.11999999999999744</v>
      </c>
    </row>
    <row r="1970" spans="1:3">
      <c r="A1970" t="s">
        <v>9508</v>
      </c>
      <c r="B1970">
        <v>52.11</v>
      </c>
      <c r="C1970">
        <v>-0.14999999999999858</v>
      </c>
    </row>
    <row r="1971" spans="1:3">
      <c r="A1971" t="s">
        <v>9512</v>
      </c>
      <c r="B1971">
        <v>51.96</v>
      </c>
      <c r="C1971">
        <v>-0.14999999999999858</v>
      </c>
    </row>
    <row r="1972" spans="1:3">
      <c r="A1972" t="s">
        <v>9516</v>
      </c>
      <c r="B1972">
        <v>51.9</v>
      </c>
      <c r="C1972">
        <v>-6.0000000000002274E-2</v>
      </c>
    </row>
    <row r="1973" spans="1:3">
      <c r="A1973" t="s">
        <v>9520</v>
      </c>
      <c r="B1973">
        <v>51.72</v>
      </c>
      <c r="C1973">
        <v>-0.17999999999999972</v>
      </c>
    </row>
    <row r="1974" spans="1:3">
      <c r="A1974" t="s">
        <v>9524</v>
      </c>
      <c r="B1974">
        <v>51.66</v>
      </c>
      <c r="C1974">
        <v>-6.0000000000002274E-2</v>
      </c>
    </row>
    <row r="1975" spans="1:3">
      <c r="A1975" t="s">
        <v>9528</v>
      </c>
      <c r="B1975">
        <v>51.63</v>
      </c>
      <c r="C1975">
        <v>-2.9999999999994031E-2</v>
      </c>
    </row>
    <row r="1976" spans="1:3">
      <c r="A1976" t="s">
        <v>9532</v>
      </c>
      <c r="B1976">
        <v>51.57</v>
      </c>
      <c r="C1976">
        <v>-6.0000000000002274E-2</v>
      </c>
    </row>
    <row r="1977" spans="1:3">
      <c r="A1977" t="s">
        <v>9536</v>
      </c>
      <c r="B1977">
        <v>51.57</v>
      </c>
      <c r="C1977">
        <v>0</v>
      </c>
    </row>
    <row r="1978" spans="1:3">
      <c r="A1978" t="s">
        <v>9540</v>
      </c>
      <c r="B1978">
        <v>51.42</v>
      </c>
      <c r="C1978">
        <v>-0.14999999999999858</v>
      </c>
    </row>
    <row r="1979" spans="1:3">
      <c r="A1979" t="s">
        <v>9544</v>
      </c>
      <c r="B1979">
        <v>51.33</v>
      </c>
      <c r="C1979">
        <v>-9.0000000000003411E-2</v>
      </c>
    </row>
    <row r="1980" spans="1:3">
      <c r="A1980" t="s">
        <v>9548</v>
      </c>
      <c r="B1980">
        <v>51.24</v>
      </c>
      <c r="C1980">
        <v>-8.9999999999996305E-2</v>
      </c>
    </row>
    <row r="1981" spans="1:3">
      <c r="A1981" t="s">
        <v>9552</v>
      </c>
      <c r="B1981">
        <v>51.18</v>
      </c>
      <c r="C1981">
        <v>-6.0000000000002274E-2</v>
      </c>
    </row>
    <row r="1982" spans="1:3">
      <c r="A1982" t="s">
        <v>9556</v>
      </c>
      <c r="B1982">
        <v>51.18</v>
      </c>
      <c r="C1982">
        <v>0</v>
      </c>
    </row>
    <row r="1983" spans="1:3">
      <c r="A1983" t="s">
        <v>9560</v>
      </c>
      <c r="B1983">
        <v>51.03</v>
      </c>
      <c r="C1983">
        <v>-0.14999999999999858</v>
      </c>
    </row>
    <row r="1984" spans="1:3">
      <c r="A1984" t="s">
        <v>9564</v>
      </c>
      <c r="B1984">
        <v>51.03</v>
      </c>
      <c r="C1984">
        <v>0</v>
      </c>
    </row>
    <row r="1985" spans="1:3">
      <c r="A1985" t="s">
        <v>9568</v>
      </c>
      <c r="B1985">
        <v>50.91</v>
      </c>
      <c r="C1985">
        <v>-0.12000000000000455</v>
      </c>
    </row>
    <row r="1986" spans="1:3">
      <c r="A1986" t="s">
        <v>9572</v>
      </c>
      <c r="B1986">
        <v>50.85</v>
      </c>
      <c r="C1986">
        <v>-5.9999999999995168E-2</v>
      </c>
    </row>
    <row r="1987" spans="1:3">
      <c r="A1987" t="s">
        <v>9576</v>
      </c>
      <c r="B1987">
        <v>50.76</v>
      </c>
      <c r="C1987">
        <v>-9.0000000000003411E-2</v>
      </c>
    </row>
    <row r="1988" spans="1:3">
      <c r="A1988" t="s">
        <v>9580</v>
      </c>
      <c r="B1988">
        <v>50.7</v>
      </c>
      <c r="C1988">
        <v>-5.9999999999995168E-2</v>
      </c>
    </row>
    <row r="1989" spans="1:3">
      <c r="A1989" t="s">
        <v>9584</v>
      </c>
      <c r="B1989">
        <v>50.55</v>
      </c>
      <c r="C1989">
        <v>-0.15000000000000568</v>
      </c>
    </row>
    <row r="1990" spans="1:3">
      <c r="A1990" t="s">
        <v>9588</v>
      </c>
      <c r="B1990">
        <v>50.64</v>
      </c>
      <c r="C1990">
        <v>9.0000000000003411E-2</v>
      </c>
    </row>
    <row r="1991" spans="1:3">
      <c r="A1991" t="s">
        <v>9592</v>
      </c>
      <c r="B1991">
        <v>50.46</v>
      </c>
      <c r="C1991">
        <v>-0.17999999999999972</v>
      </c>
    </row>
    <row r="1992" spans="1:3">
      <c r="A1992" t="s">
        <v>9596</v>
      </c>
      <c r="B1992">
        <v>50.52</v>
      </c>
      <c r="C1992">
        <v>6.0000000000002274E-2</v>
      </c>
    </row>
    <row r="1993" spans="1:3">
      <c r="A1993" t="s">
        <v>9600</v>
      </c>
      <c r="B1993">
        <v>50.19</v>
      </c>
      <c r="C1993">
        <v>-0.3300000000000054</v>
      </c>
    </row>
    <row r="1994" spans="1:3">
      <c r="A1994" t="s">
        <v>9604</v>
      </c>
      <c r="B1994">
        <v>50.34</v>
      </c>
      <c r="C1994">
        <v>0.15000000000000568</v>
      </c>
    </row>
    <row r="1995" spans="1:3">
      <c r="A1995" t="s">
        <v>9608</v>
      </c>
      <c r="B1995">
        <v>50.16</v>
      </c>
      <c r="C1995">
        <v>-0.18000000000000682</v>
      </c>
    </row>
    <row r="1996" spans="1:3">
      <c r="A1996" t="s">
        <v>9612</v>
      </c>
      <c r="B1996">
        <v>50.13</v>
      </c>
      <c r="C1996">
        <v>-2.9999999999994031E-2</v>
      </c>
    </row>
    <row r="1997" spans="1:3">
      <c r="A1997" t="s">
        <v>9616</v>
      </c>
      <c r="B1997">
        <v>50.13</v>
      </c>
      <c r="C1997">
        <v>0</v>
      </c>
    </row>
    <row r="1998" spans="1:3">
      <c r="A1998" t="s">
        <v>9620</v>
      </c>
      <c r="B1998">
        <v>62.55</v>
      </c>
      <c r="C1998">
        <v>12.419999999999995</v>
      </c>
    </row>
    <row r="1999" spans="1:3">
      <c r="A1999" t="s">
        <v>9627</v>
      </c>
      <c r="B1999">
        <v>81.06</v>
      </c>
      <c r="C1999">
        <v>18.510000000000005</v>
      </c>
    </row>
    <row r="2000" spans="1:3">
      <c r="A2000" t="s">
        <v>9633</v>
      </c>
      <c r="B2000">
        <v>82.56</v>
      </c>
      <c r="C2000">
        <v>1.5</v>
      </c>
    </row>
    <row r="2001" spans="1:3">
      <c r="A2001" t="s">
        <v>9637</v>
      </c>
      <c r="B2001">
        <v>83.19</v>
      </c>
      <c r="C2001">
        <v>0.62999999999999545</v>
      </c>
    </row>
    <row r="2002" spans="1:3">
      <c r="A2002" t="s">
        <v>9642</v>
      </c>
      <c r="B2002">
        <v>62.91</v>
      </c>
      <c r="C2002">
        <v>-20.28</v>
      </c>
    </row>
    <row r="2003" spans="1:3">
      <c r="A2003" t="s">
        <v>9649</v>
      </c>
      <c r="B2003">
        <v>52.86</v>
      </c>
      <c r="C2003">
        <v>-10.049999999999997</v>
      </c>
    </row>
    <row r="2004" spans="1:3">
      <c r="A2004" t="s">
        <v>9653</v>
      </c>
      <c r="B2004">
        <v>52.68</v>
      </c>
      <c r="C2004">
        <v>-0.17999999999999972</v>
      </c>
    </row>
    <row r="2005" spans="1:3">
      <c r="A2005" t="s">
        <v>9657</v>
      </c>
      <c r="B2005">
        <v>52.68</v>
      </c>
      <c r="C2005">
        <v>0</v>
      </c>
    </row>
    <row r="2006" spans="1:3">
      <c r="A2006" t="s">
        <v>9661</v>
      </c>
      <c r="B2006">
        <v>52.59</v>
      </c>
      <c r="C2006">
        <v>-8.9999999999996305E-2</v>
      </c>
    </row>
    <row r="2007" spans="1:3">
      <c r="A2007" t="s">
        <v>9665</v>
      </c>
      <c r="B2007">
        <v>52.5</v>
      </c>
      <c r="C2007">
        <v>-9.0000000000003411E-2</v>
      </c>
    </row>
    <row r="2008" spans="1:3">
      <c r="A2008" t="s">
        <v>9669</v>
      </c>
      <c r="B2008">
        <v>52.35</v>
      </c>
      <c r="C2008">
        <v>-0.14999999999999858</v>
      </c>
    </row>
    <row r="2009" spans="1:3">
      <c r="A2009" t="s">
        <v>9673</v>
      </c>
      <c r="B2009">
        <v>52.05</v>
      </c>
      <c r="C2009">
        <v>-0.30000000000000426</v>
      </c>
    </row>
    <row r="2010" spans="1:3">
      <c r="A2010" t="s">
        <v>9677</v>
      </c>
      <c r="B2010">
        <v>52.05</v>
      </c>
      <c r="C2010">
        <v>0</v>
      </c>
    </row>
    <row r="2011" spans="1:3">
      <c r="A2011" t="s">
        <v>9681</v>
      </c>
      <c r="B2011">
        <v>51.99</v>
      </c>
      <c r="C2011">
        <v>-5.9999999999995168E-2</v>
      </c>
    </row>
    <row r="2012" spans="1:3">
      <c r="A2012" t="s">
        <v>9685</v>
      </c>
      <c r="B2012">
        <v>52.08</v>
      </c>
      <c r="C2012">
        <v>8.9999999999996305E-2</v>
      </c>
    </row>
    <row r="2013" spans="1:3">
      <c r="A2013" t="s">
        <v>9689</v>
      </c>
      <c r="B2013">
        <v>51.99</v>
      </c>
      <c r="C2013">
        <v>-8.9999999999996305E-2</v>
      </c>
    </row>
    <row r="2014" spans="1:3">
      <c r="A2014" t="s">
        <v>9693</v>
      </c>
      <c r="B2014">
        <v>51.75</v>
      </c>
      <c r="C2014">
        <v>-0.24000000000000199</v>
      </c>
    </row>
    <row r="2015" spans="1:3">
      <c r="A2015" t="s">
        <v>9697</v>
      </c>
      <c r="B2015">
        <v>51.72</v>
      </c>
      <c r="C2015">
        <v>-3.0000000000001137E-2</v>
      </c>
    </row>
    <row r="2016" spans="1:3">
      <c r="A2016" t="s">
        <v>9701</v>
      </c>
      <c r="B2016">
        <v>51.54</v>
      </c>
      <c r="C2016">
        <v>-0.17999999999999972</v>
      </c>
    </row>
    <row r="2017" spans="1:3">
      <c r="A2017" t="s">
        <v>9705</v>
      </c>
      <c r="B2017">
        <v>51.69</v>
      </c>
      <c r="C2017">
        <v>0.14999999999999858</v>
      </c>
    </row>
    <row r="2018" spans="1:3">
      <c r="A2018" t="s">
        <v>9709</v>
      </c>
      <c r="B2018">
        <v>51.54</v>
      </c>
      <c r="C2018">
        <v>-0.14999999999999858</v>
      </c>
    </row>
    <row r="2019" spans="1:3">
      <c r="A2019" t="s">
        <v>9713</v>
      </c>
      <c r="B2019">
        <v>51.42</v>
      </c>
      <c r="C2019">
        <v>-0.11999999999999744</v>
      </c>
    </row>
    <row r="2020" spans="1:3">
      <c r="A2020" t="s">
        <v>9717</v>
      </c>
      <c r="B2020">
        <v>51.3</v>
      </c>
      <c r="C2020">
        <v>-0.12000000000000455</v>
      </c>
    </row>
    <row r="2021" spans="1:3">
      <c r="A2021" t="s">
        <v>9721</v>
      </c>
      <c r="B2021">
        <v>51.21</v>
      </c>
      <c r="C2021">
        <v>-8.9999999999996305E-2</v>
      </c>
    </row>
    <row r="2022" spans="1:3">
      <c r="A2022" t="s">
        <v>9725</v>
      </c>
      <c r="B2022">
        <v>51.24</v>
      </c>
      <c r="C2022">
        <v>3.0000000000001137E-2</v>
      </c>
    </row>
    <row r="2023" spans="1:3">
      <c r="A2023" t="s">
        <v>9729</v>
      </c>
      <c r="B2023">
        <v>51.09</v>
      </c>
      <c r="C2023">
        <v>-0.14999999999999858</v>
      </c>
    </row>
    <row r="2024" spans="1:3">
      <c r="A2024" t="s">
        <v>9733</v>
      </c>
      <c r="B2024">
        <v>51</v>
      </c>
      <c r="C2024">
        <v>-9.0000000000003411E-2</v>
      </c>
    </row>
    <row r="2025" spans="1:3">
      <c r="A2025" t="s">
        <v>9737</v>
      </c>
      <c r="B2025">
        <v>50.85</v>
      </c>
      <c r="C2025">
        <v>-0.14999999999999858</v>
      </c>
    </row>
    <row r="2026" spans="1:3">
      <c r="A2026" t="s">
        <v>9741</v>
      </c>
      <c r="B2026">
        <v>50.91</v>
      </c>
      <c r="C2026">
        <v>5.9999999999995168E-2</v>
      </c>
    </row>
    <row r="2027" spans="1:3">
      <c r="A2027" t="s">
        <v>9745</v>
      </c>
      <c r="B2027">
        <v>50.88</v>
      </c>
      <c r="C2027">
        <v>-2.9999999999994031E-2</v>
      </c>
    </row>
    <row r="2028" spans="1:3">
      <c r="A2028" t="s">
        <v>9749</v>
      </c>
      <c r="B2028">
        <v>50.73</v>
      </c>
      <c r="C2028">
        <v>-0.15000000000000568</v>
      </c>
    </row>
    <row r="2029" spans="1:3">
      <c r="A2029" t="s">
        <v>9753</v>
      </c>
      <c r="B2029">
        <v>50.73</v>
      </c>
      <c r="C2029">
        <v>0</v>
      </c>
    </row>
    <row r="2030" spans="1:3">
      <c r="A2030" t="s">
        <v>9757</v>
      </c>
      <c r="B2030">
        <v>50.73</v>
      </c>
      <c r="C2030">
        <v>0</v>
      </c>
    </row>
    <row r="2031" spans="1:3">
      <c r="A2031" t="s">
        <v>9761</v>
      </c>
      <c r="B2031">
        <v>50.55</v>
      </c>
      <c r="C2031">
        <v>-0.17999999999999972</v>
      </c>
    </row>
    <row r="2032" spans="1:3">
      <c r="A2032" t="s">
        <v>9765</v>
      </c>
      <c r="B2032">
        <v>50.49</v>
      </c>
      <c r="C2032">
        <v>-5.9999999999995168E-2</v>
      </c>
    </row>
    <row r="2033" spans="1:3">
      <c r="A2033" t="s">
        <v>9769</v>
      </c>
      <c r="B2033">
        <v>50.58</v>
      </c>
      <c r="C2033">
        <v>8.9999999999996305E-2</v>
      </c>
    </row>
    <row r="2034" spans="1:3">
      <c r="A2034" t="s">
        <v>9773</v>
      </c>
      <c r="B2034">
        <v>50.4</v>
      </c>
      <c r="C2034">
        <v>-0.17999999999999972</v>
      </c>
    </row>
    <row r="2035" spans="1:3">
      <c r="A2035" t="s">
        <v>9777</v>
      </c>
      <c r="B2035">
        <v>50.34</v>
      </c>
      <c r="C2035">
        <v>-5.9999999999995168E-2</v>
      </c>
    </row>
    <row r="2036" spans="1:3">
      <c r="A2036" t="s">
        <v>9781</v>
      </c>
      <c r="B2036">
        <v>50.25</v>
      </c>
      <c r="C2036">
        <v>-9.0000000000003411E-2</v>
      </c>
    </row>
    <row r="2037" spans="1:3">
      <c r="A2037" t="s">
        <v>9785</v>
      </c>
      <c r="B2037">
        <v>50.1</v>
      </c>
      <c r="C2037">
        <v>-0.14999999999999858</v>
      </c>
    </row>
    <row r="2038" spans="1:3">
      <c r="A2038" t="s">
        <v>9789</v>
      </c>
      <c r="B2038">
        <v>50.13</v>
      </c>
      <c r="C2038">
        <v>3.0000000000001137E-2</v>
      </c>
    </row>
    <row r="2039" spans="1:3">
      <c r="A2039" t="s">
        <v>9793</v>
      </c>
      <c r="B2039">
        <v>50.07</v>
      </c>
      <c r="C2039">
        <v>-6.0000000000002274E-2</v>
      </c>
    </row>
    <row r="2040" spans="1:3">
      <c r="A2040" t="s">
        <v>9797</v>
      </c>
      <c r="B2040">
        <v>81.09</v>
      </c>
      <c r="C2040">
        <v>31.020000000000003</v>
      </c>
    </row>
    <row r="2041" spans="1:3">
      <c r="A2041" t="s">
        <v>9801</v>
      </c>
      <c r="B2041">
        <v>81.87</v>
      </c>
      <c r="C2041">
        <v>0.78000000000000114</v>
      </c>
    </row>
    <row r="2042" spans="1:3">
      <c r="A2042" t="s">
        <v>9806</v>
      </c>
      <c r="B2042">
        <v>82.92</v>
      </c>
      <c r="C2042">
        <v>1.0499999999999972</v>
      </c>
    </row>
    <row r="2043" spans="1:3">
      <c r="A2043" t="s">
        <v>9811</v>
      </c>
      <c r="B2043">
        <v>83.01</v>
      </c>
      <c r="C2043">
        <v>9.0000000000003411E-2</v>
      </c>
    </row>
    <row r="2044" spans="1:3">
      <c r="A2044" t="s">
        <v>9815</v>
      </c>
      <c r="B2044">
        <v>53.1</v>
      </c>
      <c r="C2044">
        <v>-29.910000000000004</v>
      </c>
    </row>
    <row r="2045" spans="1:3">
      <c r="A2045" t="s">
        <v>9819</v>
      </c>
      <c r="B2045">
        <v>52.77</v>
      </c>
      <c r="C2045">
        <v>-0.32999999999999829</v>
      </c>
    </row>
    <row r="2046" spans="1:3">
      <c r="A2046" t="s">
        <v>9823</v>
      </c>
      <c r="B2046">
        <v>52.74</v>
      </c>
      <c r="C2046">
        <v>-3.0000000000001137E-2</v>
      </c>
    </row>
    <row r="2047" spans="1:3">
      <c r="A2047" t="s">
        <v>9827</v>
      </c>
      <c r="B2047">
        <v>52.59</v>
      </c>
      <c r="C2047">
        <v>-0.14999999999999858</v>
      </c>
    </row>
    <row r="2048" spans="1:3">
      <c r="A2048" t="s">
        <v>9831</v>
      </c>
      <c r="B2048">
        <v>52.47</v>
      </c>
      <c r="C2048">
        <v>-0.12000000000000455</v>
      </c>
    </row>
    <row r="2049" spans="1:3">
      <c r="A2049" t="s">
        <v>9835</v>
      </c>
      <c r="B2049">
        <v>52.53</v>
      </c>
      <c r="C2049">
        <v>6.0000000000002274E-2</v>
      </c>
    </row>
    <row r="2050" spans="1:3">
      <c r="A2050" t="s">
        <v>9839</v>
      </c>
      <c r="B2050">
        <v>52.35</v>
      </c>
      <c r="C2050">
        <v>-0.17999999999999972</v>
      </c>
    </row>
    <row r="2051" spans="1:3">
      <c r="A2051" t="s">
        <v>9843</v>
      </c>
      <c r="B2051">
        <v>52.29</v>
      </c>
      <c r="C2051">
        <v>-6.0000000000002274E-2</v>
      </c>
    </row>
    <row r="2052" spans="1:3">
      <c r="A2052" t="s">
        <v>9847</v>
      </c>
      <c r="B2052">
        <v>52.26</v>
      </c>
      <c r="C2052">
        <v>-3.0000000000001137E-2</v>
      </c>
    </row>
    <row r="2053" spans="1:3">
      <c r="A2053" t="s">
        <v>9851</v>
      </c>
      <c r="B2053">
        <v>52.23</v>
      </c>
      <c r="C2053">
        <v>-3.0000000000001137E-2</v>
      </c>
    </row>
    <row r="2054" spans="1:3">
      <c r="A2054" t="s">
        <v>9855</v>
      </c>
      <c r="B2054">
        <v>52.05</v>
      </c>
      <c r="C2054">
        <v>-0.17999999999999972</v>
      </c>
    </row>
    <row r="2055" spans="1:3">
      <c r="A2055" t="s">
        <v>9859</v>
      </c>
      <c r="B2055">
        <v>52.02</v>
      </c>
      <c r="C2055">
        <v>-2.9999999999994031E-2</v>
      </c>
    </row>
    <row r="2056" spans="1:3">
      <c r="A2056" t="s">
        <v>9863</v>
      </c>
      <c r="B2056">
        <v>51.99</v>
      </c>
      <c r="C2056">
        <v>-3.0000000000001137E-2</v>
      </c>
    </row>
    <row r="2057" spans="1:3">
      <c r="A2057" t="s">
        <v>9867</v>
      </c>
      <c r="B2057">
        <v>51.87</v>
      </c>
      <c r="C2057">
        <v>-0.12000000000000455</v>
      </c>
    </row>
    <row r="2058" spans="1:3">
      <c r="A2058" t="s">
        <v>9871</v>
      </c>
      <c r="B2058">
        <v>51.93</v>
      </c>
      <c r="C2058">
        <v>6.0000000000002274E-2</v>
      </c>
    </row>
    <row r="2059" spans="1:3">
      <c r="A2059" t="s">
        <v>9875</v>
      </c>
      <c r="B2059">
        <v>51.81</v>
      </c>
      <c r="C2059">
        <v>-0.11999999999999744</v>
      </c>
    </row>
    <row r="2060" spans="1:3">
      <c r="A2060" t="s">
        <v>9879</v>
      </c>
      <c r="B2060">
        <v>51.72</v>
      </c>
      <c r="C2060">
        <v>-9.0000000000003411E-2</v>
      </c>
    </row>
    <row r="2061" spans="1:3">
      <c r="A2061" t="s">
        <v>9883</v>
      </c>
      <c r="B2061">
        <v>51.69</v>
      </c>
      <c r="C2061">
        <v>-3.0000000000001137E-2</v>
      </c>
    </row>
    <row r="2062" spans="1:3">
      <c r="A2062" t="s">
        <v>9887</v>
      </c>
      <c r="B2062">
        <v>51.75</v>
      </c>
      <c r="C2062">
        <v>6.0000000000002274E-2</v>
      </c>
    </row>
    <row r="2063" spans="1:3">
      <c r="A2063" t="s">
        <v>9891</v>
      </c>
      <c r="B2063">
        <v>51.63</v>
      </c>
      <c r="C2063">
        <v>-0.11999999999999744</v>
      </c>
    </row>
    <row r="2064" spans="1:3">
      <c r="A2064" t="s">
        <v>9895</v>
      </c>
      <c r="B2064">
        <v>51.63</v>
      </c>
      <c r="C2064">
        <v>0</v>
      </c>
    </row>
    <row r="2065" spans="1:3">
      <c r="A2065" t="s">
        <v>9899</v>
      </c>
      <c r="B2065">
        <v>51.48</v>
      </c>
      <c r="C2065">
        <v>-0.15000000000000568</v>
      </c>
    </row>
    <row r="2066" spans="1:3">
      <c r="A2066" t="s">
        <v>9903</v>
      </c>
      <c r="B2066">
        <v>51.3</v>
      </c>
      <c r="C2066">
        <v>-0.17999999999999972</v>
      </c>
    </row>
    <row r="2067" spans="1:3">
      <c r="A2067" t="s">
        <v>9907</v>
      </c>
      <c r="B2067">
        <v>51.39</v>
      </c>
      <c r="C2067">
        <v>9.0000000000003411E-2</v>
      </c>
    </row>
    <row r="2068" spans="1:3">
      <c r="A2068" t="s">
        <v>9911</v>
      </c>
      <c r="B2068">
        <v>51.3</v>
      </c>
      <c r="C2068">
        <v>-9.0000000000003411E-2</v>
      </c>
    </row>
    <row r="2069" spans="1:3">
      <c r="A2069" t="s">
        <v>9915</v>
      </c>
      <c r="B2069">
        <v>51.3</v>
      </c>
      <c r="C2069">
        <v>0</v>
      </c>
    </row>
    <row r="2070" spans="1:3">
      <c r="A2070" t="s">
        <v>9919</v>
      </c>
      <c r="B2070">
        <v>51.21</v>
      </c>
      <c r="C2070">
        <v>-8.9999999999996305E-2</v>
      </c>
    </row>
    <row r="2071" spans="1:3">
      <c r="A2071" t="s">
        <v>9923</v>
      </c>
      <c r="B2071">
        <v>51.15</v>
      </c>
      <c r="C2071">
        <v>-6.0000000000002274E-2</v>
      </c>
    </row>
    <row r="2072" spans="1:3">
      <c r="A2072" t="s">
        <v>9927</v>
      </c>
      <c r="B2072">
        <v>51.09</v>
      </c>
      <c r="C2072">
        <v>-5.9999999999995168E-2</v>
      </c>
    </row>
    <row r="2073" spans="1:3">
      <c r="A2073" t="s">
        <v>9931</v>
      </c>
      <c r="B2073">
        <v>50.94</v>
      </c>
      <c r="C2073">
        <v>-0.15000000000000568</v>
      </c>
    </row>
    <row r="2074" spans="1:3">
      <c r="A2074" t="s">
        <v>9935</v>
      </c>
      <c r="B2074">
        <v>50.97</v>
      </c>
      <c r="C2074">
        <v>3.0000000000001137E-2</v>
      </c>
    </row>
    <row r="2075" spans="1:3">
      <c r="A2075" t="s">
        <v>9939</v>
      </c>
      <c r="B2075">
        <v>50.79</v>
      </c>
      <c r="C2075">
        <v>-0.17999999999999972</v>
      </c>
    </row>
    <row r="2076" spans="1:3">
      <c r="A2076" t="s">
        <v>9943</v>
      </c>
      <c r="B2076">
        <v>50.7</v>
      </c>
      <c r="C2076">
        <v>-8.9999999999996305E-2</v>
      </c>
    </row>
    <row r="2077" spans="1:3">
      <c r="A2077" t="s">
        <v>9947</v>
      </c>
      <c r="B2077">
        <v>50.64</v>
      </c>
      <c r="C2077">
        <v>-6.0000000000002274E-2</v>
      </c>
    </row>
    <row r="2078" spans="1:3">
      <c r="A2078" t="s">
        <v>9951</v>
      </c>
      <c r="B2078">
        <v>50.49</v>
      </c>
      <c r="C2078">
        <v>-0.14999999999999858</v>
      </c>
    </row>
    <row r="2079" spans="1:3">
      <c r="A2079" t="s">
        <v>9955</v>
      </c>
      <c r="B2079">
        <v>50.31</v>
      </c>
      <c r="C2079">
        <v>-0.17999999999999972</v>
      </c>
    </row>
    <row r="2080" spans="1:3">
      <c r="A2080" t="s">
        <v>9959</v>
      </c>
      <c r="B2080">
        <v>50.19</v>
      </c>
      <c r="C2080">
        <v>-0.12000000000000455</v>
      </c>
    </row>
    <row r="2081" spans="1:3">
      <c r="A2081" t="s">
        <v>9963</v>
      </c>
      <c r="B2081">
        <v>50.13</v>
      </c>
      <c r="C2081">
        <v>-5.9999999999995168E-2</v>
      </c>
    </row>
    <row r="2082" spans="1:3">
      <c r="A2082" t="s">
        <v>9967</v>
      </c>
      <c r="B2082">
        <v>50.01</v>
      </c>
      <c r="C2082">
        <v>-0.12000000000000455</v>
      </c>
    </row>
    <row r="2083" spans="1:3">
      <c r="A2083" t="s">
        <v>9971</v>
      </c>
      <c r="B2083">
        <v>81.540000000000006</v>
      </c>
      <c r="C2083">
        <v>31.530000000000008</v>
      </c>
    </row>
    <row r="2084" spans="1:3">
      <c r="A2084" t="s">
        <v>9977</v>
      </c>
      <c r="B2084">
        <v>82.68</v>
      </c>
      <c r="C2084">
        <v>1.1400000000000006</v>
      </c>
    </row>
    <row r="2085" spans="1:3">
      <c r="A2085" t="s">
        <v>9981</v>
      </c>
      <c r="B2085">
        <v>83.07</v>
      </c>
      <c r="C2085">
        <v>0.38999999999998636</v>
      </c>
    </row>
    <row r="2086" spans="1:3">
      <c r="A2086" t="s">
        <v>9985</v>
      </c>
      <c r="B2086">
        <v>53.04</v>
      </c>
      <c r="C2086">
        <v>-30.029999999999994</v>
      </c>
    </row>
    <row r="2087" spans="1:3">
      <c r="A2087" t="s">
        <v>9992</v>
      </c>
      <c r="B2087">
        <v>52.77</v>
      </c>
      <c r="C2087">
        <v>-0.26999999999999602</v>
      </c>
    </row>
    <row r="2088" spans="1:3">
      <c r="A2088" t="s">
        <v>9996</v>
      </c>
      <c r="B2088">
        <v>52.56</v>
      </c>
      <c r="C2088">
        <v>-0.21000000000000085</v>
      </c>
    </row>
    <row r="2089" spans="1:3">
      <c r="A2089" t="s">
        <v>10000</v>
      </c>
      <c r="B2089">
        <v>52.35</v>
      </c>
      <c r="C2089">
        <v>-0.21000000000000085</v>
      </c>
    </row>
    <row r="2090" spans="1:3">
      <c r="A2090" t="s">
        <v>10004</v>
      </c>
      <c r="B2090">
        <v>52.32</v>
      </c>
      <c r="C2090">
        <v>-3.0000000000001137E-2</v>
      </c>
    </row>
    <row r="2091" spans="1:3">
      <c r="A2091" t="s">
        <v>10008</v>
      </c>
      <c r="B2091">
        <v>52.17</v>
      </c>
      <c r="C2091">
        <v>-0.14999999999999858</v>
      </c>
    </row>
    <row r="2092" spans="1:3">
      <c r="A2092" t="s">
        <v>10012</v>
      </c>
      <c r="B2092">
        <v>51.96</v>
      </c>
      <c r="C2092">
        <v>-0.21000000000000085</v>
      </c>
    </row>
    <row r="2093" spans="1:3">
      <c r="A2093" t="s">
        <v>10016</v>
      </c>
      <c r="B2093">
        <v>51.9</v>
      </c>
      <c r="C2093">
        <v>-6.0000000000002274E-2</v>
      </c>
    </row>
    <row r="2094" spans="1:3">
      <c r="A2094" t="s">
        <v>10020</v>
      </c>
      <c r="B2094">
        <v>51.78</v>
      </c>
      <c r="C2094">
        <v>-0.11999999999999744</v>
      </c>
    </row>
    <row r="2095" spans="1:3">
      <c r="A2095" t="s">
        <v>10024</v>
      </c>
      <c r="B2095">
        <v>51.57</v>
      </c>
      <c r="C2095">
        <v>-0.21000000000000085</v>
      </c>
    </row>
    <row r="2096" spans="1:3">
      <c r="A2096" t="s">
        <v>10028</v>
      </c>
      <c r="B2096">
        <v>51.39</v>
      </c>
      <c r="C2096">
        <v>-0.17999999999999972</v>
      </c>
    </row>
    <row r="2097" spans="1:3">
      <c r="A2097" t="s">
        <v>10032</v>
      </c>
      <c r="B2097">
        <v>51.45</v>
      </c>
      <c r="C2097">
        <v>6.0000000000002274E-2</v>
      </c>
    </row>
    <row r="2098" spans="1:3">
      <c r="A2098" t="s">
        <v>10036</v>
      </c>
      <c r="B2098">
        <v>51.45</v>
      </c>
      <c r="C2098">
        <v>0</v>
      </c>
    </row>
    <row r="2099" spans="1:3">
      <c r="A2099" t="s">
        <v>10040</v>
      </c>
      <c r="B2099">
        <v>51.33</v>
      </c>
      <c r="C2099">
        <v>-0.12000000000000455</v>
      </c>
    </row>
    <row r="2100" spans="1:3">
      <c r="A2100" t="s">
        <v>10044</v>
      </c>
      <c r="B2100">
        <v>51.06</v>
      </c>
      <c r="C2100">
        <v>-0.26999999999999602</v>
      </c>
    </row>
    <row r="2101" spans="1:3">
      <c r="A2101" t="s">
        <v>10048</v>
      </c>
      <c r="B2101">
        <v>51.06</v>
      </c>
      <c r="C2101">
        <v>0</v>
      </c>
    </row>
    <row r="2102" spans="1:3">
      <c r="A2102" t="s">
        <v>10052</v>
      </c>
      <c r="B2102">
        <v>50.82</v>
      </c>
      <c r="C2102">
        <v>-0.24000000000000199</v>
      </c>
    </row>
    <row r="2103" spans="1:3">
      <c r="A2103" t="s">
        <v>10056</v>
      </c>
      <c r="B2103">
        <v>50.76</v>
      </c>
      <c r="C2103">
        <v>-6.0000000000002274E-2</v>
      </c>
    </row>
    <row r="2104" spans="1:3">
      <c r="A2104" t="s">
        <v>10060</v>
      </c>
      <c r="B2104">
        <v>50.73</v>
      </c>
      <c r="C2104">
        <v>-3.0000000000001137E-2</v>
      </c>
    </row>
    <row r="2105" spans="1:3">
      <c r="A2105" t="s">
        <v>10064</v>
      </c>
      <c r="B2105">
        <v>50.64</v>
      </c>
      <c r="C2105">
        <v>-8.9999999999996305E-2</v>
      </c>
    </row>
    <row r="2106" spans="1:3">
      <c r="A2106" t="s">
        <v>10068</v>
      </c>
      <c r="B2106">
        <v>50.52</v>
      </c>
      <c r="C2106">
        <v>-0.11999999999999744</v>
      </c>
    </row>
    <row r="2107" spans="1:3">
      <c r="A2107" t="s">
        <v>10072</v>
      </c>
      <c r="B2107">
        <v>50.4</v>
      </c>
      <c r="C2107">
        <v>-0.12000000000000455</v>
      </c>
    </row>
    <row r="2108" spans="1:3">
      <c r="A2108" t="s">
        <v>10076</v>
      </c>
      <c r="B2108">
        <v>50.37</v>
      </c>
      <c r="C2108">
        <v>-3.0000000000001137E-2</v>
      </c>
    </row>
    <row r="2109" spans="1:3">
      <c r="A2109" t="s">
        <v>10080</v>
      </c>
      <c r="B2109">
        <v>50.1</v>
      </c>
      <c r="C2109">
        <v>-0.26999999999999602</v>
      </c>
    </row>
    <row r="2110" spans="1:3">
      <c r="A2110" t="s">
        <v>10084</v>
      </c>
      <c r="B2110">
        <v>50.04</v>
      </c>
      <c r="C2110">
        <v>-6.0000000000002274E-2</v>
      </c>
    </row>
    <row r="2111" spans="1:3">
      <c r="A2111" t="s">
        <v>10088</v>
      </c>
      <c r="B2111">
        <v>80.459999999999994</v>
      </c>
      <c r="C2111">
        <v>30.419999999999995</v>
      </c>
    </row>
    <row r="2112" spans="1:3">
      <c r="A2112" t="s">
        <v>10094</v>
      </c>
      <c r="B2112">
        <v>82.23</v>
      </c>
      <c r="C2112">
        <v>1.7700000000000102</v>
      </c>
    </row>
    <row r="2113" spans="1:3">
      <c r="A2113" t="s">
        <v>10098</v>
      </c>
      <c r="B2113">
        <v>82.68</v>
      </c>
      <c r="C2113">
        <v>0.45000000000000284</v>
      </c>
    </row>
    <row r="2114" spans="1:3">
      <c r="A2114" t="s">
        <v>10102</v>
      </c>
      <c r="B2114">
        <v>73.739999999999995</v>
      </c>
      <c r="C2114">
        <v>-8.9400000000000119</v>
      </c>
    </row>
    <row r="2115" spans="1:3">
      <c r="A2115" t="s">
        <v>10110</v>
      </c>
      <c r="B2115">
        <v>53.22</v>
      </c>
      <c r="C2115">
        <v>-20.519999999999996</v>
      </c>
    </row>
    <row r="2116" spans="1:3">
      <c r="A2116" t="s">
        <v>10114</v>
      </c>
      <c r="B2116">
        <v>52.74</v>
      </c>
      <c r="C2116">
        <v>-0.47999999999999687</v>
      </c>
    </row>
    <row r="2117" spans="1:3">
      <c r="A2117" t="s">
        <v>10118</v>
      </c>
      <c r="B2117">
        <v>52.44</v>
      </c>
      <c r="C2117">
        <v>-0.30000000000000426</v>
      </c>
    </row>
    <row r="2118" spans="1:3">
      <c r="A2118" t="s">
        <v>10122</v>
      </c>
      <c r="B2118">
        <v>52.35</v>
      </c>
      <c r="C2118">
        <v>-8.9999999999996305E-2</v>
      </c>
    </row>
    <row r="2119" spans="1:3">
      <c r="A2119" t="s">
        <v>10126</v>
      </c>
      <c r="B2119">
        <v>52.14</v>
      </c>
      <c r="C2119">
        <v>-0.21000000000000085</v>
      </c>
    </row>
    <row r="2120" spans="1:3">
      <c r="A2120" t="s">
        <v>10130</v>
      </c>
      <c r="B2120">
        <v>52.11</v>
      </c>
      <c r="C2120">
        <v>-3.0000000000001137E-2</v>
      </c>
    </row>
    <row r="2121" spans="1:3">
      <c r="A2121" t="s">
        <v>10134</v>
      </c>
      <c r="B2121">
        <v>52.08</v>
      </c>
      <c r="C2121">
        <v>-3.0000000000001137E-2</v>
      </c>
    </row>
    <row r="2122" spans="1:3">
      <c r="A2122" t="s">
        <v>10138</v>
      </c>
      <c r="B2122">
        <v>52.02</v>
      </c>
      <c r="C2122">
        <v>-5.9999999999995168E-2</v>
      </c>
    </row>
    <row r="2123" spans="1:3">
      <c r="A2123" t="s">
        <v>10142</v>
      </c>
      <c r="B2123">
        <v>51.75</v>
      </c>
      <c r="C2123">
        <v>-0.27000000000000313</v>
      </c>
    </row>
    <row r="2124" spans="1:3">
      <c r="A2124" t="s">
        <v>10146</v>
      </c>
      <c r="B2124">
        <v>51.66</v>
      </c>
      <c r="C2124">
        <v>-9.0000000000003411E-2</v>
      </c>
    </row>
    <row r="2125" spans="1:3">
      <c r="A2125" t="s">
        <v>10150</v>
      </c>
      <c r="B2125">
        <v>51.51</v>
      </c>
      <c r="C2125">
        <v>-0.14999999999999858</v>
      </c>
    </row>
    <row r="2126" spans="1:3">
      <c r="A2126" t="s">
        <v>10154</v>
      </c>
      <c r="B2126">
        <v>51.57</v>
      </c>
      <c r="C2126">
        <v>6.0000000000002274E-2</v>
      </c>
    </row>
    <row r="2127" spans="1:3">
      <c r="A2127" t="s">
        <v>10158</v>
      </c>
      <c r="B2127">
        <v>51.3</v>
      </c>
      <c r="C2127">
        <v>-0.27000000000000313</v>
      </c>
    </row>
    <row r="2128" spans="1:3">
      <c r="A2128" t="s">
        <v>10162</v>
      </c>
      <c r="B2128">
        <v>51.3</v>
      </c>
      <c r="C2128">
        <v>0</v>
      </c>
    </row>
    <row r="2129" spans="1:3">
      <c r="A2129" t="s">
        <v>10166</v>
      </c>
      <c r="B2129">
        <v>51.09</v>
      </c>
      <c r="C2129">
        <v>-0.20999999999999375</v>
      </c>
    </row>
    <row r="2130" spans="1:3">
      <c r="A2130" t="s">
        <v>10170</v>
      </c>
      <c r="B2130">
        <v>50.97</v>
      </c>
      <c r="C2130">
        <v>-0.12000000000000455</v>
      </c>
    </row>
    <row r="2131" spans="1:3">
      <c r="A2131" t="s">
        <v>10174</v>
      </c>
      <c r="B2131">
        <v>51.03</v>
      </c>
      <c r="C2131">
        <v>6.0000000000002274E-2</v>
      </c>
    </row>
    <row r="2132" spans="1:3">
      <c r="A2132" t="s">
        <v>10178</v>
      </c>
      <c r="B2132">
        <v>50.88</v>
      </c>
      <c r="C2132">
        <v>-0.14999999999999858</v>
      </c>
    </row>
    <row r="2133" spans="1:3">
      <c r="A2133" t="s">
        <v>10182</v>
      </c>
      <c r="B2133">
        <v>50.76</v>
      </c>
      <c r="C2133">
        <v>-0.12000000000000455</v>
      </c>
    </row>
    <row r="2134" spans="1:3">
      <c r="A2134" t="s">
        <v>10186</v>
      </c>
      <c r="B2134">
        <v>50.67</v>
      </c>
      <c r="C2134">
        <v>-8.9999999999996305E-2</v>
      </c>
    </row>
    <row r="2135" spans="1:3">
      <c r="A2135" t="s">
        <v>10190</v>
      </c>
      <c r="B2135">
        <v>50.58</v>
      </c>
      <c r="C2135">
        <v>-9.0000000000003411E-2</v>
      </c>
    </row>
    <row r="2136" spans="1:3">
      <c r="A2136" t="s">
        <v>10194</v>
      </c>
      <c r="B2136">
        <v>50.58</v>
      </c>
      <c r="C2136">
        <v>0</v>
      </c>
    </row>
    <row r="2137" spans="1:3">
      <c r="A2137" t="s">
        <v>10198</v>
      </c>
      <c r="B2137">
        <v>50.43</v>
      </c>
      <c r="C2137">
        <v>-0.14999999999999858</v>
      </c>
    </row>
    <row r="2138" spans="1:3">
      <c r="A2138" t="s">
        <v>10202</v>
      </c>
      <c r="B2138">
        <v>50.43</v>
      </c>
      <c r="C2138">
        <v>0</v>
      </c>
    </row>
    <row r="2139" spans="1:3">
      <c r="A2139" t="s">
        <v>10206</v>
      </c>
      <c r="B2139">
        <v>50.22</v>
      </c>
      <c r="C2139">
        <v>-0.21000000000000085</v>
      </c>
    </row>
    <row r="2140" spans="1:3">
      <c r="A2140" t="s">
        <v>10210</v>
      </c>
      <c r="B2140">
        <v>50.01</v>
      </c>
      <c r="C2140">
        <v>-0.21000000000000085</v>
      </c>
    </row>
    <row r="2141" spans="1:3">
      <c r="A2141" t="s">
        <v>10215</v>
      </c>
      <c r="B2141">
        <v>50.1</v>
      </c>
      <c r="C2141">
        <v>9.0000000000003411E-2</v>
      </c>
    </row>
    <row r="2142" spans="1:3">
      <c r="A2142" t="s">
        <v>10219</v>
      </c>
      <c r="B2142">
        <v>81.45</v>
      </c>
      <c r="C2142">
        <v>31.35</v>
      </c>
    </row>
    <row r="2143" spans="1:3">
      <c r="A2143" t="s">
        <v>10223</v>
      </c>
      <c r="B2143">
        <v>82.65</v>
      </c>
      <c r="C2143">
        <v>1.2000000000000028</v>
      </c>
    </row>
    <row r="2144" spans="1:3">
      <c r="A2144" t="s">
        <v>10227</v>
      </c>
      <c r="B2144">
        <v>83.19</v>
      </c>
      <c r="C2144">
        <v>0.53999999999999204</v>
      </c>
    </row>
    <row r="2145" spans="1:3">
      <c r="A2145" t="s">
        <v>10231</v>
      </c>
      <c r="B2145">
        <v>53.1</v>
      </c>
      <c r="C2145">
        <v>-30.089999999999996</v>
      </c>
    </row>
    <row r="2146" spans="1:3">
      <c r="A2146" t="s">
        <v>10235</v>
      </c>
      <c r="B2146">
        <v>52.77</v>
      </c>
      <c r="C2146">
        <v>-0.32999999999999829</v>
      </c>
    </row>
    <row r="2147" spans="1:3">
      <c r="A2147" t="s">
        <v>10239</v>
      </c>
      <c r="B2147">
        <v>52.62</v>
      </c>
      <c r="C2147">
        <v>-0.15000000000000568</v>
      </c>
    </row>
    <row r="2148" spans="1:3">
      <c r="A2148" t="s">
        <v>10243</v>
      </c>
      <c r="B2148">
        <v>52.38</v>
      </c>
      <c r="C2148">
        <v>-0.23999999999999488</v>
      </c>
    </row>
    <row r="2149" spans="1:3">
      <c r="A2149" t="s">
        <v>10247</v>
      </c>
      <c r="B2149">
        <v>52.29</v>
      </c>
      <c r="C2149">
        <v>-9.0000000000003411E-2</v>
      </c>
    </row>
    <row r="2150" spans="1:3">
      <c r="A2150" t="s">
        <v>10251</v>
      </c>
      <c r="B2150">
        <v>52.26</v>
      </c>
      <c r="C2150">
        <v>-3.0000000000001137E-2</v>
      </c>
    </row>
    <row r="2151" spans="1:3">
      <c r="A2151" t="s">
        <v>10255</v>
      </c>
      <c r="B2151">
        <v>52.08</v>
      </c>
      <c r="C2151">
        <v>-0.17999999999999972</v>
      </c>
    </row>
    <row r="2152" spans="1:3">
      <c r="A2152" t="s">
        <v>10259</v>
      </c>
      <c r="B2152">
        <v>51.96</v>
      </c>
      <c r="C2152">
        <v>-0.11999999999999744</v>
      </c>
    </row>
    <row r="2153" spans="1:3">
      <c r="A2153" t="s">
        <v>10263</v>
      </c>
      <c r="B2153">
        <v>51.93</v>
      </c>
      <c r="C2153">
        <v>-3.0000000000001137E-2</v>
      </c>
    </row>
    <row r="2154" spans="1:3">
      <c r="A2154" t="s">
        <v>10267</v>
      </c>
      <c r="B2154">
        <v>51.9</v>
      </c>
      <c r="C2154">
        <v>-3.0000000000001137E-2</v>
      </c>
    </row>
    <row r="2155" spans="1:3">
      <c r="A2155" t="s">
        <v>10271</v>
      </c>
      <c r="B2155">
        <v>51.78</v>
      </c>
      <c r="C2155">
        <v>-0.11999999999999744</v>
      </c>
    </row>
    <row r="2156" spans="1:3">
      <c r="A2156" t="s">
        <v>10275</v>
      </c>
      <c r="B2156">
        <v>51.69</v>
      </c>
      <c r="C2156">
        <v>-9.0000000000003411E-2</v>
      </c>
    </row>
    <row r="2157" spans="1:3">
      <c r="A2157" t="s">
        <v>10279</v>
      </c>
      <c r="B2157">
        <v>51.57</v>
      </c>
      <c r="C2157">
        <v>-0.11999999999999744</v>
      </c>
    </row>
    <row r="2158" spans="1:3">
      <c r="A2158" t="s">
        <v>10283</v>
      </c>
      <c r="B2158">
        <v>51.39</v>
      </c>
      <c r="C2158">
        <v>-0.17999999999999972</v>
      </c>
    </row>
    <row r="2159" spans="1:3">
      <c r="A2159" t="s">
        <v>10287</v>
      </c>
      <c r="B2159">
        <v>51.39</v>
      </c>
      <c r="C2159">
        <v>0</v>
      </c>
    </row>
    <row r="2160" spans="1:3">
      <c r="A2160" t="s">
        <v>10291</v>
      </c>
      <c r="B2160">
        <v>51.24</v>
      </c>
      <c r="C2160">
        <v>-0.14999999999999858</v>
      </c>
    </row>
    <row r="2161" spans="1:3">
      <c r="A2161" t="s">
        <v>10295</v>
      </c>
      <c r="B2161">
        <v>51.06</v>
      </c>
      <c r="C2161">
        <v>-0.17999999999999972</v>
      </c>
    </row>
    <row r="2162" spans="1:3">
      <c r="A2162" t="s">
        <v>10299</v>
      </c>
      <c r="B2162">
        <v>51.09</v>
      </c>
      <c r="C2162">
        <v>3.0000000000001137E-2</v>
      </c>
    </row>
    <row r="2163" spans="1:3">
      <c r="A2163" t="s">
        <v>10303</v>
      </c>
      <c r="B2163">
        <v>51</v>
      </c>
      <c r="C2163">
        <v>-9.0000000000003411E-2</v>
      </c>
    </row>
    <row r="2164" spans="1:3">
      <c r="A2164" t="s">
        <v>10307</v>
      </c>
      <c r="B2164">
        <v>50.94</v>
      </c>
      <c r="C2164">
        <v>-6.0000000000002274E-2</v>
      </c>
    </row>
    <row r="2165" spans="1:3">
      <c r="A2165" t="s">
        <v>10311</v>
      </c>
      <c r="B2165">
        <v>50.7</v>
      </c>
      <c r="C2165">
        <v>-0.23999999999999488</v>
      </c>
    </row>
    <row r="2166" spans="1:3">
      <c r="A2166" t="s">
        <v>10315</v>
      </c>
      <c r="B2166">
        <v>50.58</v>
      </c>
      <c r="C2166">
        <v>-0.12000000000000455</v>
      </c>
    </row>
    <row r="2167" spans="1:3">
      <c r="A2167" t="s">
        <v>10319</v>
      </c>
      <c r="B2167">
        <v>50.7</v>
      </c>
      <c r="C2167">
        <v>0.12000000000000455</v>
      </c>
    </row>
    <row r="2168" spans="1:3">
      <c r="A2168" t="s">
        <v>10323</v>
      </c>
      <c r="B2168">
        <v>50.46</v>
      </c>
      <c r="C2168">
        <v>-0.24000000000000199</v>
      </c>
    </row>
    <row r="2169" spans="1:3">
      <c r="A2169" t="s">
        <v>10327</v>
      </c>
      <c r="B2169">
        <v>50.52</v>
      </c>
      <c r="C2169">
        <v>6.0000000000002274E-2</v>
      </c>
    </row>
    <row r="2170" spans="1:3">
      <c r="A2170" t="s">
        <v>10331</v>
      </c>
      <c r="B2170">
        <v>50.31</v>
      </c>
      <c r="C2170">
        <v>-0.21000000000000085</v>
      </c>
    </row>
    <row r="2171" spans="1:3">
      <c r="A2171" t="s">
        <v>10335</v>
      </c>
      <c r="B2171">
        <v>50.22</v>
      </c>
      <c r="C2171">
        <v>-9.0000000000003411E-2</v>
      </c>
    </row>
    <row r="2172" spans="1:3">
      <c r="A2172" t="s">
        <v>10339</v>
      </c>
      <c r="B2172">
        <v>50.16</v>
      </c>
      <c r="C2172">
        <v>-6.0000000000002274E-2</v>
      </c>
    </row>
    <row r="2173" spans="1:3">
      <c r="A2173" t="s">
        <v>10344</v>
      </c>
      <c r="B2173">
        <v>59.1</v>
      </c>
      <c r="C2173">
        <v>8.9400000000000048</v>
      </c>
    </row>
    <row r="2174" spans="1:3">
      <c r="A2174" t="s">
        <v>10351</v>
      </c>
      <c r="B2174">
        <v>81.84</v>
      </c>
      <c r="C2174">
        <v>22.740000000000002</v>
      </c>
    </row>
    <row r="2175" spans="1:3">
      <c r="A2175" t="s">
        <v>10355</v>
      </c>
      <c r="B2175">
        <v>82.41</v>
      </c>
      <c r="C2175">
        <v>0.56999999999999318</v>
      </c>
    </row>
    <row r="2176" spans="1:3">
      <c r="A2176" t="s">
        <v>10361</v>
      </c>
      <c r="B2176">
        <v>83.22</v>
      </c>
      <c r="C2176">
        <v>0.81000000000000227</v>
      </c>
    </row>
    <row r="2177" spans="1:3">
      <c r="A2177" t="s">
        <v>10365</v>
      </c>
      <c r="B2177">
        <v>66.39</v>
      </c>
      <c r="C2177">
        <v>-16.829999999999998</v>
      </c>
    </row>
    <row r="2178" spans="1:3">
      <c r="A2178" t="s">
        <v>10372</v>
      </c>
      <c r="B2178">
        <v>52.8</v>
      </c>
      <c r="C2178">
        <v>-13.590000000000003</v>
      </c>
    </row>
    <row r="2179" spans="1:3">
      <c r="A2179" t="s">
        <v>10376</v>
      </c>
      <c r="B2179">
        <v>52.53</v>
      </c>
      <c r="C2179">
        <v>-0.26999999999999602</v>
      </c>
    </row>
    <row r="2180" spans="1:3">
      <c r="A2180" t="s">
        <v>10380</v>
      </c>
      <c r="B2180">
        <v>52.59</v>
      </c>
      <c r="C2180">
        <v>6.0000000000002274E-2</v>
      </c>
    </row>
    <row r="2181" spans="1:3">
      <c r="A2181" t="s">
        <v>10384</v>
      </c>
      <c r="B2181">
        <v>52.26</v>
      </c>
      <c r="C2181">
        <v>-0.3300000000000054</v>
      </c>
    </row>
    <row r="2182" spans="1:3">
      <c r="A2182" t="s">
        <v>10388</v>
      </c>
      <c r="B2182">
        <v>52.35</v>
      </c>
      <c r="C2182">
        <v>9.0000000000003411E-2</v>
      </c>
    </row>
    <row r="2183" spans="1:3">
      <c r="A2183" t="s">
        <v>10392</v>
      </c>
      <c r="B2183">
        <v>52.17</v>
      </c>
      <c r="C2183">
        <v>-0.17999999999999972</v>
      </c>
    </row>
    <row r="2184" spans="1:3">
      <c r="A2184" t="s">
        <v>10396</v>
      </c>
      <c r="B2184">
        <v>52.08</v>
      </c>
      <c r="C2184">
        <v>-9.0000000000003411E-2</v>
      </c>
    </row>
    <row r="2185" spans="1:3">
      <c r="A2185" t="s">
        <v>10400</v>
      </c>
      <c r="B2185">
        <v>51.96</v>
      </c>
      <c r="C2185">
        <v>-0.11999999999999744</v>
      </c>
    </row>
    <row r="2186" spans="1:3">
      <c r="A2186" t="s">
        <v>10404</v>
      </c>
      <c r="B2186">
        <v>51.81</v>
      </c>
      <c r="C2186">
        <v>-0.14999999999999858</v>
      </c>
    </row>
    <row r="2187" spans="1:3">
      <c r="A2187" t="s">
        <v>10408</v>
      </c>
      <c r="B2187">
        <v>51.72</v>
      </c>
      <c r="C2187">
        <v>-9.0000000000003411E-2</v>
      </c>
    </row>
    <row r="2188" spans="1:3">
      <c r="A2188" t="s">
        <v>10412</v>
      </c>
      <c r="B2188">
        <v>51.57</v>
      </c>
      <c r="C2188">
        <v>-0.14999999999999858</v>
      </c>
    </row>
    <row r="2189" spans="1:3">
      <c r="A2189" t="s">
        <v>10416</v>
      </c>
      <c r="B2189">
        <v>51.48</v>
      </c>
      <c r="C2189">
        <v>-9.0000000000003411E-2</v>
      </c>
    </row>
    <row r="2190" spans="1:3">
      <c r="A2190" t="s">
        <v>10420</v>
      </c>
      <c r="B2190">
        <v>51.45</v>
      </c>
      <c r="C2190">
        <v>-2.9999999999994031E-2</v>
      </c>
    </row>
    <row r="2191" spans="1:3">
      <c r="A2191" t="s">
        <v>10424</v>
      </c>
      <c r="B2191">
        <v>51.39</v>
      </c>
      <c r="C2191">
        <v>-6.0000000000002274E-2</v>
      </c>
    </row>
    <row r="2192" spans="1:3">
      <c r="A2192" t="s">
        <v>10428</v>
      </c>
      <c r="B2192">
        <v>51.24</v>
      </c>
      <c r="C2192">
        <v>-0.14999999999999858</v>
      </c>
    </row>
    <row r="2193" spans="1:3">
      <c r="A2193" t="s">
        <v>10432</v>
      </c>
      <c r="B2193">
        <v>51.12</v>
      </c>
      <c r="C2193">
        <v>-0.12000000000000455</v>
      </c>
    </row>
    <row r="2194" spans="1:3">
      <c r="A2194" t="s">
        <v>10436</v>
      </c>
      <c r="B2194">
        <v>50.91</v>
      </c>
      <c r="C2194">
        <v>-0.21000000000000085</v>
      </c>
    </row>
    <row r="2195" spans="1:3">
      <c r="A2195" t="s">
        <v>10440</v>
      </c>
      <c r="B2195">
        <v>51.03</v>
      </c>
      <c r="C2195">
        <v>0.12000000000000455</v>
      </c>
    </row>
    <row r="2196" spans="1:3">
      <c r="A2196" t="s">
        <v>10444</v>
      </c>
      <c r="B2196">
        <v>50.88</v>
      </c>
      <c r="C2196">
        <v>-0.14999999999999858</v>
      </c>
    </row>
    <row r="2197" spans="1:3">
      <c r="A2197" t="s">
        <v>10448</v>
      </c>
      <c r="B2197">
        <v>50.7</v>
      </c>
      <c r="C2197">
        <v>-0.17999999999999972</v>
      </c>
    </row>
    <row r="2198" spans="1:3">
      <c r="A2198" t="s">
        <v>10452</v>
      </c>
      <c r="B2198">
        <v>50.7</v>
      </c>
      <c r="C2198">
        <v>0</v>
      </c>
    </row>
    <row r="2199" spans="1:3">
      <c r="A2199" t="s">
        <v>10456</v>
      </c>
      <c r="B2199">
        <v>50.58</v>
      </c>
      <c r="C2199">
        <v>-0.12000000000000455</v>
      </c>
    </row>
    <row r="2200" spans="1:3">
      <c r="A2200" t="s">
        <v>10460</v>
      </c>
      <c r="B2200">
        <v>50.46</v>
      </c>
      <c r="C2200">
        <v>-0.11999999999999744</v>
      </c>
    </row>
    <row r="2201" spans="1:3">
      <c r="A2201" t="s">
        <v>10464</v>
      </c>
      <c r="B2201">
        <v>50.4</v>
      </c>
      <c r="C2201">
        <v>-6.0000000000002274E-2</v>
      </c>
    </row>
    <row r="2202" spans="1:3">
      <c r="A2202" t="s">
        <v>10468</v>
      </c>
      <c r="B2202">
        <v>50.31</v>
      </c>
      <c r="C2202">
        <v>-8.9999999999996305E-2</v>
      </c>
    </row>
    <row r="2203" spans="1:3">
      <c r="A2203" t="s">
        <v>10472</v>
      </c>
      <c r="B2203">
        <v>50.25</v>
      </c>
      <c r="C2203">
        <v>-6.0000000000002274E-2</v>
      </c>
    </row>
    <row r="2204" spans="1:3">
      <c r="A2204" t="s">
        <v>10476</v>
      </c>
      <c r="B2204">
        <v>50.07</v>
      </c>
      <c r="C2204">
        <v>-0.17999999999999972</v>
      </c>
    </row>
    <row r="2205" spans="1:3">
      <c r="A2205" t="s">
        <v>10481</v>
      </c>
      <c r="B2205">
        <v>81.09</v>
      </c>
      <c r="C2205">
        <v>31.020000000000003</v>
      </c>
    </row>
    <row r="2206" spans="1:3">
      <c r="A2206" t="s">
        <v>10485</v>
      </c>
      <c r="B2206">
        <v>81.99</v>
      </c>
      <c r="C2206">
        <v>0.89999999999999147</v>
      </c>
    </row>
    <row r="2207" spans="1:3">
      <c r="A2207" t="s">
        <v>10490</v>
      </c>
      <c r="B2207">
        <v>82.98</v>
      </c>
      <c r="C2207">
        <v>0.99000000000000909</v>
      </c>
    </row>
    <row r="2208" spans="1:3">
      <c r="A2208" t="s">
        <v>10494</v>
      </c>
      <c r="B2208">
        <v>83.04</v>
      </c>
      <c r="C2208">
        <v>6.0000000000002274E-2</v>
      </c>
    </row>
    <row r="2209" spans="1:3">
      <c r="A2209" t="s">
        <v>10498</v>
      </c>
      <c r="B2209">
        <v>53.04</v>
      </c>
      <c r="C2209">
        <v>-30.000000000000007</v>
      </c>
    </row>
    <row r="2210" spans="1:3">
      <c r="A2210" t="s">
        <v>10502</v>
      </c>
      <c r="B2210">
        <v>52.86</v>
      </c>
      <c r="C2210">
        <v>-0.17999999999999972</v>
      </c>
    </row>
    <row r="2211" spans="1:3">
      <c r="A2211" t="s">
        <v>10506</v>
      </c>
      <c r="B2211">
        <v>52.77</v>
      </c>
      <c r="C2211">
        <v>-8.9999999999996305E-2</v>
      </c>
    </row>
    <row r="2212" spans="1:3">
      <c r="A2212" t="s">
        <v>10510</v>
      </c>
      <c r="B2212">
        <v>52.41</v>
      </c>
      <c r="C2212">
        <v>-0.36000000000000654</v>
      </c>
    </row>
    <row r="2213" spans="1:3">
      <c r="A2213" t="s">
        <v>10514</v>
      </c>
      <c r="B2213">
        <v>52.35</v>
      </c>
      <c r="C2213">
        <v>-5.9999999999995168E-2</v>
      </c>
    </row>
    <row r="2214" spans="1:3">
      <c r="A2214" t="s">
        <v>10518</v>
      </c>
      <c r="B2214">
        <v>52.26</v>
      </c>
      <c r="C2214">
        <v>-9.0000000000003411E-2</v>
      </c>
    </row>
    <row r="2215" spans="1:3">
      <c r="A2215" t="s">
        <v>10522</v>
      </c>
      <c r="B2215">
        <v>52.17</v>
      </c>
      <c r="C2215">
        <v>-8.9999999999996305E-2</v>
      </c>
    </row>
    <row r="2216" spans="1:3">
      <c r="A2216" t="s">
        <v>10526</v>
      </c>
      <c r="B2216">
        <v>52.11</v>
      </c>
      <c r="C2216">
        <v>-6.0000000000002274E-2</v>
      </c>
    </row>
    <row r="2217" spans="1:3">
      <c r="A2217" t="s">
        <v>10530</v>
      </c>
      <c r="B2217">
        <v>51.96</v>
      </c>
      <c r="C2217">
        <v>-0.14999999999999858</v>
      </c>
    </row>
    <row r="2218" spans="1:3">
      <c r="A2218" t="s">
        <v>10534</v>
      </c>
      <c r="B2218">
        <v>51.15</v>
      </c>
      <c r="C2218">
        <v>-0.81000000000000227</v>
      </c>
    </row>
    <row r="2219" spans="1:3">
      <c r="A2219" t="s">
        <v>10538</v>
      </c>
      <c r="B2219">
        <v>51.03</v>
      </c>
      <c r="C2219">
        <v>-0.11999999999999744</v>
      </c>
    </row>
    <row r="2220" spans="1:3">
      <c r="A2220" t="s">
        <v>10542</v>
      </c>
      <c r="B2220">
        <v>50.91</v>
      </c>
      <c r="C2220">
        <v>-0.12000000000000455</v>
      </c>
    </row>
    <row r="2221" spans="1:3">
      <c r="A2221" t="s">
        <v>10546</v>
      </c>
      <c r="B2221">
        <v>51</v>
      </c>
      <c r="C2221">
        <v>9.0000000000003411E-2</v>
      </c>
    </row>
    <row r="2222" spans="1:3">
      <c r="A2222" t="s">
        <v>10550</v>
      </c>
      <c r="B2222">
        <v>50.94</v>
      </c>
      <c r="C2222">
        <v>-6.0000000000002274E-2</v>
      </c>
    </row>
    <row r="2223" spans="1:3">
      <c r="A2223" t="s">
        <v>10554</v>
      </c>
      <c r="B2223">
        <v>50.94</v>
      </c>
      <c r="C2223">
        <v>0</v>
      </c>
    </row>
    <row r="2224" spans="1:3">
      <c r="A2224" t="s">
        <v>10558</v>
      </c>
      <c r="B2224">
        <v>50.67</v>
      </c>
      <c r="C2224">
        <v>-0.26999999999999602</v>
      </c>
    </row>
    <row r="2225" spans="1:3">
      <c r="A2225" t="s">
        <v>10562</v>
      </c>
      <c r="B2225">
        <v>50.67</v>
      </c>
      <c r="C2225">
        <v>0</v>
      </c>
    </row>
    <row r="2226" spans="1:3">
      <c r="A2226" t="s">
        <v>10566</v>
      </c>
      <c r="B2226">
        <v>50.61</v>
      </c>
      <c r="C2226">
        <v>-6.0000000000002274E-2</v>
      </c>
    </row>
    <row r="2227" spans="1:3">
      <c r="A2227" t="s">
        <v>10570</v>
      </c>
      <c r="B2227">
        <v>50.52</v>
      </c>
      <c r="C2227">
        <v>-8.9999999999996305E-2</v>
      </c>
    </row>
    <row r="2228" spans="1:3">
      <c r="A2228" t="s">
        <v>10574</v>
      </c>
      <c r="B2228">
        <v>50.52</v>
      </c>
      <c r="C2228">
        <v>0</v>
      </c>
    </row>
    <row r="2229" spans="1:3">
      <c r="A2229" t="s">
        <v>10578</v>
      </c>
      <c r="B2229">
        <v>50.4</v>
      </c>
      <c r="C2229">
        <v>-0.12000000000000455</v>
      </c>
    </row>
    <row r="2230" spans="1:3">
      <c r="A2230" t="s">
        <v>10582</v>
      </c>
      <c r="B2230">
        <v>50.31</v>
      </c>
      <c r="C2230">
        <v>-8.9999999999996305E-2</v>
      </c>
    </row>
    <row r="2231" spans="1:3">
      <c r="A2231" t="s">
        <v>10586</v>
      </c>
      <c r="B2231">
        <v>50.16</v>
      </c>
      <c r="C2231">
        <v>-0.15000000000000568</v>
      </c>
    </row>
    <row r="2232" spans="1:3">
      <c r="A2232" t="s">
        <v>10590</v>
      </c>
      <c r="B2232">
        <v>50.01</v>
      </c>
      <c r="C2232">
        <v>-0.14999999999999858</v>
      </c>
    </row>
    <row r="2233" spans="1:3">
      <c r="A2233" t="s">
        <v>10594</v>
      </c>
      <c r="B2233">
        <v>65.67</v>
      </c>
      <c r="C2233">
        <v>15.660000000000004</v>
      </c>
    </row>
    <row r="2234" spans="1:3">
      <c r="A2234" t="s">
        <v>10602</v>
      </c>
      <c r="B2234">
        <v>81.12</v>
      </c>
      <c r="C2234">
        <v>15.450000000000003</v>
      </c>
    </row>
    <row r="2235" spans="1:3">
      <c r="A2235" t="s">
        <v>10607</v>
      </c>
      <c r="B2235">
        <v>82.59</v>
      </c>
      <c r="C2235">
        <v>1.4699999999999989</v>
      </c>
    </row>
    <row r="2236" spans="1:3">
      <c r="A2236" t="s">
        <v>10611</v>
      </c>
      <c r="B2236">
        <v>82.92</v>
      </c>
      <c r="C2236">
        <v>0.32999999999999829</v>
      </c>
    </row>
    <row r="2237" spans="1:3">
      <c r="A2237" t="s">
        <v>10615</v>
      </c>
      <c r="B2237">
        <v>58.86</v>
      </c>
      <c r="C2237">
        <v>-24.060000000000002</v>
      </c>
    </row>
    <row r="2238" spans="1:3">
      <c r="A2238" t="s">
        <v>10622</v>
      </c>
      <c r="B2238">
        <v>52.74</v>
      </c>
      <c r="C2238">
        <v>-6.1199999999999974</v>
      </c>
    </row>
    <row r="2239" spans="1:3">
      <c r="A2239" t="s">
        <v>10626</v>
      </c>
      <c r="B2239">
        <v>52.65</v>
      </c>
      <c r="C2239">
        <v>-9.0000000000003411E-2</v>
      </c>
    </row>
    <row r="2240" spans="1:3">
      <c r="A2240" t="s">
        <v>10630</v>
      </c>
      <c r="B2240">
        <v>52.47</v>
      </c>
      <c r="C2240">
        <v>-0.17999999999999972</v>
      </c>
    </row>
    <row r="2241" spans="1:3">
      <c r="A2241" t="s">
        <v>10634</v>
      </c>
      <c r="B2241">
        <v>52.26</v>
      </c>
      <c r="C2241">
        <v>-0.21000000000000085</v>
      </c>
    </row>
    <row r="2242" spans="1:3">
      <c r="A2242" t="s">
        <v>10638</v>
      </c>
      <c r="B2242">
        <v>52.35</v>
      </c>
      <c r="C2242">
        <v>9.0000000000003411E-2</v>
      </c>
    </row>
    <row r="2243" spans="1:3">
      <c r="A2243" t="s">
        <v>10642</v>
      </c>
      <c r="B2243">
        <v>52.29</v>
      </c>
      <c r="C2243">
        <v>-6.0000000000002274E-2</v>
      </c>
    </row>
    <row r="2244" spans="1:3">
      <c r="A2244" t="s">
        <v>10646</v>
      </c>
      <c r="B2244">
        <v>52.17</v>
      </c>
      <c r="C2244">
        <v>-0.11999999999999744</v>
      </c>
    </row>
    <row r="2245" spans="1:3">
      <c r="A2245" t="s">
        <v>10650</v>
      </c>
      <c r="B2245">
        <v>52.08</v>
      </c>
      <c r="C2245">
        <v>-9.0000000000003411E-2</v>
      </c>
    </row>
    <row r="2246" spans="1:3">
      <c r="A2246" t="s">
        <v>10654</v>
      </c>
      <c r="B2246">
        <v>52.05</v>
      </c>
      <c r="C2246">
        <v>-3.0000000000001137E-2</v>
      </c>
    </row>
    <row r="2247" spans="1:3">
      <c r="A2247" t="s">
        <v>10658</v>
      </c>
      <c r="B2247">
        <v>51.72</v>
      </c>
      <c r="C2247">
        <v>-0.32999999999999829</v>
      </c>
    </row>
    <row r="2248" spans="1:3">
      <c r="A2248" t="s">
        <v>10662</v>
      </c>
      <c r="B2248">
        <v>51.72</v>
      </c>
      <c r="C2248">
        <v>0</v>
      </c>
    </row>
    <row r="2249" spans="1:3">
      <c r="A2249" t="s">
        <v>10666</v>
      </c>
      <c r="B2249">
        <v>51.75</v>
      </c>
      <c r="C2249">
        <v>3.0000000000001137E-2</v>
      </c>
    </row>
    <row r="2250" spans="1:3">
      <c r="A2250" t="s">
        <v>10670</v>
      </c>
      <c r="B2250">
        <v>51.57</v>
      </c>
      <c r="C2250">
        <v>-0.17999999999999972</v>
      </c>
    </row>
    <row r="2251" spans="1:3">
      <c r="A2251" t="s">
        <v>10674</v>
      </c>
      <c r="B2251">
        <v>51.57</v>
      </c>
      <c r="C2251">
        <v>0</v>
      </c>
    </row>
    <row r="2252" spans="1:3">
      <c r="A2252" t="s">
        <v>10680</v>
      </c>
      <c r="B2252">
        <v>51.3</v>
      </c>
      <c r="C2252">
        <v>-0.27000000000000313</v>
      </c>
    </row>
    <row r="2253" spans="1:3">
      <c r="A2253" t="s">
        <v>10684</v>
      </c>
      <c r="B2253">
        <v>51.48</v>
      </c>
      <c r="C2253">
        <v>0.17999999999999972</v>
      </c>
    </row>
    <row r="2254" spans="1:3">
      <c r="A2254" t="s">
        <v>10688</v>
      </c>
      <c r="B2254">
        <v>51.3</v>
      </c>
      <c r="C2254">
        <v>-0.17999999999999972</v>
      </c>
    </row>
    <row r="2255" spans="1:3">
      <c r="A2255" t="s">
        <v>10692</v>
      </c>
      <c r="B2255">
        <v>51.21</v>
      </c>
      <c r="C2255">
        <v>-8.9999999999996305E-2</v>
      </c>
    </row>
    <row r="2256" spans="1:3">
      <c r="A2256" t="s">
        <v>10696</v>
      </c>
      <c r="B2256">
        <v>51.18</v>
      </c>
      <c r="C2256">
        <v>-3.0000000000001137E-2</v>
      </c>
    </row>
    <row r="2257" spans="1:3">
      <c r="A2257" t="s">
        <v>10700</v>
      </c>
      <c r="B2257">
        <v>51</v>
      </c>
      <c r="C2257">
        <v>-0.17999999999999972</v>
      </c>
    </row>
    <row r="2258" spans="1:3">
      <c r="A2258" t="s">
        <v>10704</v>
      </c>
      <c r="B2258">
        <v>50.91</v>
      </c>
      <c r="C2258">
        <v>-9.0000000000003411E-2</v>
      </c>
    </row>
    <row r="2259" spans="1:3">
      <c r="A2259" t="s">
        <v>10708</v>
      </c>
      <c r="B2259">
        <v>50.85</v>
      </c>
      <c r="C2259">
        <v>-5.9999999999995168E-2</v>
      </c>
    </row>
    <row r="2260" spans="1:3">
      <c r="A2260" t="s">
        <v>10712</v>
      </c>
      <c r="B2260">
        <v>50.67</v>
      </c>
      <c r="C2260">
        <v>-0.17999999999999972</v>
      </c>
    </row>
    <row r="2261" spans="1:3">
      <c r="A2261" t="s">
        <v>10716</v>
      </c>
      <c r="B2261">
        <v>50.73</v>
      </c>
      <c r="C2261">
        <v>5.9999999999995168E-2</v>
      </c>
    </row>
    <row r="2262" spans="1:3">
      <c r="A2262" t="s">
        <v>10720</v>
      </c>
      <c r="B2262">
        <v>50.58</v>
      </c>
      <c r="C2262">
        <v>-0.14999999999999858</v>
      </c>
    </row>
    <row r="2263" spans="1:3">
      <c r="A2263" t="s">
        <v>10724</v>
      </c>
      <c r="B2263">
        <v>50.55</v>
      </c>
      <c r="C2263">
        <v>-3.0000000000001137E-2</v>
      </c>
    </row>
    <row r="2264" spans="1:3">
      <c r="A2264" t="s">
        <v>10728</v>
      </c>
      <c r="B2264">
        <v>50.49</v>
      </c>
      <c r="C2264">
        <v>-5.9999999999995168E-2</v>
      </c>
    </row>
    <row r="2265" spans="1:3">
      <c r="A2265" t="s">
        <v>10732</v>
      </c>
      <c r="B2265">
        <v>50.49</v>
      </c>
      <c r="C2265">
        <v>0</v>
      </c>
    </row>
    <row r="2266" spans="1:3">
      <c r="A2266" t="s">
        <v>10736</v>
      </c>
      <c r="B2266">
        <v>50.22</v>
      </c>
      <c r="C2266">
        <v>-0.27000000000000313</v>
      </c>
    </row>
    <row r="2267" spans="1:3">
      <c r="A2267" t="s">
        <v>10740</v>
      </c>
      <c r="B2267">
        <v>50.31</v>
      </c>
      <c r="C2267">
        <v>9.0000000000003411E-2</v>
      </c>
    </row>
    <row r="2268" spans="1:3">
      <c r="A2268" t="s">
        <v>10744</v>
      </c>
      <c r="B2268">
        <v>50.19</v>
      </c>
      <c r="C2268">
        <v>-0.12000000000000455</v>
      </c>
    </row>
    <row r="2269" spans="1:3">
      <c r="A2269" t="s">
        <v>10748</v>
      </c>
      <c r="B2269">
        <v>66.239999999999995</v>
      </c>
      <c r="C2269">
        <v>16.049999999999997</v>
      </c>
    </row>
    <row r="2270" spans="1:3">
      <c r="A2270" t="s">
        <v>10757</v>
      </c>
      <c r="B2270">
        <v>81.27</v>
      </c>
      <c r="C2270">
        <v>15.030000000000001</v>
      </c>
    </row>
    <row r="2271" spans="1:3">
      <c r="A2271" t="s">
        <v>10763</v>
      </c>
      <c r="B2271">
        <v>82.47</v>
      </c>
      <c r="C2271">
        <v>1.2000000000000028</v>
      </c>
    </row>
    <row r="2272" spans="1:3">
      <c r="A2272" t="s">
        <v>10767</v>
      </c>
      <c r="B2272">
        <v>82.98</v>
      </c>
      <c r="C2272">
        <v>0.51000000000000512</v>
      </c>
    </row>
    <row r="2273" spans="1:3">
      <c r="A2273" t="s">
        <v>10771</v>
      </c>
      <c r="B2273">
        <v>58.65</v>
      </c>
      <c r="C2273">
        <v>-24.330000000000005</v>
      </c>
    </row>
    <row r="2274" spans="1:3">
      <c r="A2274" t="s">
        <v>10779</v>
      </c>
      <c r="B2274">
        <v>52.74</v>
      </c>
      <c r="C2274">
        <v>-5.9099999999999966</v>
      </c>
    </row>
    <row r="2275" spans="1:3">
      <c r="A2275" t="s">
        <v>10783</v>
      </c>
      <c r="B2275">
        <v>52.77</v>
      </c>
      <c r="C2275">
        <v>3.0000000000001137E-2</v>
      </c>
    </row>
    <row r="2276" spans="1:3">
      <c r="A2276" t="s">
        <v>10787</v>
      </c>
      <c r="B2276">
        <v>52.53</v>
      </c>
      <c r="C2276">
        <v>-0.24000000000000199</v>
      </c>
    </row>
    <row r="2277" spans="1:3">
      <c r="A2277" t="s">
        <v>10791</v>
      </c>
      <c r="B2277">
        <v>52.23</v>
      </c>
      <c r="C2277">
        <v>-0.30000000000000426</v>
      </c>
    </row>
    <row r="2278" spans="1:3">
      <c r="A2278" t="s">
        <v>10795</v>
      </c>
      <c r="B2278">
        <v>52.26</v>
      </c>
      <c r="C2278">
        <v>3.0000000000001137E-2</v>
      </c>
    </row>
    <row r="2279" spans="1:3">
      <c r="A2279" t="s">
        <v>10799</v>
      </c>
      <c r="B2279">
        <v>52.23</v>
      </c>
      <c r="C2279">
        <v>-3.0000000000001137E-2</v>
      </c>
    </row>
    <row r="2280" spans="1:3">
      <c r="A2280" t="s">
        <v>10803</v>
      </c>
      <c r="B2280">
        <v>52.14</v>
      </c>
      <c r="C2280">
        <v>-8.9999999999996305E-2</v>
      </c>
    </row>
    <row r="2281" spans="1:3">
      <c r="A2281" t="s">
        <v>10807</v>
      </c>
      <c r="B2281">
        <v>52.02</v>
      </c>
      <c r="C2281">
        <v>-0.11999999999999744</v>
      </c>
    </row>
    <row r="2282" spans="1:3">
      <c r="A2282" t="s">
        <v>10811</v>
      </c>
      <c r="B2282">
        <v>51.93</v>
      </c>
      <c r="C2282">
        <v>-9.0000000000003411E-2</v>
      </c>
    </row>
    <row r="2283" spans="1:3">
      <c r="A2283" t="s">
        <v>10815</v>
      </c>
      <c r="B2283">
        <v>51.81</v>
      </c>
      <c r="C2283">
        <v>-0.11999999999999744</v>
      </c>
    </row>
    <row r="2284" spans="1:3">
      <c r="A2284" t="s">
        <v>10819</v>
      </c>
      <c r="B2284">
        <v>51.78</v>
      </c>
      <c r="C2284">
        <v>-3.0000000000001137E-2</v>
      </c>
    </row>
    <row r="2285" spans="1:3">
      <c r="A2285" t="s">
        <v>10823</v>
      </c>
      <c r="B2285">
        <v>51.57</v>
      </c>
      <c r="C2285">
        <v>-0.21000000000000085</v>
      </c>
    </row>
    <row r="2286" spans="1:3">
      <c r="A2286" t="s">
        <v>10827</v>
      </c>
      <c r="B2286">
        <v>51.6</v>
      </c>
      <c r="C2286">
        <v>3.0000000000001137E-2</v>
      </c>
    </row>
    <row r="2287" spans="1:3">
      <c r="A2287" t="s">
        <v>10831</v>
      </c>
      <c r="B2287">
        <v>51.48</v>
      </c>
      <c r="C2287">
        <v>-0.12000000000000455</v>
      </c>
    </row>
    <row r="2288" spans="1:3">
      <c r="A2288" t="s">
        <v>10835</v>
      </c>
      <c r="B2288">
        <v>51.51</v>
      </c>
      <c r="C2288">
        <v>3.0000000000001137E-2</v>
      </c>
    </row>
    <row r="2289" spans="1:3">
      <c r="A2289" t="s">
        <v>10839</v>
      </c>
      <c r="B2289">
        <v>51.3</v>
      </c>
      <c r="C2289">
        <v>-0.21000000000000085</v>
      </c>
    </row>
    <row r="2290" spans="1:3">
      <c r="A2290" t="s">
        <v>10843</v>
      </c>
      <c r="B2290">
        <v>51.33</v>
      </c>
      <c r="C2290">
        <v>3.0000000000001137E-2</v>
      </c>
    </row>
    <row r="2291" spans="1:3">
      <c r="A2291" t="s">
        <v>10847</v>
      </c>
      <c r="B2291">
        <v>51.21</v>
      </c>
      <c r="C2291">
        <v>-0.11999999999999744</v>
      </c>
    </row>
    <row r="2292" spans="1:3">
      <c r="A2292" t="s">
        <v>10851</v>
      </c>
      <c r="B2292">
        <v>51.12</v>
      </c>
      <c r="C2292">
        <v>-9.0000000000003411E-2</v>
      </c>
    </row>
    <row r="2293" spans="1:3">
      <c r="A2293" t="s">
        <v>10855</v>
      </c>
      <c r="B2293">
        <v>51.09</v>
      </c>
      <c r="C2293">
        <v>-2.9999999999994031E-2</v>
      </c>
    </row>
    <row r="2294" spans="1:3">
      <c r="A2294" t="s">
        <v>10859</v>
      </c>
      <c r="B2294">
        <v>51.09</v>
      </c>
      <c r="C2294">
        <v>0</v>
      </c>
    </row>
    <row r="2295" spans="1:3">
      <c r="A2295" t="s">
        <v>10863</v>
      </c>
      <c r="B2295">
        <v>50.97</v>
      </c>
      <c r="C2295">
        <v>-0.12000000000000455</v>
      </c>
    </row>
    <row r="2296" spans="1:3">
      <c r="A2296" t="s">
        <v>10867</v>
      </c>
      <c r="B2296">
        <v>50.85</v>
      </c>
      <c r="C2296">
        <v>-0.11999999999999744</v>
      </c>
    </row>
    <row r="2297" spans="1:3">
      <c r="A2297" t="s">
        <v>10871</v>
      </c>
      <c r="B2297">
        <v>50.76</v>
      </c>
      <c r="C2297">
        <v>-9.0000000000003411E-2</v>
      </c>
    </row>
    <row r="2298" spans="1:3">
      <c r="A2298" t="s">
        <v>10875</v>
      </c>
      <c r="B2298">
        <v>50.82</v>
      </c>
      <c r="C2298">
        <v>6.0000000000002274E-2</v>
      </c>
    </row>
    <row r="2299" spans="1:3">
      <c r="A2299" t="s">
        <v>10879</v>
      </c>
      <c r="B2299">
        <v>50.61</v>
      </c>
      <c r="C2299">
        <v>-0.21000000000000085</v>
      </c>
    </row>
    <row r="2300" spans="1:3">
      <c r="A2300" t="s">
        <v>10883</v>
      </c>
      <c r="B2300">
        <v>50.61</v>
      </c>
      <c r="C2300">
        <v>0</v>
      </c>
    </row>
    <row r="2301" spans="1:3">
      <c r="A2301" t="s">
        <v>10887</v>
      </c>
      <c r="B2301">
        <v>50.43</v>
      </c>
      <c r="C2301">
        <v>-0.17999999999999972</v>
      </c>
    </row>
    <row r="2302" spans="1:3">
      <c r="A2302" t="s">
        <v>10891</v>
      </c>
      <c r="B2302">
        <v>50.37</v>
      </c>
      <c r="C2302">
        <v>-6.0000000000002274E-2</v>
      </c>
    </row>
    <row r="2303" spans="1:3">
      <c r="A2303" t="s">
        <v>10895</v>
      </c>
      <c r="B2303">
        <v>50.34</v>
      </c>
      <c r="C2303">
        <v>-2.9999999999994031E-2</v>
      </c>
    </row>
    <row r="2304" spans="1:3">
      <c r="A2304" t="s">
        <v>10899</v>
      </c>
      <c r="B2304">
        <v>50.4</v>
      </c>
      <c r="C2304">
        <v>5.9999999999995168E-2</v>
      </c>
    </row>
    <row r="2305" spans="1:3">
      <c r="A2305" t="s">
        <v>10903</v>
      </c>
      <c r="B2305">
        <v>50.19</v>
      </c>
      <c r="C2305">
        <v>-0.21000000000000085</v>
      </c>
    </row>
    <row r="2306" spans="1:3">
      <c r="A2306" t="s">
        <v>10907</v>
      </c>
      <c r="B2306">
        <v>50.16</v>
      </c>
      <c r="C2306">
        <v>-3.0000000000001137E-2</v>
      </c>
    </row>
    <row r="2307" spans="1:3">
      <c r="A2307" t="s">
        <v>10911</v>
      </c>
      <c r="B2307">
        <v>58.08</v>
      </c>
      <c r="C2307">
        <v>7.9200000000000017</v>
      </c>
    </row>
    <row r="2308" spans="1:3">
      <c r="A2308" t="s">
        <v>10918</v>
      </c>
      <c r="B2308">
        <v>81.78</v>
      </c>
      <c r="C2308">
        <v>23.700000000000003</v>
      </c>
    </row>
    <row r="2309" spans="1:3">
      <c r="A2309" t="s">
        <v>10923</v>
      </c>
      <c r="B2309">
        <v>82.47</v>
      </c>
      <c r="C2309">
        <v>0.68999999999999773</v>
      </c>
    </row>
    <row r="2310" spans="1:3">
      <c r="A2310" t="s">
        <v>10927</v>
      </c>
      <c r="B2310">
        <v>83.25</v>
      </c>
      <c r="C2310">
        <v>0.78000000000000114</v>
      </c>
    </row>
    <row r="2311" spans="1:3">
      <c r="A2311" t="s">
        <v>10933</v>
      </c>
      <c r="B2311">
        <v>66.959999999999994</v>
      </c>
      <c r="C2311">
        <v>-16.290000000000006</v>
      </c>
    </row>
    <row r="2312" spans="1:3">
      <c r="A2312" t="s">
        <v>10941</v>
      </c>
      <c r="B2312">
        <v>52.89</v>
      </c>
      <c r="C2312">
        <v>-14.069999999999993</v>
      </c>
    </row>
    <row r="2313" spans="1:3">
      <c r="A2313" t="s">
        <v>10945</v>
      </c>
      <c r="B2313">
        <v>52.71</v>
      </c>
      <c r="C2313">
        <v>-0.17999999999999972</v>
      </c>
    </row>
    <row r="2314" spans="1:3">
      <c r="A2314" t="s">
        <v>10949</v>
      </c>
      <c r="B2314">
        <v>52.56</v>
      </c>
      <c r="C2314">
        <v>-0.14999999999999858</v>
      </c>
    </row>
    <row r="2315" spans="1:3">
      <c r="A2315" t="s">
        <v>10953</v>
      </c>
      <c r="B2315">
        <v>52.53</v>
      </c>
      <c r="C2315">
        <v>-3.0000000000001137E-2</v>
      </c>
    </row>
    <row r="2316" spans="1:3">
      <c r="A2316" t="s">
        <v>10957</v>
      </c>
      <c r="B2316">
        <v>52.47</v>
      </c>
      <c r="C2316">
        <v>-6.0000000000002274E-2</v>
      </c>
    </row>
    <row r="2317" spans="1:3">
      <c r="A2317" t="s">
        <v>10961</v>
      </c>
      <c r="B2317">
        <v>52.41</v>
      </c>
      <c r="C2317">
        <v>-6.0000000000002274E-2</v>
      </c>
    </row>
    <row r="2318" spans="1:3">
      <c r="A2318" t="s">
        <v>10965</v>
      </c>
      <c r="B2318">
        <v>52.26</v>
      </c>
      <c r="C2318">
        <v>-0.14999999999999858</v>
      </c>
    </row>
    <row r="2319" spans="1:3">
      <c r="A2319" t="s">
        <v>10969</v>
      </c>
      <c r="B2319">
        <v>52.2</v>
      </c>
      <c r="C2319">
        <v>-5.9999999999995168E-2</v>
      </c>
    </row>
    <row r="2320" spans="1:3">
      <c r="A2320" t="s">
        <v>10973</v>
      </c>
      <c r="B2320">
        <v>52.11</v>
      </c>
      <c r="C2320">
        <v>-9.0000000000003411E-2</v>
      </c>
    </row>
    <row r="2321" spans="1:3">
      <c r="A2321" t="s">
        <v>10977</v>
      </c>
      <c r="B2321">
        <v>51.93</v>
      </c>
      <c r="C2321">
        <v>-0.17999999999999972</v>
      </c>
    </row>
    <row r="2322" spans="1:3">
      <c r="A2322" t="s">
        <v>10981</v>
      </c>
      <c r="B2322">
        <v>51.96</v>
      </c>
      <c r="C2322">
        <v>3.0000000000001137E-2</v>
      </c>
    </row>
    <row r="2323" spans="1:3">
      <c r="A2323" t="s">
        <v>10985</v>
      </c>
      <c r="B2323">
        <v>51.78</v>
      </c>
      <c r="C2323">
        <v>-0.17999999999999972</v>
      </c>
    </row>
    <row r="2324" spans="1:3">
      <c r="A2324" t="s">
        <v>10989</v>
      </c>
      <c r="B2324">
        <v>51.72</v>
      </c>
      <c r="C2324">
        <v>-6.0000000000002274E-2</v>
      </c>
    </row>
    <row r="2325" spans="1:3">
      <c r="A2325" t="s">
        <v>10993</v>
      </c>
      <c r="B2325">
        <v>51.69</v>
      </c>
      <c r="C2325">
        <v>-3.0000000000001137E-2</v>
      </c>
    </row>
    <row r="2326" spans="1:3">
      <c r="A2326" t="s">
        <v>10997</v>
      </c>
      <c r="B2326">
        <v>51.69</v>
      </c>
      <c r="C2326">
        <v>0</v>
      </c>
    </row>
    <row r="2327" spans="1:3">
      <c r="A2327" t="s">
        <v>11001</v>
      </c>
      <c r="B2327">
        <v>51.48</v>
      </c>
      <c r="C2327">
        <v>-0.21000000000000085</v>
      </c>
    </row>
    <row r="2328" spans="1:3">
      <c r="A2328" t="s">
        <v>11005</v>
      </c>
      <c r="B2328">
        <v>51.36</v>
      </c>
      <c r="C2328">
        <v>-0.11999999999999744</v>
      </c>
    </row>
    <row r="2329" spans="1:3">
      <c r="A2329" t="s">
        <v>11009</v>
      </c>
      <c r="B2329">
        <v>51.6</v>
      </c>
      <c r="C2329">
        <v>0.24000000000000199</v>
      </c>
    </row>
    <row r="2330" spans="1:3">
      <c r="A2330" t="s">
        <v>11013</v>
      </c>
      <c r="B2330">
        <v>51.33</v>
      </c>
      <c r="C2330">
        <v>-0.27000000000000313</v>
      </c>
    </row>
    <row r="2331" spans="1:3">
      <c r="A2331" t="s">
        <v>11017</v>
      </c>
      <c r="B2331">
        <v>51.24</v>
      </c>
      <c r="C2331">
        <v>-8.9999999999996305E-2</v>
      </c>
    </row>
    <row r="2332" spans="1:3">
      <c r="A2332" t="s">
        <v>11021</v>
      </c>
      <c r="B2332">
        <v>51.3</v>
      </c>
      <c r="C2332">
        <v>5.9999999999995168E-2</v>
      </c>
    </row>
    <row r="2333" spans="1:3">
      <c r="A2333" t="s">
        <v>11025</v>
      </c>
      <c r="B2333">
        <v>51.03</v>
      </c>
      <c r="C2333">
        <v>-0.26999999999999602</v>
      </c>
    </row>
    <row r="2334" spans="1:3">
      <c r="A2334" t="s">
        <v>11029</v>
      </c>
      <c r="B2334">
        <v>51.12</v>
      </c>
      <c r="C2334">
        <v>8.9999999999996305E-2</v>
      </c>
    </row>
    <row r="2335" spans="1:3">
      <c r="A2335" t="s">
        <v>11033</v>
      </c>
      <c r="B2335">
        <v>50.94</v>
      </c>
      <c r="C2335">
        <v>-0.17999999999999972</v>
      </c>
    </row>
    <row r="2336" spans="1:3">
      <c r="A2336" t="s">
        <v>11037</v>
      </c>
      <c r="B2336">
        <v>50.94</v>
      </c>
      <c r="C2336">
        <v>0</v>
      </c>
    </row>
    <row r="2337" spans="1:3">
      <c r="A2337" t="s">
        <v>11041</v>
      </c>
      <c r="B2337">
        <v>50.85</v>
      </c>
      <c r="C2337">
        <v>-8.9999999999996305E-2</v>
      </c>
    </row>
    <row r="2338" spans="1:3">
      <c r="A2338" t="s">
        <v>11045</v>
      </c>
      <c r="B2338">
        <v>50.79</v>
      </c>
      <c r="C2338">
        <v>-6.0000000000002274E-2</v>
      </c>
    </row>
    <row r="2339" spans="1:3">
      <c r="A2339" t="s">
        <v>11049</v>
      </c>
      <c r="B2339">
        <v>50.76</v>
      </c>
      <c r="C2339">
        <v>-3.0000000000001137E-2</v>
      </c>
    </row>
    <row r="2340" spans="1:3">
      <c r="A2340" t="s">
        <v>11053</v>
      </c>
      <c r="B2340">
        <v>50.7</v>
      </c>
      <c r="C2340">
        <v>-5.9999999999995168E-2</v>
      </c>
    </row>
    <row r="2341" spans="1:3">
      <c r="A2341" t="s">
        <v>11057</v>
      </c>
      <c r="B2341">
        <v>50.49</v>
      </c>
      <c r="C2341">
        <v>-0.21000000000000085</v>
      </c>
    </row>
    <row r="2342" spans="1:3">
      <c r="A2342" t="s">
        <v>11061</v>
      </c>
      <c r="B2342">
        <v>50.46</v>
      </c>
      <c r="C2342">
        <v>-3.0000000000001137E-2</v>
      </c>
    </row>
    <row r="2343" spans="1:3">
      <c r="A2343" t="s">
        <v>11065</v>
      </c>
      <c r="B2343">
        <v>50.46</v>
      </c>
      <c r="C2343">
        <v>0</v>
      </c>
    </row>
    <row r="2344" spans="1:3">
      <c r="A2344" t="s">
        <v>11069</v>
      </c>
      <c r="B2344">
        <v>50.43</v>
      </c>
      <c r="C2344">
        <v>-3.0000000000001137E-2</v>
      </c>
    </row>
    <row r="2345" spans="1:3">
      <c r="A2345" t="s">
        <v>11073</v>
      </c>
      <c r="B2345">
        <v>50.34</v>
      </c>
      <c r="C2345">
        <v>-8.9999999999996305E-2</v>
      </c>
    </row>
    <row r="2346" spans="1:3">
      <c r="A2346" t="s">
        <v>11077</v>
      </c>
      <c r="B2346">
        <v>50.31</v>
      </c>
      <c r="C2346">
        <v>-3.0000000000001137E-2</v>
      </c>
    </row>
    <row r="2347" spans="1:3">
      <c r="A2347" t="s">
        <v>11081</v>
      </c>
      <c r="B2347">
        <v>50.37</v>
      </c>
      <c r="C2347">
        <v>5.9999999999995168E-2</v>
      </c>
    </row>
    <row r="2348" spans="1:3">
      <c r="A2348" t="s">
        <v>11085</v>
      </c>
      <c r="B2348">
        <v>50.22</v>
      </c>
      <c r="C2348">
        <v>-0.14999999999999858</v>
      </c>
    </row>
    <row r="2349" spans="1:3">
      <c r="A2349" t="s">
        <v>11089</v>
      </c>
      <c r="B2349">
        <v>50.28</v>
      </c>
      <c r="C2349">
        <v>6.0000000000002274E-2</v>
      </c>
    </row>
    <row r="2350" spans="1:3">
      <c r="A2350" t="s">
        <v>11093</v>
      </c>
      <c r="B2350">
        <v>50.16</v>
      </c>
      <c r="C2350">
        <v>-0.12000000000000455</v>
      </c>
    </row>
    <row r="2351" spans="1:3">
      <c r="A2351" t="s">
        <v>11097</v>
      </c>
      <c r="B2351">
        <v>80.760000000000005</v>
      </c>
      <c r="C2351">
        <v>30.600000000000009</v>
      </c>
    </row>
    <row r="2352" spans="1:3">
      <c r="A2352" t="s">
        <v>11102</v>
      </c>
      <c r="B2352">
        <v>82.38</v>
      </c>
      <c r="C2352">
        <v>1.6199999999999903</v>
      </c>
    </row>
    <row r="2353" spans="1:3">
      <c r="A2353" t="s">
        <v>11106</v>
      </c>
      <c r="B2353">
        <v>82.86</v>
      </c>
      <c r="C2353">
        <v>0.48000000000000398</v>
      </c>
    </row>
    <row r="2354" spans="1:3">
      <c r="A2354" t="s">
        <v>11110</v>
      </c>
      <c r="B2354">
        <v>71.489999999999995</v>
      </c>
      <c r="C2354">
        <v>-11.370000000000005</v>
      </c>
    </row>
    <row r="2355" spans="1:3">
      <c r="A2355" t="s">
        <v>11118</v>
      </c>
      <c r="B2355">
        <v>53.13</v>
      </c>
      <c r="C2355">
        <v>-18.359999999999992</v>
      </c>
    </row>
    <row r="2356" spans="1:3">
      <c r="A2356" t="s">
        <v>11122</v>
      </c>
      <c r="B2356">
        <v>52.89</v>
      </c>
      <c r="C2356">
        <v>-0.24000000000000199</v>
      </c>
    </row>
    <row r="2357" spans="1:3">
      <c r="A2357" t="s">
        <v>11126</v>
      </c>
      <c r="B2357">
        <v>52.68</v>
      </c>
      <c r="C2357">
        <v>-0.21000000000000085</v>
      </c>
    </row>
    <row r="2358" spans="1:3">
      <c r="A2358" t="s">
        <v>11130</v>
      </c>
      <c r="B2358">
        <v>52.71</v>
      </c>
      <c r="C2358">
        <v>3.0000000000001137E-2</v>
      </c>
    </row>
    <row r="2359" spans="1:3">
      <c r="A2359" t="s">
        <v>11134</v>
      </c>
      <c r="B2359">
        <v>52.56</v>
      </c>
      <c r="C2359">
        <v>-0.14999999999999858</v>
      </c>
    </row>
    <row r="2360" spans="1:3">
      <c r="A2360" t="s">
        <v>11138</v>
      </c>
      <c r="B2360">
        <v>52.5</v>
      </c>
      <c r="C2360">
        <v>-6.0000000000002274E-2</v>
      </c>
    </row>
    <row r="2361" spans="1:3">
      <c r="A2361" t="s">
        <v>11142</v>
      </c>
      <c r="B2361">
        <v>52.47</v>
      </c>
      <c r="C2361">
        <v>-3.0000000000001137E-2</v>
      </c>
    </row>
    <row r="2362" spans="1:3">
      <c r="A2362" t="s">
        <v>11146</v>
      </c>
      <c r="B2362">
        <v>52.41</v>
      </c>
      <c r="C2362">
        <v>-6.0000000000002274E-2</v>
      </c>
    </row>
    <row r="2363" spans="1:3">
      <c r="A2363" t="s">
        <v>11150</v>
      </c>
      <c r="B2363">
        <v>52.32</v>
      </c>
      <c r="C2363">
        <v>-8.9999999999996305E-2</v>
      </c>
    </row>
    <row r="2364" spans="1:3">
      <c r="A2364" t="s">
        <v>11154</v>
      </c>
      <c r="B2364">
        <v>52.14</v>
      </c>
      <c r="C2364">
        <v>-0.17999999999999972</v>
      </c>
    </row>
    <row r="2365" spans="1:3">
      <c r="A2365" t="s">
        <v>11158</v>
      </c>
      <c r="B2365">
        <v>52.05</v>
      </c>
      <c r="C2365">
        <v>-9.0000000000003411E-2</v>
      </c>
    </row>
    <row r="2366" spans="1:3">
      <c r="A2366" t="s">
        <v>11162</v>
      </c>
      <c r="B2366">
        <v>52.05</v>
      </c>
      <c r="C2366">
        <v>0</v>
      </c>
    </row>
    <row r="2367" spans="1:3">
      <c r="A2367" t="s">
        <v>11166</v>
      </c>
      <c r="B2367">
        <v>51.99</v>
      </c>
      <c r="C2367">
        <v>-5.9999999999995168E-2</v>
      </c>
    </row>
    <row r="2368" spans="1:3">
      <c r="A2368" t="s">
        <v>11170</v>
      </c>
      <c r="B2368">
        <v>52.05</v>
      </c>
      <c r="C2368">
        <v>5.9999999999995168E-2</v>
      </c>
    </row>
    <row r="2369" spans="1:3">
      <c r="A2369" t="s">
        <v>11174</v>
      </c>
      <c r="B2369">
        <v>51.93</v>
      </c>
      <c r="C2369">
        <v>-0.11999999999999744</v>
      </c>
    </row>
    <row r="2370" spans="1:3">
      <c r="A2370" t="s">
        <v>11178</v>
      </c>
      <c r="B2370">
        <v>51.72</v>
      </c>
      <c r="C2370">
        <v>-0.21000000000000085</v>
      </c>
    </row>
    <row r="2371" spans="1:3">
      <c r="A2371" t="s">
        <v>11182</v>
      </c>
      <c r="B2371">
        <v>51.84</v>
      </c>
      <c r="C2371">
        <v>0.12000000000000455</v>
      </c>
    </row>
    <row r="2372" spans="1:3">
      <c r="A2372" t="s">
        <v>11186</v>
      </c>
      <c r="B2372">
        <v>51.66</v>
      </c>
      <c r="C2372">
        <v>-0.18000000000000682</v>
      </c>
    </row>
    <row r="2373" spans="1:3">
      <c r="A2373" t="s">
        <v>11190</v>
      </c>
      <c r="B2373">
        <v>51.54</v>
      </c>
      <c r="C2373">
        <v>-0.11999999999999744</v>
      </c>
    </row>
    <row r="2374" spans="1:3">
      <c r="A2374" t="s">
        <v>11194</v>
      </c>
      <c r="B2374">
        <v>51.45</v>
      </c>
      <c r="C2374">
        <v>-8.9999999999996305E-2</v>
      </c>
    </row>
    <row r="2375" spans="1:3">
      <c r="A2375" t="s">
        <v>11198</v>
      </c>
      <c r="B2375">
        <v>51.18</v>
      </c>
      <c r="C2375">
        <v>-0.27000000000000313</v>
      </c>
    </row>
    <row r="2376" spans="1:3">
      <c r="A2376" t="s">
        <v>11202</v>
      </c>
      <c r="B2376">
        <v>51.09</v>
      </c>
      <c r="C2376">
        <v>-8.9999999999996305E-2</v>
      </c>
    </row>
    <row r="2377" spans="1:3">
      <c r="A2377" t="s">
        <v>11206</v>
      </c>
      <c r="B2377">
        <v>51</v>
      </c>
      <c r="C2377">
        <v>-9.0000000000003411E-2</v>
      </c>
    </row>
    <row r="2378" spans="1:3">
      <c r="A2378" t="s">
        <v>11210</v>
      </c>
      <c r="B2378">
        <v>50.97</v>
      </c>
      <c r="C2378">
        <v>-3.0000000000001137E-2</v>
      </c>
    </row>
    <row r="2379" spans="1:3">
      <c r="A2379" t="s">
        <v>11214</v>
      </c>
      <c r="B2379">
        <v>50.79</v>
      </c>
      <c r="C2379">
        <v>-0.17999999999999972</v>
      </c>
    </row>
    <row r="2380" spans="1:3">
      <c r="A2380" t="s">
        <v>11218</v>
      </c>
      <c r="B2380">
        <v>50.67</v>
      </c>
      <c r="C2380">
        <v>-0.11999999999999744</v>
      </c>
    </row>
    <row r="2381" spans="1:3">
      <c r="A2381" t="s">
        <v>11222</v>
      </c>
      <c r="B2381">
        <v>50.64</v>
      </c>
      <c r="C2381">
        <v>-3.0000000000001137E-2</v>
      </c>
    </row>
    <row r="2382" spans="1:3">
      <c r="A2382" t="s">
        <v>11226</v>
      </c>
      <c r="B2382">
        <v>50.46</v>
      </c>
      <c r="C2382">
        <v>-0.17999999999999972</v>
      </c>
    </row>
    <row r="2383" spans="1:3">
      <c r="A2383" t="s">
        <v>11230</v>
      </c>
      <c r="B2383">
        <v>50.37</v>
      </c>
      <c r="C2383">
        <v>-9.0000000000003411E-2</v>
      </c>
    </row>
    <row r="2384" spans="1:3">
      <c r="A2384" t="s">
        <v>11234</v>
      </c>
      <c r="B2384">
        <v>50.28</v>
      </c>
      <c r="C2384">
        <v>-8.9999999999996305E-2</v>
      </c>
    </row>
    <row r="2385" spans="1:3">
      <c r="A2385" t="s">
        <v>11238</v>
      </c>
      <c r="B2385">
        <v>50.16</v>
      </c>
      <c r="C2385">
        <v>-0.12000000000000455</v>
      </c>
    </row>
    <row r="2386" spans="1:3">
      <c r="A2386" t="s">
        <v>11242</v>
      </c>
      <c r="B2386">
        <v>50.22</v>
      </c>
      <c r="C2386">
        <v>6.0000000000002274E-2</v>
      </c>
    </row>
    <row r="2387" spans="1:3">
      <c r="A2387" t="s">
        <v>11246</v>
      </c>
      <c r="B2387">
        <v>81.510000000000005</v>
      </c>
      <c r="C2387">
        <v>31.290000000000006</v>
      </c>
    </row>
    <row r="2388" spans="1:3">
      <c r="A2388" t="s">
        <v>11250</v>
      </c>
      <c r="B2388">
        <v>82.65</v>
      </c>
      <c r="C2388">
        <v>1.1400000000000006</v>
      </c>
    </row>
    <row r="2389" spans="1:3">
      <c r="A2389" t="s">
        <v>11254</v>
      </c>
      <c r="B2389">
        <v>83.22</v>
      </c>
      <c r="C2389">
        <v>0.56999999999999318</v>
      </c>
    </row>
    <row r="2390" spans="1:3">
      <c r="A2390" t="s">
        <v>11258</v>
      </c>
      <c r="B2390">
        <v>53.07</v>
      </c>
      <c r="C2390">
        <v>-30.15</v>
      </c>
    </row>
    <row r="2391" spans="1:3">
      <c r="A2391" t="s">
        <v>11263</v>
      </c>
      <c r="B2391">
        <v>52.98</v>
      </c>
      <c r="C2391">
        <v>-9.0000000000003411E-2</v>
      </c>
    </row>
    <row r="2392" spans="1:3">
      <c r="A2392" t="s">
        <v>11267</v>
      </c>
      <c r="B2392">
        <v>52.5</v>
      </c>
      <c r="C2392">
        <v>-0.47999999999999687</v>
      </c>
    </row>
    <row r="2393" spans="1:3">
      <c r="A2393" t="s">
        <v>11271</v>
      </c>
      <c r="B2393">
        <v>52.5</v>
      </c>
      <c r="C2393">
        <v>0</v>
      </c>
    </row>
    <row r="2394" spans="1:3">
      <c r="A2394" t="s">
        <v>11275</v>
      </c>
      <c r="B2394">
        <v>52.23</v>
      </c>
      <c r="C2394">
        <v>-0.27000000000000313</v>
      </c>
    </row>
    <row r="2395" spans="1:3">
      <c r="A2395" t="s">
        <v>11279</v>
      </c>
      <c r="B2395">
        <v>52.17</v>
      </c>
      <c r="C2395">
        <v>-5.9999999999995168E-2</v>
      </c>
    </row>
    <row r="2396" spans="1:3">
      <c r="A2396" t="s">
        <v>11283</v>
      </c>
      <c r="B2396">
        <v>52.11</v>
      </c>
      <c r="C2396">
        <v>-6.0000000000002274E-2</v>
      </c>
    </row>
    <row r="2397" spans="1:3">
      <c r="A2397" t="s">
        <v>11287</v>
      </c>
      <c r="B2397">
        <v>51.96</v>
      </c>
      <c r="C2397">
        <v>-0.14999999999999858</v>
      </c>
    </row>
    <row r="2398" spans="1:3">
      <c r="A2398" t="s">
        <v>11291</v>
      </c>
      <c r="B2398">
        <v>51.69</v>
      </c>
      <c r="C2398">
        <v>-0.27000000000000313</v>
      </c>
    </row>
    <row r="2399" spans="1:3">
      <c r="A2399" t="s">
        <v>11295</v>
      </c>
      <c r="B2399">
        <v>51.6</v>
      </c>
      <c r="C2399">
        <v>-8.9999999999996305E-2</v>
      </c>
    </row>
    <row r="2400" spans="1:3">
      <c r="A2400" t="s">
        <v>11299</v>
      </c>
      <c r="B2400">
        <v>51.57</v>
      </c>
      <c r="C2400">
        <v>-3.0000000000001137E-2</v>
      </c>
    </row>
    <row r="2401" spans="1:3">
      <c r="A2401" t="s">
        <v>11303</v>
      </c>
      <c r="B2401">
        <v>51.3</v>
      </c>
      <c r="C2401">
        <v>-0.27000000000000313</v>
      </c>
    </row>
    <row r="2402" spans="1:3">
      <c r="A2402" t="s">
        <v>11307</v>
      </c>
      <c r="B2402">
        <v>51.27</v>
      </c>
      <c r="C2402">
        <v>-2.9999999999994031E-2</v>
      </c>
    </row>
    <row r="2403" spans="1:3">
      <c r="A2403" t="s">
        <v>11311</v>
      </c>
      <c r="B2403">
        <v>51.06</v>
      </c>
      <c r="C2403">
        <v>-0.21000000000000085</v>
      </c>
    </row>
    <row r="2404" spans="1:3">
      <c r="A2404" t="s">
        <v>11315</v>
      </c>
      <c r="B2404">
        <v>51.15</v>
      </c>
      <c r="C2404">
        <v>8.9999999999996305E-2</v>
      </c>
    </row>
    <row r="2405" spans="1:3">
      <c r="A2405" t="s">
        <v>11319</v>
      </c>
      <c r="B2405">
        <v>50.94</v>
      </c>
      <c r="C2405">
        <v>-0.21000000000000085</v>
      </c>
    </row>
    <row r="2406" spans="1:3">
      <c r="A2406" t="s">
        <v>11323</v>
      </c>
      <c r="B2406">
        <v>50.7</v>
      </c>
      <c r="C2406">
        <v>-0.23999999999999488</v>
      </c>
    </row>
    <row r="2407" spans="1:3">
      <c r="A2407" t="s">
        <v>11327</v>
      </c>
      <c r="B2407">
        <v>50.79</v>
      </c>
      <c r="C2407">
        <v>8.9999999999996305E-2</v>
      </c>
    </row>
    <row r="2408" spans="1:3">
      <c r="A2408" t="s">
        <v>11331</v>
      </c>
      <c r="B2408">
        <v>50.55</v>
      </c>
      <c r="C2408">
        <v>-0.24000000000000199</v>
      </c>
    </row>
    <row r="2409" spans="1:3">
      <c r="A2409" t="s">
        <v>11335</v>
      </c>
      <c r="B2409">
        <v>50.55</v>
      </c>
      <c r="C2409">
        <v>0</v>
      </c>
    </row>
    <row r="2410" spans="1:3">
      <c r="A2410" t="s">
        <v>11339</v>
      </c>
      <c r="B2410">
        <v>50.49</v>
      </c>
      <c r="C2410">
        <v>-5.9999999999995168E-2</v>
      </c>
    </row>
    <row r="2411" spans="1:3">
      <c r="A2411" t="s">
        <v>11343</v>
      </c>
      <c r="B2411">
        <v>50.22</v>
      </c>
      <c r="C2411">
        <v>-0.27000000000000313</v>
      </c>
    </row>
    <row r="2412" spans="1:3">
      <c r="A2412" t="s">
        <v>11347</v>
      </c>
      <c r="B2412">
        <v>50.13</v>
      </c>
      <c r="C2412">
        <v>-8.9999999999996305E-2</v>
      </c>
    </row>
    <row r="2413" spans="1:3">
      <c r="A2413" t="s">
        <v>11351</v>
      </c>
      <c r="B2413">
        <v>80.760000000000005</v>
      </c>
      <c r="C2413">
        <v>30.630000000000003</v>
      </c>
    </row>
    <row r="2414" spans="1:3">
      <c r="A2414" t="s">
        <v>11355</v>
      </c>
      <c r="B2414">
        <v>81.81</v>
      </c>
      <c r="C2414">
        <v>1.0499999999999972</v>
      </c>
    </row>
    <row r="2415" spans="1:3">
      <c r="A2415" t="s">
        <v>11359</v>
      </c>
      <c r="B2415">
        <v>82.86</v>
      </c>
      <c r="C2415">
        <v>1.0499999999999972</v>
      </c>
    </row>
    <row r="2416" spans="1:3">
      <c r="A2416" t="s">
        <v>11363</v>
      </c>
      <c r="B2416">
        <v>70.02</v>
      </c>
      <c r="C2416">
        <v>-12.840000000000003</v>
      </c>
    </row>
    <row r="2417" spans="1:3">
      <c r="A2417" t="s">
        <v>11371</v>
      </c>
      <c r="B2417">
        <v>53.25</v>
      </c>
      <c r="C2417">
        <v>-16.769999999999996</v>
      </c>
    </row>
    <row r="2418" spans="1:3">
      <c r="A2418" t="s">
        <v>11375</v>
      </c>
      <c r="B2418">
        <v>52.74</v>
      </c>
      <c r="C2418">
        <v>-0.50999999999999801</v>
      </c>
    </row>
    <row r="2419" spans="1:3">
      <c r="A2419" t="s">
        <v>11379</v>
      </c>
      <c r="B2419">
        <v>52.53</v>
      </c>
      <c r="C2419">
        <v>-0.21000000000000085</v>
      </c>
    </row>
    <row r="2420" spans="1:3">
      <c r="A2420" t="s">
        <v>11383</v>
      </c>
      <c r="B2420">
        <v>52.56</v>
      </c>
      <c r="C2420">
        <v>3.0000000000001137E-2</v>
      </c>
    </row>
    <row r="2421" spans="1:3">
      <c r="A2421" t="s">
        <v>11387</v>
      </c>
      <c r="B2421">
        <v>52.26</v>
      </c>
      <c r="C2421">
        <v>-0.30000000000000426</v>
      </c>
    </row>
    <row r="2422" spans="1:3">
      <c r="A2422" t="s">
        <v>11391</v>
      </c>
      <c r="B2422">
        <v>52.26</v>
      </c>
      <c r="C2422">
        <v>0</v>
      </c>
    </row>
    <row r="2423" spans="1:3">
      <c r="A2423" t="s">
        <v>11395</v>
      </c>
      <c r="B2423">
        <v>51.93</v>
      </c>
      <c r="C2423">
        <v>-0.32999999999999829</v>
      </c>
    </row>
    <row r="2424" spans="1:3">
      <c r="A2424" t="s">
        <v>11399</v>
      </c>
      <c r="B2424">
        <v>51.96</v>
      </c>
      <c r="C2424">
        <v>3.0000000000001137E-2</v>
      </c>
    </row>
    <row r="2425" spans="1:3">
      <c r="A2425" t="s">
        <v>11403</v>
      </c>
      <c r="B2425">
        <v>51.75</v>
      </c>
      <c r="C2425">
        <v>-0.21000000000000085</v>
      </c>
    </row>
    <row r="2426" spans="1:3">
      <c r="A2426" t="s">
        <v>11407</v>
      </c>
      <c r="B2426">
        <v>51.63</v>
      </c>
      <c r="C2426">
        <v>-0.11999999999999744</v>
      </c>
    </row>
    <row r="2427" spans="1:3">
      <c r="A2427" t="s">
        <v>11411</v>
      </c>
      <c r="B2427">
        <v>51.66</v>
      </c>
      <c r="C2427">
        <v>2.9999999999994031E-2</v>
      </c>
    </row>
    <row r="2428" spans="1:3">
      <c r="A2428" t="s">
        <v>11415</v>
      </c>
      <c r="B2428">
        <v>51.63</v>
      </c>
      <c r="C2428">
        <v>-2.9999999999994031E-2</v>
      </c>
    </row>
    <row r="2429" spans="1:3">
      <c r="A2429" t="s">
        <v>11419</v>
      </c>
      <c r="B2429">
        <v>51.42</v>
      </c>
      <c r="C2429">
        <v>-0.21000000000000085</v>
      </c>
    </row>
    <row r="2430" spans="1:3">
      <c r="A2430" t="s">
        <v>11423</v>
      </c>
      <c r="B2430">
        <v>51.27</v>
      </c>
      <c r="C2430">
        <v>-0.14999999999999858</v>
      </c>
    </row>
    <row r="2431" spans="1:3">
      <c r="A2431" t="s">
        <v>11427</v>
      </c>
      <c r="B2431">
        <v>51.24</v>
      </c>
      <c r="C2431">
        <v>-3.0000000000001137E-2</v>
      </c>
    </row>
    <row r="2432" spans="1:3">
      <c r="A2432" t="s">
        <v>11431</v>
      </c>
      <c r="B2432">
        <v>51.21</v>
      </c>
      <c r="C2432">
        <v>-3.0000000000001137E-2</v>
      </c>
    </row>
    <row r="2433" spans="1:3">
      <c r="A2433" t="s">
        <v>11435</v>
      </c>
      <c r="B2433">
        <v>51.09</v>
      </c>
      <c r="C2433">
        <v>-0.11999999999999744</v>
      </c>
    </row>
    <row r="2434" spans="1:3">
      <c r="A2434" t="s">
        <v>11439</v>
      </c>
      <c r="B2434">
        <v>50.82</v>
      </c>
      <c r="C2434">
        <v>-0.27000000000000313</v>
      </c>
    </row>
    <row r="2435" spans="1:3">
      <c r="A2435" t="s">
        <v>11443</v>
      </c>
      <c r="B2435">
        <v>50.76</v>
      </c>
      <c r="C2435">
        <v>-6.0000000000002274E-2</v>
      </c>
    </row>
    <row r="2436" spans="1:3">
      <c r="A2436" t="s">
        <v>11447</v>
      </c>
      <c r="B2436">
        <v>50.7</v>
      </c>
      <c r="C2436">
        <v>-5.9999999999995168E-2</v>
      </c>
    </row>
    <row r="2437" spans="1:3">
      <c r="A2437" t="s">
        <v>11451</v>
      </c>
      <c r="B2437">
        <v>50.55</v>
      </c>
      <c r="C2437">
        <v>-0.15000000000000568</v>
      </c>
    </row>
    <row r="2438" spans="1:3">
      <c r="A2438" t="s">
        <v>11455</v>
      </c>
      <c r="B2438">
        <v>50.58</v>
      </c>
      <c r="C2438">
        <v>3.0000000000001137E-2</v>
      </c>
    </row>
    <row r="2439" spans="1:3">
      <c r="A2439" t="s">
        <v>11459</v>
      </c>
      <c r="B2439">
        <v>50.49</v>
      </c>
      <c r="C2439">
        <v>-8.9999999999996305E-2</v>
      </c>
    </row>
    <row r="2440" spans="1:3">
      <c r="A2440" t="s">
        <v>11463</v>
      </c>
      <c r="B2440">
        <v>50.37</v>
      </c>
      <c r="C2440">
        <v>-0.12000000000000455</v>
      </c>
    </row>
    <row r="2441" spans="1:3">
      <c r="A2441" t="s">
        <v>11467</v>
      </c>
      <c r="B2441">
        <v>50.34</v>
      </c>
      <c r="C2441">
        <v>-2.9999999999994031E-2</v>
      </c>
    </row>
    <row r="2442" spans="1:3">
      <c r="A2442" t="s">
        <v>11471</v>
      </c>
      <c r="B2442">
        <v>50.16</v>
      </c>
      <c r="C2442">
        <v>-0.18000000000000682</v>
      </c>
    </row>
    <row r="2443" spans="1:3">
      <c r="A2443" t="s">
        <v>11475</v>
      </c>
      <c r="B2443">
        <v>50.1</v>
      </c>
      <c r="C2443">
        <v>-5.9999999999995168E-2</v>
      </c>
    </row>
    <row r="2444" spans="1:3">
      <c r="A2444" t="s">
        <v>11479</v>
      </c>
      <c r="B2444">
        <v>80.760000000000005</v>
      </c>
      <c r="C2444">
        <v>30.660000000000004</v>
      </c>
    </row>
    <row r="2445" spans="1:3">
      <c r="A2445" t="s">
        <v>11484</v>
      </c>
      <c r="B2445">
        <v>81.69</v>
      </c>
      <c r="C2445">
        <v>0.92999999999999261</v>
      </c>
    </row>
    <row r="2446" spans="1:3">
      <c r="A2446" t="s">
        <v>11488</v>
      </c>
      <c r="B2446">
        <v>82.71</v>
      </c>
      <c r="C2446">
        <v>1.019999999999996</v>
      </c>
    </row>
    <row r="2447" spans="1:3">
      <c r="A2447" t="s">
        <v>11492</v>
      </c>
      <c r="B2447">
        <v>68.489999999999995</v>
      </c>
      <c r="C2447">
        <v>-14.219999999999999</v>
      </c>
    </row>
    <row r="2448" spans="1:3">
      <c r="A2448" t="s">
        <v>11499</v>
      </c>
      <c r="B2448">
        <v>52.98</v>
      </c>
      <c r="C2448">
        <v>-15.509999999999998</v>
      </c>
    </row>
    <row r="2449" spans="1:3">
      <c r="A2449" t="s">
        <v>11503</v>
      </c>
      <c r="B2449">
        <v>52.8</v>
      </c>
      <c r="C2449">
        <v>-0.17999999999999972</v>
      </c>
    </row>
    <row r="2450" spans="1:3">
      <c r="A2450" t="s">
        <v>11507</v>
      </c>
      <c r="B2450">
        <v>52.74</v>
      </c>
      <c r="C2450">
        <v>-5.9999999999995168E-2</v>
      </c>
    </row>
    <row r="2451" spans="1:3">
      <c r="A2451" t="s">
        <v>11511</v>
      </c>
      <c r="B2451">
        <v>52.47</v>
      </c>
      <c r="C2451">
        <v>-0.27000000000000313</v>
      </c>
    </row>
    <row r="2452" spans="1:3">
      <c r="A2452" t="s">
        <v>11515</v>
      </c>
      <c r="B2452">
        <v>52.32</v>
      </c>
      <c r="C2452">
        <v>-0.14999999999999858</v>
      </c>
    </row>
    <row r="2453" spans="1:3">
      <c r="A2453" t="s">
        <v>11519</v>
      </c>
      <c r="B2453">
        <v>52.23</v>
      </c>
      <c r="C2453">
        <v>-9.0000000000003411E-2</v>
      </c>
    </row>
    <row r="2454" spans="1:3">
      <c r="A2454" t="s">
        <v>11523</v>
      </c>
      <c r="B2454">
        <v>52.14</v>
      </c>
      <c r="C2454">
        <v>-8.9999999999996305E-2</v>
      </c>
    </row>
    <row r="2455" spans="1:3">
      <c r="A2455" t="s">
        <v>11527</v>
      </c>
      <c r="B2455">
        <v>51.96</v>
      </c>
      <c r="C2455">
        <v>-0.17999999999999972</v>
      </c>
    </row>
    <row r="2456" spans="1:3">
      <c r="A2456" t="s">
        <v>11531</v>
      </c>
      <c r="B2456">
        <v>51.99</v>
      </c>
      <c r="C2456">
        <v>3.0000000000001137E-2</v>
      </c>
    </row>
    <row r="2457" spans="1:3">
      <c r="A2457" t="s">
        <v>11535</v>
      </c>
      <c r="B2457">
        <v>51.69</v>
      </c>
      <c r="C2457">
        <v>-0.30000000000000426</v>
      </c>
    </row>
    <row r="2458" spans="1:3">
      <c r="A2458" t="s">
        <v>11539</v>
      </c>
      <c r="B2458">
        <v>51.72</v>
      </c>
      <c r="C2458">
        <v>3.0000000000001137E-2</v>
      </c>
    </row>
    <row r="2459" spans="1:3">
      <c r="A2459" t="s">
        <v>11543</v>
      </c>
      <c r="B2459">
        <v>51.66</v>
      </c>
      <c r="C2459">
        <v>-6.0000000000002274E-2</v>
      </c>
    </row>
    <row r="2460" spans="1:3">
      <c r="A2460" t="s">
        <v>11547</v>
      </c>
      <c r="B2460">
        <v>51.42</v>
      </c>
      <c r="C2460">
        <v>-0.23999999999999488</v>
      </c>
    </row>
    <row r="2461" spans="1:3">
      <c r="A2461" t="s">
        <v>11551</v>
      </c>
      <c r="B2461">
        <v>51.42</v>
      </c>
      <c r="C2461">
        <v>0</v>
      </c>
    </row>
    <row r="2462" spans="1:3">
      <c r="A2462" t="s">
        <v>11555</v>
      </c>
      <c r="B2462">
        <v>51.24</v>
      </c>
      <c r="C2462">
        <v>-0.17999999999999972</v>
      </c>
    </row>
    <row r="2463" spans="1:3">
      <c r="A2463" t="s">
        <v>11559</v>
      </c>
      <c r="B2463">
        <v>51.21</v>
      </c>
      <c r="C2463">
        <v>-3.0000000000001137E-2</v>
      </c>
    </row>
    <row r="2464" spans="1:3">
      <c r="A2464" t="s">
        <v>11563</v>
      </c>
      <c r="B2464">
        <v>51</v>
      </c>
      <c r="C2464">
        <v>-0.21000000000000085</v>
      </c>
    </row>
    <row r="2465" spans="1:3">
      <c r="A2465" t="s">
        <v>11567</v>
      </c>
      <c r="B2465">
        <v>50.91</v>
      </c>
      <c r="C2465">
        <v>-9.0000000000003411E-2</v>
      </c>
    </row>
    <row r="2466" spans="1:3">
      <c r="A2466" t="s">
        <v>11571</v>
      </c>
      <c r="B2466">
        <v>50.7</v>
      </c>
      <c r="C2466">
        <v>-0.20999999999999375</v>
      </c>
    </row>
    <row r="2467" spans="1:3">
      <c r="A2467" t="s">
        <v>11575</v>
      </c>
      <c r="B2467">
        <v>50.64</v>
      </c>
      <c r="C2467">
        <v>-6.0000000000002274E-2</v>
      </c>
    </row>
    <row r="2468" spans="1:3">
      <c r="A2468" t="s">
        <v>11579</v>
      </c>
      <c r="B2468">
        <v>50.46</v>
      </c>
      <c r="C2468">
        <v>-0.17999999999999972</v>
      </c>
    </row>
    <row r="2469" spans="1:3">
      <c r="A2469" t="s">
        <v>11583</v>
      </c>
      <c r="B2469">
        <v>50.43</v>
      </c>
      <c r="C2469">
        <v>-3.0000000000001137E-2</v>
      </c>
    </row>
    <row r="2470" spans="1:3">
      <c r="A2470" t="s">
        <v>11587</v>
      </c>
      <c r="B2470">
        <v>50.37</v>
      </c>
      <c r="C2470">
        <v>-6.0000000000002274E-2</v>
      </c>
    </row>
    <row r="2471" spans="1:3">
      <c r="A2471" t="s">
        <v>11591</v>
      </c>
      <c r="B2471">
        <v>50.16</v>
      </c>
      <c r="C2471">
        <v>-0.21000000000000085</v>
      </c>
    </row>
    <row r="2472" spans="1:3">
      <c r="A2472" t="s">
        <v>11595</v>
      </c>
      <c r="B2472">
        <v>58.05</v>
      </c>
      <c r="C2472">
        <v>7.8900000000000006</v>
      </c>
    </row>
    <row r="2473" spans="1:3">
      <c r="A2473" t="s">
        <v>11601</v>
      </c>
      <c r="B2473">
        <v>81.72</v>
      </c>
      <c r="C2473">
        <v>23.67</v>
      </c>
    </row>
    <row r="2474" spans="1:3">
      <c r="A2474" t="s">
        <v>11606</v>
      </c>
      <c r="B2474">
        <v>82.41</v>
      </c>
      <c r="C2474">
        <v>0.68999999999999773</v>
      </c>
    </row>
    <row r="2475" spans="1:3">
      <c r="A2475" t="s">
        <v>11610</v>
      </c>
      <c r="B2475">
        <v>83.28</v>
      </c>
      <c r="C2475">
        <v>0.87000000000000455</v>
      </c>
    </row>
    <row r="2476" spans="1:3">
      <c r="A2476" t="s">
        <v>11614</v>
      </c>
      <c r="B2476">
        <v>67.17</v>
      </c>
      <c r="C2476">
        <v>-16.11</v>
      </c>
    </row>
    <row r="2477" spans="1:3">
      <c r="A2477" t="s">
        <v>11622</v>
      </c>
      <c r="B2477">
        <v>52.86</v>
      </c>
      <c r="C2477">
        <v>-14.310000000000002</v>
      </c>
    </row>
    <row r="2478" spans="1:3">
      <c r="A2478" t="s">
        <v>11626</v>
      </c>
      <c r="B2478">
        <v>52.59</v>
      </c>
      <c r="C2478">
        <v>-0.26999999999999602</v>
      </c>
    </row>
    <row r="2479" spans="1:3">
      <c r="A2479" t="s">
        <v>11630</v>
      </c>
      <c r="B2479">
        <v>52.65</v>
      </c>
      <c r="C2479">
        <v>5.9999999999995168E-2</v>
      </c>
    </row>
    <row r="2480" spans="1:3">
      <c r="A2480" t="s">
        <v>11634</v>
      </c>
      <c r="B2480">
        <v>52.41</v>
      </c>
      <c r="C2480">
        <v>-0.24000000000000199</v>
      </c>
    </row>
    <row r="2481" spans="1:3">
      <c r="A2481" t="s">
        <v>11638</v>
      </c>
      <c r="B2481">
        <v>52.32</v>
      </c>
      <c r="C2481">
        <v>-8.9999999999996305E-2</v>
      </c>
    </row>
    <row r="2482" spans="1:3">
      <c r="A2482" t="s">
        <v>11642</v>
      </c>
      <c r="B2482">
        <v>52.14</v>
      </c>
      <c r="C2482">
        <v>-0.17999999999999972</v>
      </c>
    </row>
    <row r="2483" spans="1:3">
      <c r="A2483" t="s">
        <v>11646</v>
      </c>
      <c r="B2483">
        <v>51.99</v>
      </c>
      <c r="C2483">
        <v>-0.14999999999999858</v>
      </c>
    </row>
    <row r="2484" spans="1:3">
      <c r="A2484" t="s">
        <v>11650</v>
      </c>
      <c r="B2484">
        <v>51.93</v>
      </c>
      <c r="C2484">
        <v>-6.0000000000002274E-2</v>
      </c>
    </row>
    <row r="2485" spans="1:3">
      <c r="A2485" t="s">
        <v>11654</v>
      </c>
      <c r="B2485">
        <v>51.81</v>
      </c>
      <c r="C2485">
        <v>-0.11999999999999744</v>
      </c>
    </row>
    <row r="2486" spans="1:3">
      <c r="A2486" t="s">
        <v>11658</v>
      </c>
      <c r="B2486">
        <v>51.69</v>
      </c>
      <c r="C2486">
        <v>-0.12000000000000455</v>
      </c>
    </row>
    <row r="2487" spans="1:3">
      <c r="A2487" t="s">
        <v>11662</v>
      </c>
      <c r="B2487">
        <v>51.57</v>
      </c>
      <c r="C2487">
        <v>-0.11999999999999744</v>
      </c>
    </row>
    <row r="2488" spans="1:3">
      <c r="A2488" t="s">
        <v>11666</v>
      </c>
      <c r="B2488">
        <v>51.51</v>
      </c>
      <c r="C2488">
        <v>-6.0000000000002274E-2</v>
      </c>
    </row>
    <row r="2489" spans="1:3">
      <c r="A2489" t="s">
        <v>11670</v>
      </c>
      <c r="B2489">
        <v>51.45</v>
      </c>
      <c r="C2489">
        <v>-5.9999999999995168E-2</v>
      </c>
    </row>
    <row r="2490" spans="1:3">
      <c r="A2490" t="s">
        <v>11674</v>
      </c>
      <c r="B2490">
        <v>51.36</v>
      </c>
      <c r="C2490">
        <v>-9.0000000000003411E-2</v>
      </c>
    </row>
    <row r="2491" spans="1:3">
      <c r="A2491" t="s">
        <v>11678</v>
      </c>
      <c r="B2491">
        <v>51.24</v>
      </c>
      <c r="C2491">
        <v>-0.11999999999999744</v>
      </c>
    </row>
    <row r="2492" spans="1:3">
      <c r="A2492" t="s">
        <v>11682</v>
      </c>
      <c r="B2492">
        <v>51.15</v>
      </c>
      <c r="C2492">
        <v>-9.0000000000003411E-2</v>
      </c>
    </row>
    <row r="2493" spans="1:3">
      <c r="A2493" t="s">
        <v>11686</v>
      </c>
      <c r="B2493">
        <v>51</v>
      </c>
      <c r="C2493">
        <v>-0.14999999999999858</v>
      </c>
    </row>
    <row r="2494" spans="1:3">
      <c r="A2494" t="s">
        <v>11690</v>
      </c>
      <c r="B2494">
        <v>51</v>
      </c>
      <c r="C2494">
        <v>0</v>
      </c>
    </row>
    <row r="2495" spans="1:3">
      <c r="A2495" t="s">
        <v>11694</v>
      </c>
      <c r="B2495">
        <v>51.03</v>
      </c>
      <c r="C2495">
        <v>3.0000000000001137E-2</v>
      </c>
    </row>
    <row r="2496" spans="1:3">
      <c r="A2496" t="s">
        <v>11698</v>
      </c>
      <c r="B2496">
        <v>50.7</v>
      </c>
      <c r="C2496">
        <v>-0.32999999999999829</v>
      </c>
    </row>
    <row r="2497" spans="1:3">
      <c r="A2497" t="s">
        <v>11702</v>
      </c>
      <c r="B2497">
        <v>50.61</v>
      </c>
      <c r="C2497">
        <v>-9.0000000000003411E-2</v>
      </c>
    </row>
    <row r="2498" spans="1:3">
      <c r="A2498" t="s">
        <v>11706</v>
      </c>
      <c r="B2498">
        <v>50.43</v>
      </c>
      <c r="C2498">
        <v>-0.17999999999999972</v>
      </c>
    </row>
    <row r="2499" spans="1:3">
      <c r="A2499" t="s">
        <v>11710</v>
      </c>
      <c r="B2499">
        <v>50.52</v>
      </c>
      <c r="C2499">
        <v>9.0000000000003411E-2</v>
      </c>
    </row>
    <row r="2500" spans="1:3">
      <c r="A2500" t="s">
        <v>11714</v>
      </c>
      <c r="B2500">
        <v>50.28</v>
      </c>
      <c r="C2500">
        <v>-0.24000000000000199</v>
      </c>
    </row>
    <row r="2501" spans="1:3">
      <c r="A2501" t="s">
        <v>11718</v>
      </c>
      <c r="B2501">
        <v>50.13</v>
      </c>
      <c r="C2501">
        <v>-0.14999999999999858</v>
      </c>
    </row>
    <row r="2502" spans="1:3">
      <c r="A2502" t="s">
        <v>11722</v>
      </c>
      <c r="B2502">
        <v>70.739999999999995</v>
      </c>
      <c r="C2502">
        <v>20.609999999999992</v>
      </c>
    </row>
    <row r="2503" spans="1:3">
      <c r="A2503" t="s">
        <v>11729</v>
      </c>
      <c r="B2503">
        <v>82.17</v>
      </c>
      <c r="C2503">
        <v>11.430000000000007</v>
      </c>
    </row>
    <row r="2504" spans="1:3">
      <c r="A2504" t="s">
        <v>11733</v>
      </c>
      <c r="B2504">
        <v>83.1</v>
      </c>
      <c r="C2504">
        <v>0.92999999999999261</v>
      </c>
    </row>
    <row r="2505" spans="1:3">
      <c r="A2505" t="s">
        <v>11737</v>
      </c>
      <c r="B2505">
        <v>81.96</v>
      </c>
      <c r="C2505">
        <v>-1.1400000000000006</v>
      </c>
    </row>
    <row r="2506" spans="1:3">
      <c r="A2506" t="s">
        <v>11741</v>
      </c>
      <c r="B2506">
        <v>52.8</v>
      </c>
      <c r="C2506">
        <v>-29.159999999999997</v>
      </c>
    </row>
    <row r="2507" spans="1:3">
      <c r="A2507" t="s">
        <v>11745</v>
      </c>
      <c r="B2507">
        <v>52.65</v>
      </c>
      <c r="C2507">
        <v>-0.14999999999999858</v>
      </c>
    </row>
    <row r="2508" spans="1:3">
      <c r="A2508" t="s">
        <v>11749</v>
      </c>
      <c r="B2508">
        <v>52.53</v>
      </c>
      <c r="C2508">
        <v>-0.11999999999999744</v>
      </c>
    </row>
    <row r="2509" spans="1:3">
      <c r="A2509" t="s">
        <v>11753</v>
      </c>
      <c r="B2509">
        <v>52.2</v>
      </c>
      <c r="C2509">
        <v>-0.32999999999999829</v>
      </c>
    </row>
    <row r="2510" spans="1:3">
      <c r="A2510" t="s">
        <v>11757</v>
      </c>
      <c r="B2510">
        <v>52.08</v>
      </c>
      <c r="C2510">
        <v>-0.12000000000000455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AD7C7-A176-487C-B3D1-F89282BC3F5D}">
  <sheetPr codeName="Sheet6"/>
  <dimension ref="A1:F31"/>
  <sheetViews>
    <sheetView workbookViewId="0"/>
  </sheetViews>
  <sheetFormatPr defaultRowHeight="17"/>
  <sheetData>
    <row r="1" spans="1:6">
      <c r="A1" s="242" t="s">
        <v>0</v>
      </c>
      <c r="B1" s="242"/>
      <c r="C1" s="242"/>
      <c r="D1" s="242"/>
      <c r="E1" s="242"/>
      <c r="F1" s="242"/>
    </row>
    <row r="2" spans="1:6">
      <c r="B2" t="s">
        <v>11772</v>
      </c>
      <c r="C2" t="s">
        <v>11773</v>
      </c>
      <c r="D2" t="s">
        <v>11774</v>
      </c>
      <c r="E2" t="s">
        <v>11775</v>
      </c>
      <c r="F2" t="s">
        <v>11777</v>
      </c>
    </row>
    <row r="3" spans="1:6">
      <c r="A3" t="s">
        <v>0</v>
      </c>
      <c r="B3">
        <v>3567.12</v>
      </c>
      <c r="C3">
        <v>0</v>
      </c>
      <c r="D3">
        <v>24727.38</v>
      </c>
      <c r="E3">
        <v>2571.2699999999991</v>
      </c>
      <c r="F3">
        <v>30865.77</v>
      </c>
    </row>
    <row r="4" spans="1:6">
      <c r="A4" t="s">
        <v>11776</v>
      </c>
      <c r="B4">
        <v>11.556880000077756</v>
      </c>
      <c r="C4">
        <v>0</v>
      </c>
      <c r="D4">
        <v>80.112629621746038</v>
      </c>
      <c r="E4">
        <v>8.3304903781762096</v>
      </c>
      <c r="F4">
        <v>100</v>
      </c>
    </row>
    <row r="26" spans="1:2">
      <c r="A26" s="243" t="s">
        <v>1</v>
      </c>
      <c r="B26" s="243" t="s">
        <v>11778</v>
      </c>
    </row>
    <row r="27" spans="1:2">
      <c r="A27" s="243">
        <v>53.773118466898971</v>
      </c>
      <c r="B27" s="243">
        <v>50.04</v>
      </c>
    </row>
    <row r="28" spans="1:2">
      <c r="A28" s="243" t="s">
        <v>2</v>
      </c>
      <c r="B28" s="243" t="s">
        <v>11779</v>
      </c>
    </row>
    <row r="29" spans="1:2">
      <c r="A29" s="243">
        <v>3567.12</v>
      </c>
      <c r="B29" s="243">
        <v>11.556880000077756</v>
      </c>
    </row>
    <row r="30" spans="1:2">
      <c r="A30" s="243" t="s">
        <v>3</v>
      </c>
      <c r="B30" s="243" t="s">
        <v>11780</v>
      </c>
    </row>
    <row r="31" spans="1:2">
      <c r="A31" s="243">
        <v>27298.65</v>
      </c>
      <c r="B31" s="243">
        <v>88.443119999922246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94EA0-86F9-4BAC-95C7-7C47C032488B}">
  <sheetPr codeName="Sheet15">
    <pageSetUpPr fitToPage="1"/>
  </sheetPr>
  <dimension ref="A2:Q32"/>
  <sheetViews>
    <sheetView tabSelected="1" workbookViewId="0">
      <selection activeCell="G41" sqref="G41"/>
    </sheetView>
  </sheetViews>
  <sheetFormatPr defaultRowHeight="17"/>
  <cols>
    <col min="1" max="1" width="10" style="1" customWidth="1"/>
    <col min="2" max="2" width="8.75" style="1" customWidth="1"/>
    <col min="3" max="3" width="6.25" style="1" customWidth="1"/>
    <col min="4" max="4" width="11.6640625" style="1" customWidth="1"/>
    <col min="5" max="5" width="8.08203125" style="1" customWidth="1"/>
    <col min="6" max="6" width="13.08203125" style="1" customWidth="1"/>
    <col min="7" max="7" width="15.25" style="1" customWidth="1"/>
    <col min="8" max="8" width="9.25" style="1" customWidth="1"/>
    <col min="9" max="9" width="9.9140625" style="1" customWidth="1"/>
    <col min="10" max="10" width="8.1640625" style="1" customWidth="1"/>
    <col min="11" max="11" width="10.08203125" style="1" customWidth="1"/>
    <col min="12" max="12" width="12.33203125" style="1" customWidth="1"/>
    <col min="13" max="13" width="13.58203125" style="1" customWidth="1"/>
    <col min="14" max="14" width="8.6640625" style="1"/>
    <col min="15" max="15" width="12.1640625" style="1" customWidth="1"/>
    <col min="16" max="16" width="11.9140625" style="1" customWidth="1"/>
    <col min="17" max="255" width="8.6640625" style="1"/>
    <col min="256" max="256" width="4.1640625" style="1" customWidth="1"/>
    <col min="257" max="257" width="13.9140625" style="1" customWidth="1"/>
    <col min="258" max="261" width="8.9140625" style="1" bestFit="1" customWidth="1"/>
    <col min="262" max="262" width="9.9140625" style="1" bestFit="1" customWidth="1"/>
    <col min="263" max="265" width="8.9140625" style="1" bestFit="1" customWidth="1"/>
    <col min="266" max="266" width="9.9140625" style="1" bestFit="1" customWidth="1"/>
    <col min="267" max="267" width="8.9140625" style="1" bestFit="1" customWidth="1"/>
    <col min="268" max="268" width="12.08203125" style="1" bestFit="1" customWidth="1"/>
    <col min="269" max="269" width="12.08203125" style="1" customWidth="1"/>
    <col min="270" max="270" width="8.6640625" style="1"/>
    <col min="271" max="271" width="12.1640625" style="1" customWidth="1"/>
    <col min="272" max="272" width="11.9140625" style="1" customWidth="1"/>
    <col min="273" max="511" width="8.6640625" style="1"/>
    <col min="512" max="512" width="4.1640625" style="1" customWidth="1"/>
    <col min="513" max="513" width="13.9140625" style="1" customWidth="1"/>
    <col min="514" max="517" width="8.9140625" style="1" bestFit="1" customWidth="1"/>
    <col min="518" max="518" width="9.9140625" style="1" bestFit="1" customWidth="1"/>
    <col min="519" max="521" width="8.9140625" style="1" bestFit="1" customWidth="1"/>
    <col min="522" max="522" width="9.9140625" style="1" bestFit="1" customWidth="1"/>
    <col min="523" max="523" width="8.9140625" style="1" bestFit="1" customWidth="1"/>
    <col min="524" max="524" width="12.08203125" style="1" bestFit="1" customWidth="1"/>
    <col min="525" max="525" width="12.08203125" style="1" customWidth="1"/>
    <col min="526" max="526" width="8.6640625" style="1"/>
    <col min="527" max="527" width="12.1640625" style="1" customWidth="1"/>
    <col min="528" max="528" width="11.9140625" style="1" customWidth="1"/>
    <col min="529" max="767" width="8.6640625" style="1"/>
    <col min="768" max="768" width="4.1640625" style="1" customWidth="1"/>
    <col min="769" max="769" width="13.9140625" style="1" customWidth="1"/>
    <col min="770" max="773" width="8.9140625" style="1" bestFit="1" customWidth="1"/>
    <col min="774" max="774" width="9.9140625" style="1" bestFit="1" customWidth="1"/>
    <col min="775" max="777" width="8.9140625" style="1" bestFit="1" customWidth="1"/>
    <col min="778" max="778" width="9.9140625" style="1" bestFit="1" customWidth="1"/>
    <col min="779" max="779" width="8.9140625" style="1" bestFit="1" customWidth="1"/>
    <col min="780" max="780" width="12.08203125" style="1" bestFit="1" customWidth="1"/>
    <col min="781" max="781" width="12.08203125" style="1" customWidth="1"/>
    <col min="782" max="782" width="8.6640625" style="1"/>
    <col min="783" max="783" width="12.1640625" style="1" customWidth="1"/>
    <col min="784" max="784" width="11.9140625" style="1" customWidth="1"/>
    <col min="785" max="1023" width="8.6640625" style="1"/>
    <col min="1024" max="1024" width="4.1640625" style="1" customWidth="1"/>
    <col min="1025" max="1025" width="13.9140625" style="1" customWidth="1"/>
    <col min="1026" max="1029" width="8.9140625" style="1" bestFit="1" customWidth="1"/>
    <col min="1030" max="1030" width="9.9140625" style="1" bestFit="1" customWidth="1"/>
    <col min="1031" max="1033" width="8.9140625" style="1" bestFit="1" customWidth="1"/>
    <col min="1034" max="1034" width="9.9140625" style="1" bestFit="1" customWidth="1"/>
    <col min="1035" max="1035" width="8.9140625" style="1" bestFit="1" customWidth="1"/>
    <col min="1036" max="1036" width="12.08203125" style="1" bestFit="1" customWidth="1"/>
    <col min="1037" max="1037" width="12.08203125" style="1" customWidth="1"/>
    <col min="1038" max="1038" width="8.6640625" style="1"/>
    <col min="1039" max="1039" width="12.1640625" style="1" customWidth="1"/>
    <col min="1040" max="1040" width="11.9140625" style="1" customWidth="1"/>
    <col min="1041" max="1279" width="8.6640625" style="1"/>
    <col min="1280" max="1280" width="4.1640625" style="1" customWidth="1"/>
    <col min="1281" max="1281" width="13.9140625" style="1" customWidth="1"/>
    <col min="1282" max="1285" width="8.9140625" style="1" bestFit="1" customWidth="1"/>
    <col min="1286" max="1286" width="9.9140625" style="1" bestFit="1" customWidth="1"/>
    <col min="1287" max="1289" width="8.9140625" style="1" bestFit="1" customWidth="1"/>
    <col min="1290" max="1290" width="9.9140625" style="1" bestFit="1" customWidth="1"/>
    <col min="1291" max="1291" width="8.9140625" style="1" bestFit="1" customWidth="1"/>
    <col min="1292" max="1292" width="12.08203125" style="1" bestFit="1" customWidth="1"/>
    <col min="1293" max="1293" width="12.08203125" style="1" customWidth="1"/>
    <col min="1294" max="1294" width="8.6640625" style="1"/>
    <col min="1295" max="1295" width="12.1640625" style="1" customWidth="1"/>
    <col min="1296" max="1296" width="11.9140625" style="1" customWidth="1"/>
    <col min="1297" max="1535" width="8.6640625" style="1"/>
    <col min="1536" max="1536" width="4.1640625" style="1" customWidth="1"/>
    <col min="1537" max="1537" width="13.9140625" style="1" customWidth="1"/>
    <col min="1538" max="1541" width="8.9140625" style="1" bestFit="1" customWidth="1"/>
    <col min="1542" max="1542" width="9.9140625" style="1" bestFit="1" customWidth="1"/>
    <col min="1543" max="1545" width="8.9140625" style="1" bestFit="1" customWidth="1"/>
    <col min="1546" max="1546" width="9.9140625" style="1" bestFit="1" customWidth="1"/>
    <col min="1547" max="1547" width="8.9140625" style="1" bestFit="1" customWidth="1"/>
    <col min="1548" max="1548" width="12.08203125" style="1" bestFit="1" customWidth="1"/>
    <col min="1549" max="1549" width="12.08203125" style="1" customWidth="1"/>
    <col min="1550" max="1550" width="8.6640625" style="1"/>
    <col min="1551" max="1551" width="12.1640625" style="1" customWidth="1"/>
    <col min="1552" max="1552" width="11.9140625" style="1" customWidth="1"/>
    <col min="1553" max="1791" width="8.6640625" style="1"/>
    <col min="1792" max="1792" width="4.1640625" style="1" customWidth="1"/>
    <col min="1793" max="1793" width="13.9140625" style="1" customWidth="1"/>
    <col min="1794" max="1797" width="8.9140625" style="1" bestFit="1" customWidth="1"/>
    <col min="1798" max="1798" width="9.9140625" style="1" bestFit="1" customWidth="1"/>
    <col min="1799" max="1801" width="8.9140625" style="1" bestFit="1" customWidth="1"/>
    <col min="1802" max="1802" width="9.9140625" style="1" bestFit="1" customWidth="1"/>
    <col min="1803" max="1803" width="8.9140625" style="1" bestFit="1" customWidth="1"/>
    <col min="1804" max="1804" width="12.08203125" style="1" bestFit="1" customWidth="1"/>
    <col min="1805" max="1805" width="12.08203125" style="1" customWidth="1"/>
    <col min="1806" max="1806" width="8.6640625" style="1"/>
    <col min="1807" max="1807" width="12.1640625" style="1" customWidth="1"/>
    <col min="1808" max="1808" width="11.9140625" style="1" customWidth="1"/>
    <col min="1809" max="2047" width="8.6640625" style="1"/>
    <col min="2048" max="2048" width="4.1640625" style="1" customWidth="1"/>
    <col min="2049" max="2049" width="13.9140625" style="1" customWidth="1"/>
    <col min="2050" max="2053" width="8.9140625" style="1" bestFit="1" customWidth="1"/>
    <col min="2054" max="2054" width="9.9140625" style="1" bestFit="1" customWidth="1"/>
    <col min="2055" max="2057" width="8.9140625" style="1" bestFit="1" customWidth="1"/>
    <col min="2058" max="2058" width="9.9140625" style="1" bestFit="1" customWidth="1"/>
    <col min="2059" max="2059" width="8.9140625" style="1" bestFit="1" customWidth="1"/>
    <col min="2060" max="2060" width="12.08203125" style="1" bestFit="1" customWidth="1"/>
    <col min="2061" max="2061" width="12.08203125" style="1" customWidth="1"/>
    <col min="2062" max="2062" width="8.6640625" style="1"/>
    <col min="2063" max="2063" width="12.1640625" style="1" customWidth="1"/>
    <col min="2064" max="2064" width="11.9140625" style="1" customWidth="1"/>
    <col min="2065" max="2303" width="8.6640625" style="1"/>
    <col min="2304" max="2304" width="4.1640625" style="1" customWidth="1"/>
    <col min="2305" max="2305" width="13.9140625" style="1" customWidth="1"/>
    <col min="2306" max="2309" width="8.9140625" style="1" bestFit="1" customWidth="1"/>
    <col min="2310" max="2310" width="9.9140625" style="1" bestFit="1" customWidth="1"/>
    <col min="2311" max="2313" width="8.9140625" style="1" bestFit="1" customWidth="1"/>
    <col min="2314" max="2314" width="9.9140625" style="1" bestFit="1" customWidth="1"/>
    <col min="2315" max="2315" width="8.9140625" style="1" bestFit="1" customWidth="1"/>
    <col min="2316" max="2316" width="12.08203125" style="1" bestFit="1" customWidth="1"/>
    <col min="2317" max="2317" width="12.08203125" style="1" customWidth="1"/>
    <col min="2318" max="2318" width="8.6640625" style="1"/>
    <col min="2319" max="2319" width="12.1640625" style="1" customWidth="1"/>
    <col min="2320" max="2320" width="11.9140625" style="1" customWidth="1"/>
    <col min="2321" max="2559" width="8.6640625" style="1"/>
    <col min="2560" max="2560" width="4.1640625" style="1" customWidth="1"/>
    <col min="2561" max="2561" width="13.9140625" style="1" customWidth="1"/>
    <col min="2562" max="2565" width="8.9140625" style="1" bestFit="1" customWidth="1"/>
    <col min="2566" max="2566" width="9.9140625" style="1" bestFit="1" customWidth="1"/>
    <col min="2567" max="2569" width="8.9140625" style="1" bestFit="1" customWidth="1"/>
    <col min="2570" max="2570" width="9.9140625" style="1" bestFit="1" customWidth="1"/>
    <col min="2571" max="2571" width="8.9140625" style="1" bestFit="1" customWidth="1"/>
    <col min="2572" max="2572" width="12.08203125" style="1" bestFit="1" customWidth="1"/>
    <col min="2573" max="2573" width="12.08203125" style="1" customWidth="1"/>
    <col min="2574" max="2574" width="8.6640625" style="1"/>
    <col min="2575" max="2575" width="12.1640625" style="1" customWidth="1"/>
    <col min="2576" max="2576" width="11.9140625" style="1" customWidth="1"/>
    <col min="2577" max="2815" width="8.6640625" style="1"/>
    <col min="2816" max="2816" width="4.1640625" style="1" customWidth="1"/>
    <col min="2817" max="2817" width="13.9140625" style="1" customWidth="1"/>
    <col min="2818" max="2821" width="8.9140625" style="1" bestFit="1" customWidth="1"/>
    <col min="2822" max="2822" width="9.9140625" style="1" bestFit="1" customWidth="1"/>
    <col min="2823" max="2825" width="8.9140625" style="1" bestFit="1" customWidth="1"/>
    <col min="2826" max="2826" width="9.9140625" style="1" bestFit="1" customWidth="1"/>
    <col min="2827" max="2827" width="8.9140625" style="1" bestFit="1" customWidth="1"/>
    <col min="2828" max="2828" width="12.08203125" style="1" bestFit="1" customWidth="1"/>
    <col min="2829" max="2829" width="12.08203125" style="1" customWidth="1"/>
    <col min="2830" max="2830" width="8.6640625" style="1"/>
    <col min="2831" max="2831" width="12.1640625" style="1" customWidth="1"/>
    <col min="2832" max="2832" width="11.9140625" style="1" customWidth="1"/>
    <col min="2833" max="3071" width="8.6640625" style="1"/>
    <col min="3072" max="3072" width="4.1640625" style="1" customWidth="1"/>
    <col min="3073" max="3073" width="13.9140625" style="1" customWidth="1"/>
    <col min="3074" max="3077" width="8.9140625" style="1" bestFit="1" customWidth="1"/>
    <col min="3078" max="3078" width="9.9140625" style="1" bestFit="1" customWidth="1"/>
    <col min="3079" max="3081" width="8.9140625" style="1" bestFit="1" customWidth="1"/>
    <col min="3082" max="3082" width="9.9140625" style="1" bestFit="1" customWidth="1"/>
    <col min="3083" max="3083" width="8.9140625" style="1" bestFit="1" customWidth="1"/>
    <col min="3084" max="3084" width="12.08203125" style="1" bestFit="1" customWidth="1"/>
    <col min="3085" max="3085" width="12.08203125" style="1" customWidth="1"/>
    <col min="3086" max="3086" width="8.6640625" style="1"/>
    <col min="3087" max="3087" width="12.1640625" style="1" customWidth="1"/>
    <col min="3088" max="3088" width="11.9140625" style="1" customWidth="1"/>
    <col min="3089" max="3327" width="8.6640625" style="1"/>
    <col min="3328" max="3328" width="4.1640625" style="1" customWidth="1"/>
    <col min="3329" max="3329" width="13.9140625" style="1" customWidth="1"/>
    <col min="3330" max="3333" width="8.9140625" style="1" bestFit="1" customWidth="1"/>
    <col min="3334" max="3334" width="9.9140625" style="1" bestFit="1" customWidth="1"/>
    <col min="3335" max="3337" width="8.9140625" style="1" bestFit="1" customWidth="1"/>
    <col min="3338" max="3338" width="9.9140625" style="1" bestFit="1" customWidth="1"/>
    <col min="3339" max="3339" width="8.9140625" style="1" bestFit="1" customWidth="1"/>
    <col min="3340" max="3340" width="12.08203125" style="1" bestFit="1" customWidth="1"/>
    <col min="3341" max="3341" width="12.08203125" style="1" customWidth="1"/>
    <col min="3342" max="3342" width="8.6640625" style="1"/>
    <col min="3343" max="3343" width="12.1640625" style="1" customWidth="1"/>
    <col min="3344" max="3344" width="11.9140625" style="1" customWidth="1"/>
    <col min="3345" max="3583" width="8.6640625" style="1"/>
    <col min="3584" max="3584" width="4.1640625" style="1" customWidth="1"/>
    <col min="3585" max="3585" width="13.9140625" style="1" customWidth="1"/>
    <col min="3586" max="3589" width="8.9140625" style="1" bestFit="1" customWidth="1"/>
    <col min="3590" max="3590" width="9.9140625" style="1" bestFit="1" customWidth="1"/>
    <col min="3591" max="3593" width="8.9140625" style="1" bestFit="1" customWidth="1"/>
    <col min="3594" max="3594" width="9.9140625" style="1" bestFit="1" customWidth="1"/>
    <col min="3595" max="3595" width="8.9140625" style="1" bestFit="1" customWidth="1"/>
    <col min="3596" max="3596" width="12.08203125" style="1" bestFit="1" customWidth="1"/>
    <col min="3597" max="3597" width="12.08203125" style="1" customWidth="1"/>
    <col min="3598" max="3598" width="8.6640625" style="1"/>
    <col min="3599" max="3599" width="12.1640625" style="1" customWidth="1"/>
    <col min="3600" max="3600" width="11.9140625" style="1" customWidth="1"/>
    <col min="3601" max="3839" width="8.6640625" style="1"/>
    <col min="3840" max="3840" width="4.1640625" style="1" customWidth="1"/>
    <col min="3841" max="3841" width="13.9140625" style="1" customWidth="1"/>
    <col min="3842" max="3845" width="8.9140625" style="1" bestFit="1" customWidth="1"/>
    <col min="3846" max="3846" width="9.9140625" style="1" bestFit="1" customWidth="1"/>
    <col min="3847" max="3849" width="8.9140625" style="1" bestFit="1" customWidth="1"/>
    <col min="3850" max="3850" width="9.9140625" style="1" bestFit="1" customWidth="1"/>
    <col min="3851" max="3851" width="8.9140625" style="1" bestFit="1" customWidth="1"/>
    <col min="3852" max="3852" width="12.08203125" style="1" bestFit="1" customWidth="1"/>
    <col min="3853" max="3853" width="12.08203125" style="1" customWidth="1"/>
    <col min="3854" max="3854" width="8.6640625" style="1"/>
    <col min="3855" max="3855" width="12.1640625" style="1" customWidth="1"/>
    <col min="3856" max="3856" width="11.9140625" style="1" customWidth="1"/>
    <col min="3857" max="4095" width="8.6640625" style="1"/>
    <col min="4096" max="4096" width="4.1640625" style="1" customWidth="1"/>
    <col min="4097" max="4097" width="13.9140625" style="1" customWidth="1"/>
    <col min="4098" max="4101" width="8.9140625" style="1" bestFit="1" customWidth="1"/>
    <col min="4102" max="4102" width="9.9140625" style="1" bestFit="1" customWidth="1"/>
    <col min="4103" max="4105" width="8.9140625" style="1" bestFit="1" customWidth="1"/>
    <col min="4106" max="4106" width="9.9140625" style="1" bestFit="1" customWidth="1"/>
    <col min="4107" max="4107" width="8.9140625" style="1" bestFit="1" customWidth="1"/>
    <col min="4108" max="4108" width="12.08203125" style="1" bestFit="1" customWidth="1"/>
    <col min="4109" max="4109" width="12.08203125" style="1" customWidth="1"/>
    <col min="4110" max="4110" width="8.6640625" style="1"/>
    <col min="4111" max="4111" width="12.1640625" style="1" customWidth="1"/>
    <col min="4112" max="4112" width="11.9140625" style="1" customWidth="1"/>
    <col min="4113" max="4351" width="8.6640625" style="1"/>
    <col min="4352" max="4352" width="4.1640625" style="1" customWidth="1"/>
    <col min="4353" max="4353" width="13.9140625" style="1" customWidth="1"/>
    <col min="4354" max="4357" width="8.9140625" style="1" bestFit="1" customWidth="1"/>
    <col min="4358" max="4358" width="9.9140625" style="1" bestFit="1" customWidth="1"/>
    <col min="4359" max="4361" width="8.9140625" style="1" bestFit="1" customWidth="1"/>
    <col min="4362" max="4362" width="9.9140625" style="1" bestFit="1" customWidth="1"/>
    <col min="4363" max="4363" width="8.9140625" style="1" bestFit="1" customWidth="1"/>
    <col min="4364" max="4364" width="12.08203125" style="1" bestFit="1" customWidth="1"/>
    <col min="4365" max="4365" width="12.08203125" style="1" customWidth="1"/>
    <col min="4366" max="4366" width="8.6640625" style="1"/>
    <col min="4367" max="4367" width="12.1640625" style="1" customWidth="1"/>
    <col min="4368" max="4368" width="11.9140625" style="1" customWidth="1"/>
    <col min="4369" max="4607" width="8.6640625" style="1"/>
    <col min="4608" max="4608" width="4.1640625" style="1" customWidth="1"/>
    <col min="4609" max="4609" width="13.9140625" style="1" customWidth="1"/>
    <col min="4610" max="4613" width="8.9140625" style="1" bestFit="1" customWidth="1"/>
    <col min="4614" max="4614" width="9.9140625" style="1" bestFit="1" customWidth="1"/>
    <col min="4615" max="4617" width="8.9140625" style="1" bestFit="1" customWidth="1"/>
    <col min="4618" max="4618" width="9.9140625" style="1" bestFit="1" customWidth="1"/>
    <col min="4619" max="4619" width="8.9140625" style="1" bestFit="1" customWidth="1"/>
    <col min="4620" max="4620" width="12.08203125" style="1" bestFit="1" customWidth="1"/>
    <col min="4621" max="4621" width="12.08203125" style="1" customWidth="1"/>
    <col min="4622" max="4622" width="8.6640625" style="1"/>
    <col min="4623" max="4623" width="12.1640625" style="1" customWidth="1"/>
    <col min="4624" max="4624" width="11.9140625" style="1" customWidth="1"/>
    <col min="4625" max="4863" width="8.6640625" style="1"/>
    <col min="4864" max="4864" width="4.1640625" style="1" customWidth="1"/>
    <col min="4865" max="4865" width="13.9140625" style="1" customWidth="1"/>
    <col min="4866" max="4869" width="8.9140625" style="1" bestFit="1" customWidth="1"/>
    <col min="4870" max="4870" width="9.9140625" style="1" bestFit="1" customWidth="1"/>
    <col min="4871" max="4873" width="8.9140625" style="1" bestFit="1" customWidth="1"/>
    <col min="4874" max="4874" width="9.9140625" style="1" bestFit="1" customWidth="1"/>
    <col min="4875" max="4875" width="8.9140625" style="1" bestFit="1" customWidth="1"/>
    <col min="4876" max="4876" width="12.08203125" style="1" bestFit="1" customWidth="1"/>
    <col min="4877" max="4877" width="12.08203125" style="1" customWidth="1"/>
    <col min="4878" max="4878" width="8.6640625" style="1"/>
    <col min="4879" max="4879" width="12.1640625" style="1" customWidth="1"/>
    <col min="4880" max="4880" width="11.9140625" style="1" customWidth="1"/>
    <col min="4881" max="5119" width="8.6640625" style="1"/>
    <col min="5120" max="5120" width="4.1640625" style="1" customWidth="1"/>
    <col min="5121" max="5121" width="13.9140625" style="1" customWidth="1"/>
    <col min="5122" max="5125" width="8.9140625" style="1" bestFit="1" customWidth="1"/>
    <col min="5126" max="5126" width="9.9140625" style="1" bestFit="1" customWidth="1"/>
    <col min="5127" max="5129" width="8.9140625" style="1" bestFit="1" customWidth="1"/>
    <col min="5130" max="5130" width="9.9140625" style="1" bestFit="1" customWidth="1"/>
    <col min="5131" max="5131" width="8.9140625" style="1" bestFit="1" customWidth="1"/>
    <col min="5132" max="5132" width="12.08203125" style="1" bestFit="1" customWidth="1"/>
    <col min="5133" max="5133" width="12.08203125" style="1" customWidth="1"/>
    <col min="5134" max="5134" width="8.6640625" style="1"/>
    <col min="5135" max="5135" width="12.1640625" style="1" customWidth="1"/>
    <col min="5136" max="5136" width="11.9140625" style="1" customWidth="1"/>
    <col min="5137" max="5375" width="8.6640625" style="1"/>
    <col min="5376" max="5376" width="4.1640625" style="1" customWidth="1"/>
    <col min="5377" max="5377" width="13.9140625" style="1" customWidth="1"/>
    <col min="5378" max="5381" width="8.9140625" style="1" bestFit="1" customWidth="1"/>
    <col min="5382" max="5382" width="9.9140625" style="1" bestFit="1" customWidth="1"/>
    <col min="5383" max="5385" width="8.9140625" style="1" bestFit="1" customWidth="1"/>
    <col min="5386" max="5386" width="9.9140625" style="1" bestFit="1" customWidth="1"/>
    <col min="5387" max="5387" width="8.9140625" style="1" bestFit="1" customWidth="1"/>
    <col min="5388" max="5388" width="12.08203125" style="1" bestFit="1" customWidth="1"/>
    <col min="5389" max="5389" width="12.08203125" style="1" customWidth="1"/>
    <col min="5390" max="5390" width="8.6640625" style="1"/>
    <col min="5391" max="5391" width="12.1640625" style="1" customWidth="1"/>
    <col min="5392" max="5392" width="11.9140625" style="1" customWidth="1"/>
    <col min="5393" max="5631" width="8.6640625" style="1"/>
    <col min="5632" max="5632" width="4.1640625" style="1" customWidth="1"/>
    <col min="5633" max="5633" width="13.9140625" style="1" customWidth="1"/>
    <col min="5634" max="5637" width="8.9140625" style="1" bestFit="1" customWidth="1"/>
    <col min="5638" max="5638" width="9.9140625" style="1" bestFit="1" customWidth="1"/>
    <col min="5639" max="5641" width="8.9140625" style="1" bestFit="1" customWidth="1"/>
    <col min="5642" max="5642" width="9.9140625" style="1" bestFit="1" customWidth="1"/>
    <col min="5643" max="5643" width="8.9140625" style="1" bestFit="1" customWidth="1"/>
    <col min="5644" max="5644" width="12.08203125" style="1" bestFit="1" customWidth="1"/>
    <col min="5645" max="5645" width="12.08203125" style="1" customWidth="1"/>
    <col min="5646" max="5646" width="8.6640625" style="1"/>
    <col min="5647" max="5647" width="12.1640625" style="1" customWidth="1"/>
    <col min="5648" max="5648" width="11.9140625" style="1" customWidth="1"/>
    <col min="5649" max="5887" width="8.6640625" style="1"/>
    <col min="5888" max="5888" width="4.1640625" style="1" customWidth="1"/>
    <col min="5889" max="5889" width="13.9140625" style="1" customWidth="1"/>
    <col min="5890" max="5893" width="8.9140625" style="1" bestFit="1" customWidth="1"/>
    <col min="5894" max="5894" width="9.9140625" style="1" bestFit="1" customWidth="1"/>
    <col min="5895" max="5897" width="8.9140625" style="1" bestFit="1" customWidth="1"/>
    <col min="5898" max="5898" width="9.9140625" style="1" bestFit="1" customWidth="1"/>
    <col min="5899" max="5899" width="8.9140625" style="1" bestFit="1" customWidth="1"/>
    <col min="5900" max="5900" width="12.08203125" style="1" bestFit="1" customWidth="1"/>
    <col min="5901" max="5901" width="12.08203125" style="1" customWidth="1"/>
    <col min="5902" max="5902" width="8.6640625" style="1"/>
    <col min="5903" max="5903" width="12.1640625" style="1" customWidth="1"/>
    <col min="5904" max="5904" width="11.9140625" style="1" customWidth="1"/>
    <col min="5905" max="6143" width="8.6640625" style="1"/>
    <col min="6144" max="6144" width="4.1640625" style="1" customWidth="1"/>
    <col min="6145" max="6145" width="13.9140625" style="1" customWidth="1"/>
    <col min="6146" max="6149" width="8.9140625" style="1" bestFit="1" customWidth="1"/>
    <col min="6150" max="6150" width="9.9140625" style="1" bestFit="1" customWidth="1"/>
    <col min="6151" max="6153" width="8.9140625" style="1" bestFit="1" customWidth="1"/>
    <col min="6154" max="6154" width="9.9140625" style="1" bestFit="1" customWidth="1"/>
    <col min="6155" max="6155" width="8.9140625" style="1" bestFit="1" customWidth="1"/>
    <col min="6156" max="6156" width="12.08203125" style="1" bestFit="1" customWidth="1"/>
    <col min="6157" max="6157" width="12.08203125" style="1" customWidth="1"/>
    <col min="6158" max="6158" width="8.6640625" style="1"/>
    <col min="6159" max="6159" width="12.1640625" style="1" customWidth="1"/>
    <col min="6160" max="6160" width="11.9140625" style="1" customWidth="1"/>
    <col min="6161" max="6399" width="8.6640625" style="1"/>
    <col min="6400" max="6400" width="4.1640625" style="1" customWidth="1"/>
    <col min="6401" max="6401" width="13.9140625" style="1" customWidth="1"/>
    <col min="6402" max="6405" width="8.9140625" style="1" bestFit="1" customWidth="1"/>
    <col min="6406" max="6406" width="9.9140625" style="1" bestFit="1" customWidth="1"/>
    <col min="6407" max="6409" width="8.9140625" style="1" bestFit="1" customWidth="1"/>
    <col min="6410" max="6410" width="9.9140625" style="1" bestFit="1" customWidth="1"/>
    <col min="6411" max="6411" width="8.9140625" style="1" bestFit="1" customWidth="1"/>
    <col min="6412" max="6412" width="12.08203125" style="1" bestFit="1" customWidth="1"/>
    <col min="6413" max="6413" width="12.08203125" style="1" customWidth="1"/>
    <col min="6414" max="6414" width="8.6640625" style="1"/>
    <col min="6415" max="6415" width="12.1640625" style="1" customWidth="1"/>
    <col min="6416" max="6416" width="11.9140625" style="1" customWidth="1"/>
    <col min="6417" max="6655" width="8.6640625" style="1"/>
    <col min="6656" max="6656" width="4.1640625" style="1" customWidth="1"/>
    <col min="6657" max="6657" width="13.9140625" style="1" customWidth="1"/>
    <col min="6658" max="6661" width="8.9140625" style="1" bestFit="1" customWidth="1"/>
    <col min="6662" max="6662" width="9.9140625" style="1" bestFit="1" customWidth="1"/>
    <col min="6663" max="6665" width="8.9140625" style="1" bestFit="1" customWidth="1"/>
    <col min="6666" max="6666" width="9.9140625" style="1" bestFit="1" customWidth="1"/>
    <col min="6667" max="6667" width="8.9140625" style="1" bestFit="1" customWidth="1"/>
    <col min="6668" max="6668" width="12.08203125" style="1" bestFit="1" customWidth="1"/>
    <col min="6669" max="6669" width="12.08203125" style="1" customWidth="1"/>
    <col min="6670" max="6670" width="8.6640625" style="1"/>
    <col min="6671" max="6671" width="12.1640625" style="1" customWidth="1"/>
    <col min="6672" max="6672" width="11.9140625" style="1" customWidth="1"/>
    <col min="6673" max="6911" width="8.6640625" style="1"/>
    <col min="6912" max="6912" width="4.1640625" style="1" customWidth="1"/>
    <col min="6913" max="6913" width="13.9140625" style="1" customWidth="1"/>
    <col min="6914" max="6917" width="8.9140625" style="1" bestFit="1" customWidth="1"/>
    <col min="6918" max="6918" width="9.9140625" style="1" bestFit="1" customWidth="1"/>
    <col min="6919" max="6921" width="8.9140625" style="1" bestFit="1" customWidth="1"/>
    <col min="6922" max="6922" width="9.9140625" style="1" bestFit="1" customWidth="1"/>
    <col min="6923" max="6923" width="8.9140625" style="1" bestFit="1" customWidth="1"/>
    <col min="6924" max="6924" width="12.08203125" style="1" bestFit="1" customWidth="1"/>
    <col min="6925" max="6925" width="12.08203125" style="1" customWidth="1"/>
    <col min="6926" max="6926" width="8.6640625" style="1"/>
    <col min="6927" max="6927" width="12.1640625" style="1" customWidth="1"/>
    <col min="6928" max="6928" width="11.9140625" style="1" customWidth="1"/>
    <col min="6929" max="7167" width="8.6640625" style="1"/>
    <col min="7168" max="7168" width="4.1640625" style="1" customWidth="1"/>
    <col min="7169" max="7169" width="13.9140625" style="1" customWidth="1"/>
    <col min="7170" max="7173" width="8.9140625" style="1" bestFit="1" customWidth="1"/>
    <col min="7174" max="7174" width="9.9140625" style="1" bestFit="1" customWidth="1"/>
    <col min="7175" max="7177" width="8.9140625" style="1" bestFit="1" customWidth="1"/>
    <col min="7178" max="7178" width="9.9140625" style="1" bestFit="1" customWidth="1"/>
    <col min="7179" max="7179" width="8.9140625" style="1" bestFit="1" customWidth="1"/>
    <col min="7180" max="7180" width="12.08203125" style="1" bestFit="1" customWidth="1"/>
    <col min="7181" max="7181" width="12.08203125" style="1" customWidth="1"/>
    <col min="7182" max="7182" width="8.6640625" style="1"/>
    <col min="7183" max="7183" width="12.1640625" style="1" customWidth="1"/>
    <col min="7184" max="7184" width="11.9140625" style="1" customWidth="1"/>
    <col min="7185" max="7423" width="8.6640625" style="1"/>
    <col min="7424" max="7424" width="4.1640625" style="1" customWidth="1"/>
    <col min="7425" max="7425" width="13.9140625" style="1" customWidth="1"/>
    <col min="7426" max="7429" width="8.9140625" style="1" bestFit="1" customWidth="1"/>
    <col min="7430" max="7430" width="9.9140625" style="1" bestFit="1" customWidth="1"/>
    <col min="7431" max="7433" width="8.9140625" style="1" bestFit="1" customWidth="1"/>
    <col min="7434" max="7434" width="9.9140625" style="1" bestFit="1" customWidth="1"/>
    <col min="7435" max="7435" width="8.9140625" style="1" bestFit="1" customWidth="1"/>
    <col min="7436" max="7436" width="12.08203125" style="1" bestFit="1" customWidth="1"/>
    <col min="7437" max="7437" width="12.08203125" style="1" customWidth="1"/>
    <col min="7438" max="7438" width="8.6640625" style="1"/>
    <col min="7439" max="7439" width="12.1640625" style="1" customWidth="1"/>
    <col min="7440" max="7440" width="11.9140625" style="1" customWidth="1"/>
    <col min="7441" max="7679" width="8.6640625" style="1"/>
    <col min="7680" max="7680" width="4.1640625" style="1" customWidth="1"/>
    <col min="7681" max="7681" width="13.9140625" style="1" customWidth="1"/>
    <col min="7682" max="7685" width="8.9140625" style="1" bestFit="1" customWidth="1"/>
    <col min="7686" max="7686" width="9.9140625" style="1" bestFit="1" customWidth="1"/>
    <col min="7687" max="7689" width="8.9140625" style="1" bestFit="1" customWidth="1"/>
    <col min="7690" max="7690" width="9.9140625" style="1" bestFit="1" customWidth="1"/>
    <col min="7691" max="7691" width="8.9140625" style="1" bestFit="1" customWidth="1"/>
    <col min="7692" max="7692" width="12.08203125" style="1" bestFit="1" customWidth="1"/>
    <col min="7693" max="7693" width="12.08203125" style="1" customWidth="1"/>
    <col min="7694" max="7694" width="8.6640625" style="1"/>
    <col min="7695" max="7695" width="12.1640625" style="1" customWidth="1"/>
    <col min="7696" max="7696" width="11.9140625" style="1" customWidth="1"/>
    <col min="7697" max="7935" width="8.6640625" style="1"/>
    <col min="7936" max="7936" width="4.1640625" style="1" customWidth="1"/>
    <col min="7937" max="7937" width="13.9140625" style="1" customWidth="1"/>
    <col min="7938" max="7941" width="8.9140625" style="1" bestFit="1" customWidth="1"/>
    <col min="7942" max="7942" width="9.9140625" style="1" bestFit="1" customWidth="1"/>
    <col min="7943" max="7945" width="8.9140625" style="1" bestFit="1" customWidth="1"/>
    <col min="7946" max="7946" width="9.9140625" style="1" bestFit="1" customWidth="1"/>
    <col min="7947" max="7947" width="8.9140625" style="1" bestFit="1" customWidth="1"/>
    <col min="7948" max="7948" width="12.08203125" style="1" bestFit="1" customWidth="1"/>
    <col min="7949" max="7949" width="12.08203125" style="1" customWidth="1"/>
    <col min="7950" max="7950" width="8.6640625" style="1"/>
    <col min="7951" max="7951" width="12.1640625" style="1" customWidth="1"/>
    <col min="7952" max="7952" width="11.9140625" style="1" customWidth="1"/>
    <col min="7953" max="8191" width="8.6640625" style="1"/>
    <col min="8192" max="8192" width="4.1640625" style="1" customWidth="1"/>
    <col min="8193" max="8193" width="13.9140625" style="1" customWidth="1"/>
    <col min="8194" max="8197" width="8.9140625" style="1" bestFit="1" customWidth="1"/>
    <col min="8198" max="8198" width="9.9140625" style="1" bestFit="1" customWidth="1"/>
    <col min="8199" max="8201" width="8.9140625" style="1" bestFit="1" customWidth="1"/>
    <col min="8202" max="8202" width="9.9140625" style="1" bestFit="1" customWidth="1"/>
    <col min="8203" max="8203" width="8.9140625" style="1" bestFit="1" customWidth="1"/>
    <col min="8204" max="8204" width="12.08203125" style="1" bestFit="1" customWidth="1"/>
    <col min="8205" max="8205" width="12.08203125" style="1" customWidth="1"/>
    <col min="8206" max="8206" width="8.6640625" style="1"/>
    <col min="8207" max="8207" width="12.1640625" style="1" customWidth="1"/>
    <col min="8208" max="8208" width="11.9140625" style="1" customWidth="1"/>
    <col min="8209" max="8447" width="8.6640625" style="1"/>
    <col min="8448" max="8448" width="4.1640625" style="1" customWidth="1"/>
    <col min="8449" max="8449" width="13.9140625" style="1" customWidth="1"/>
    <col min="8450" max="8453" width="8.9140625" style="1" bestFit="1" customWidth="1"/>
    <col min="8454" max="8454" width="9.9140625" style="1" bestFit="1" customWidth="1"/>
    <col min="8455" max="8457" width="8.9140625" style="1" bestFit="1" customWidth="1"/>
    <col min="8458" max="8458" width="9.9140625" style="1" bestFit="1" customWidth="1"/>
    <col min="8459" max="8459" width="8.9140625" style="1" bestFit="1" customWidth="1"/>
    <col min="8460" max="8460" width="12.08203125" style="1" bestFit="1" customWidth="1"/>
    <col min="8461" max="8461" width="12.08203125" style="1" customWidth="1"/>
    <col min="8462" max="8462" width="8.6640625" style="1"/>
    <col min="8463" max="8463" width="12.1640625" style="1" customWidth="1"/>
    <col min="8464" max="8464" width="11.9140625" style="1" customWidth="1"/>
    <col min="8465" max="8703" width="8.6640625" style="1"/>
    <col min="8704" max="8704" width="4.1640625" style="1" customWidth="1"/>
    <col min="8705" max="8705" width="13.9140625" style="1" customWidth="1"/>
    <col min="8706" max="8709" width="8.9140625" style="1" bestFit="1" customWidth="1"/>
    <col min="8710" max="8710" width="9.9140625" style="1" bestFit="1" customWidth="1"/>
    <col min="8711" max="8713" width="8.9140625" style="1" bestFit="1" customWidth="1"/>
    <col min="8714" max="8714" width="9.9140625" style="1" bestFit="1" customWidth="1"/>
    <col min="8715" max="8715" width="8.9140625" style="1" bestFit="1" customWidth="1"/>
    <col min="8716" max="8716" width="12.08203125" style="1" bestFit="1" customWidth="1"/>
    <col min="8717" max="8717" width="12.08203125" style="1" customWidth="1"/>
    <col min="8718" max="8718" width="8.6640625" style="1"/>
    <col min="8719" max="8719" width="12.1640625" style="1" customWidth="1"/>
    <col min="8720" max="8720" width="11.9140625" style="1" customWidth="1"/>
    <col min="8721" max="8959" width="8.6640625" style="1"/>
    <col min="8960" max="8960" width="4.1640625" style="1" customWidth="1"/>
    <col min="8961" max="8961" width="13.9140625" style="1" customWidth="1"/>
    <col min="8962" max="8965" width="8.9140625" style="1" bestFit="1" customWidth="1"/>
    <col min="8966" max="8966" width="9.9140625" style="1" bestFit="1" customWidth="1"/>
    <col min="8967" max="8969" width="8.9140625" style="1" bestFit="1" customWidth="1"/>
    <col min="8970" max="8970" width="9.9140625" style="1" bestFit="1" customWidth="1"/>
    <col min="8971" max="8971" width="8.9140625" style="1" bestFit="1" customWidth="1"/>
    <col min="8972" max="8972" width="12.08203125" style="1" bestFit="1" customWidth="1"/>
    <col min="8973" max="8973" width="12.08203125" style="1" customWidth="1"/>
    <col min="8974" max="8974" width="8.6640625" style="1"/>
    <col min="8975" max="8975" width="12.1640625" style="1" customWidth="1"/>
    <col min="8976" max="8976" width="11.9140625" style="1" customWidth="1"/>
    <col min="8977" max="9215" width="8.6640625" style="1"/>
    <col min="9216" max="9216" width="4.1640625" style="1" customWidth="1"/>
    <col min="9217" max="9217" width="13.9140625" style="1" customWidth="1"/>
    <col min="9218" max="9221" width="8.9140625" style="1" bestFit="1" customWidth="1"/>
    <col min="9222" max="9222" width="9.9140625" style="1" bestFit="1" customWidth="1"/>
    <col min="9223" max="9225" width="8.9140625" style="1" bestFit="1" customWidth="1"/>
    <col min="9226" max="9226" width="9.9140625" style="1" bestFit="1" customWidth="1"/>
    <col min="9227" max="9227" width="8.9140625" style="1" bestFit="1" customWidth="1"/>
    <col min="9228" max="9228" width="12.08203125" style="1" bestFit="1" customWidth="1"/>
    <col min="9229" max="9229" width="12.08203125" style="1" customWidth="1"/>
    <col min="9230" max="9230" width="8.6640625" style="1"/>
    <col min="9231" max="9231" width="12.1640625" style="1" customWidth="1"/>
    <col min="9232" max="9232" width="11.9140625" style="1" customWidth="1"/>
    <col min="9233" max="9471" width="8.6640625" style="1"/>
    <col min="9472" max="9472" width="4.1640625" style="1" customWidth="1"/>
    <col min="9473" max="9473" width="13.9140625" style="1" customWidth="1"/>
    <col min="9474" max="9477" width="8.9140625" style="1" bestFit="1" customWidth="1"/>
    <col min="9478" max="9478" width="9.9140625" style="1" bestFit="1" customWidth="1"/>
    <col min="9479" max="9481" width="8.9140625" style="1" bestFit="1" customWidth="1"/>
    <col min="9482" max="9482" width="9.9140625" style="1" bestFit="1" customWidth="1"/>
    <col min="9483" max="9483" width="8.9140625" style="1" bestFit="1" customWidth="1"/>
    <col min="9484" max="9484" width="12.08203125" style="1" bestFit="1" customWidth="1"/>
    <col min="9485" max="9485" width="12.08203125" style="1" customWidth="1"/>
    <col min="9486" max="9486" width="8.6640625" style="1"/>
    <col min="9487" max="9487" width="12.1640625" style="1" customWidth="1"/>
    <col min="9488" max="9488" width="11.9140625" style="1" customWidth="1"/>
    <col min="9489" max="9727" width="8.6640625" style="1"/>
    <col min="9728" max="9728" width="4.1640625" style="1" customWidth="1"/>
    <col min="9729" max="9729" width="13.9140625" style="1" customWidth="1"/>
    <col min="9730" max="9733" width="8.9140625" style="1" bestFit="1" customWidth="1"/>
    <col min="9734" max="9734" width="9.9140625" style="1" bestFit="1" customWidth="1"/>
    <col min="9735" max="9737" width="8.9140625" style="1" bestFit="1" customWidth="1"/>
    <col min="9738" max="9738" width="9.9140625" style="1" bestFit="1" customWidth="1"/>
    <col min="9739" max="9739" width="8.9140625" style="1" bestFit="1" customWidth="1"/>
    <col min="9740" max="9740" width="12.08203125" style="1" bestFit="1" customWidth="1"/>
    <col min="9741" max="9741" width="12.08203125" style="1" customWidth="1"/>
    <col min="9742" max="9742" width="8.6640625" style="1"/>
    <col min="9743" max="9743" width="12.1640625" style="1" customWidth="1"/>
    <col min="9744" max="9744" width="11.9140625" style="1" customWidth="1"/>
    <col min="9745" max="9983" width="8.6640625" style="1"/>
    <col min="9984" max="9984" width="4.1640625" style="1" customWidth="1"/>
    <col min="9985" max="9985" width="13.9140625" style="1" customWidth="1"/>
    <col min="9986" max="9989" width="8.9140625" style="1" bestFit="1" customWidth="1"/>
    <col min="9990" max="9990" width="9.9140625" style="1" bestFit="1" customWidth="1"/>
    <col min="9991" max="9993" width="8.9140625" style="1" bestFit="1" customWidth="1"/>
    <col min="9994" max="9994" width="9.9140625" style="1" bestFit="1" customWidth="1"/>
    <col min="9995" max="9995" width="8.9140625" style="1" bestFit="1" customWidth="1"/>
    <col min="9996" max="9996" width="12.08203125" style="1" bestFit="1" customWidth="1"/>
    <col min="9997" max="9997" width="12.08203125" style="1" customWidth="1"/>
    <col min="9998" max="9998" width="8.6640625" style="1"/>
    <col min="9999" max="9999" width="12.1640625" style="1" customWidth="1"/>
    <col min="10000" max="10000" width="11.9140625" style="1" customWidth="1"/>
    <col min="10001" max="10239" width="8.6640625" style="1"/>
    <col min="10240" max="10240" width="4.1640625" style="1" customWidth="1"/>
    <col min="10241" max="10241" width="13.9140625" style="1" customWidth="1"/>
    <col min="10242" max="10245" width="8.9140625" style="1" bestFit="1" customWidth="1"/>
    <col min="10246" max="10246" width="9.9140625" style="1" bestFit="1" customWidth="1"/>
    <col min="10247" max="10249" width="8.9140625" style="1" bestFit="1" customWidth="1"/>
    <col min="10250" max="10250" width="9.9140625" style="1" bestFit="1" customWidth="1"/>
    <col min="10251" max="10251" width="8.9140625" style="1" bestFit="1" customWidth="1"/>
    <col min="10252" max="10252" width="12.08203125" style="1" bestFit="1" customWidth="1"/>
    <col min="10253" max="10253" width="12.08203125" style="1" customWidth="1"/>
    <col min="10254" max="10254" width="8.6640625" style="1"/>
    <col min="10255" max="10255" width="12.1640625" style="1" customWidth="1"/>
    <col min="10256" max="10256" width="11.9140625" style="1" customWidth="1"/>
    <col min="10257" max="10495" width="8.6640625" style="1"/>
    <col min="10496" max="10496" width="4.1640625" style="1" customWidth="1"/>
    <col min="10497" max="10497" width="13.9140625" style="1" customWidth="1"/>
    <col min="10498" max="10501" width="8.9140625" style="1" bestFit="1" customWidth="1"/>
    <col min="10502" max="10502" width="9.9140625" style="1" bestFit="1" customWidth="1"/>
    <col min="10503" max="10505" width="8.9140625" style="1" bestFit="1" customWidth="1"/>
    <col min="10506" max="10506" width="9.9140625" style="1" bestFit="1" customWidth="1"/>
    <col min="10507" max="10507" width="8.9140625" style="1" bestFit="1" customWidth="1"/>
    <col min="10508" max="10508" width="12.08203125" style="1" bestFit="1" customWidth="1"/>
    <col min="10509" max="10509" width="12.08203125" style="1" customWidth="1"/>
    <col min="10510" max="10510" width="8.6640625" style="1"/>
    <col min="10511" max="10511" width="12.1640625" style="1" customWidth="1"/>
    <col min="10512" max="10512" width="11.9140625" style="1" customWidth="1"/>
    <col min="10513" max="10751" width="8.6640625" style="1"/>
    <col min="10752" max="10752" width="4.1640625" style="1" customWidth="1"/>
    <col min="10753" max="10753" width="13.9140625" style="1" customWidth="1"/>
    <col min="10754" max="10757" width="8.9140625" style="1" bestFit="1" customWidth="1"/>
    <col min="10758" max="10758" width="9.9140625" style="1" bestFit="1" customWidth="1"/>
    <col min="10759" max="10761" width="8.9140625" style="1" bestFit="1" customWidth="1"/>
    <col min="10762" max="10762" width="9.9140625" style="1" bestFit="1" customWidth="1"/>
    <col min="10763" max="10763" width="8.9140625" style="1" bestFit="1" customWidth="1"/>
    <col min="10764" max="10764" width="12.08203125" style="1" bestFit="1" customWidth="1"/>
    <col min="10765" max="10765" width="12.08203125" style="1" customWidth="1"/>
    <col min="10766" max="10766" width="8.6640625" style="1"/>
    <col min="10767" max="10767" width="12.1640625" style="1" customWidth="1"/>
    <col min="10768" max="10768" width="11.9140625" style="1" customWidth="1"/>
    <col min="10769" max="11007" width="8.6640625" style="1"/>
    <col min="11008" max="11008" width="4.1640625" style="1" customWidth="1"/>
    <col min="11009" max="11009" width="13.9140625" style="1" customWidth="1"/>
    <col min="11010" max="11013" width="8.9140625" style="1" bestFit="1" customWidth="1"/>
    <col min="11014" max="11014" width="9.9140625" style="1" bestFit="1" customWidth="1"/>
    <col min="11015" max="11017" width="8.9140625" style="1" bestFit="1" customWidth="1"/>
    <col min="11018" max="11018" width="9.9140625" style="1" bestFit="1" customWidth="1"/>
    <col min="11019" max="11019" width="8.9140625" style="1" bestFit="1" customWidth="1"/>
    <col min="11020" max="11020" width="12.08203125" style="1" bestFit="1" customWidth="1"/>
    <col min="11021" max="11021" width="12.08203125" style="1" customWidth="1"/>
    <col min="11022" max="11022" width="8.6640625" style="1"/>
    <col min="11023" max="11023" width="12.1640625" style="1" customWidth="1"/>
    <col min="11024" max="11024" width="11.9140625" style="1" customWidth="1"/>
    <col min="11025" max="11263" width="8.6640625" style="1"/>
    <col min="11264" max="11264" width="4.1640625" style="1" customWidth="1"/>
    <col min="11265" max="11265" width="13.9140625" style="1" customWidth="1"/>
    <col min="11266" max="11269" width="8.9140625" style="1" bestFit="1" customWidth="1"/>
    <col min="11270" max="11270" width="9.9140625" style="1" bestFit="1" customWidth="1"/>
    <col min="11271" max="11273" width="8.9140625" style="1" bestFit="1" customWidth="1"/>
    <col min="11274" max="11274" width="9.9140625" style="1" bestFit="1" customWidth="1"/>
    <col min="11275" max="11275" width="8.9140625" style="1" bestFit="1" customWidth="1"/>
    <col min="11276" max="11276" width="12.08203125" style="1" bestFit="1" customWidth="1"/>
    <col min="11277" max="11277" width="12.08203125" style="1" customWidth="1"/>
    <col min="11278" max="11278" width="8.6640625" style="1"/>
    <col min="11279" max="11279" width="12.1640625" style="1" customWidth="1"/>
    <col min="11280" max="11280" width="11.9140625" style="1" customWidth="1"/>
    <col min="11281" max="11519" width="8.6640625" style="1"/>
    <col min="11520" max="11520" width="4.1640625" style="1" customWidth="1"/>
    <col min="11521" max="11521" width="13.9140625" style="1" customWidth="1"/>
    <col min="11522" max="11525" width="8.9140625" style="1" bestFit="1" customWidth="1"/>
    <col min="11526" max="11526" width="9.9140625" style="1" bestFit="1" customWidth="1"/>
    <col min="11527" max="11529" width="8.9140625" style="1" bestFit="1" customWidth="1"/>
    <col min="11530" max="11530" width="9.9140625" style="1" bestFit="1" customWidth="1"/>
    <col min="11531" max="11531" width="8.9140625" style="1" bestFit="1" customWidth="1"/>
    <col min="11532" max="11532" width="12.08203125" style="1" bestFit="1" customWidth="1"/>
    <col min="11533" max="11533" width="12.08203125" style="1" customWidth="1"/>
    <col min="11534" max="11534" width="8.6640625" style="1"/>
    <col min="11535" max="11535" width="12.1640625" style="1" customWidth="1"/>
    <col min="11536" max="11536" width="11.9140625" style="1" customWidth="1"/>
    <col min="11537" max="11775" width="8.6640625" style="1"/>
    <col min="11776" max="11776" width="4.1640625" style="1" customWidth="1"/>
    <col min="11777" max="11777" width="13.9140625" style="1" customWidth="1"/>
    <col min="11778" max="11781" width="8.9140625" style="1" bestFit="1" customWidth="1"/>
    <col min="11782" max="11782" width="9.9140625" style="1" bestFit="1" customWidth="1"/>
    <col min="11783" max="11785" width="8.9140625" style="1" bestFit="1" customWidth="1"/>
    <col min="11786" max="11786" width="9.9140625" style="1" bestFit="1" customWidth="1"/>
    <col min="11787" max="11787" width="8.9140625" style="1" bestFit="1" customWidth="1"/>
    <col min="11788" max="11788" width="12.08203125" style="1" bestFit="1" customWidth="1"/>
    <col min="11789" max="11789" width="12.08203125" style="1" customWidth="1"/>
    <col min="11790" max="11790" width="8.6640625" style="1"/>
    <col min="11791" max="11791" width="12.1640625" style="1" customWidth="1"/>
    <col min="11792" max="11792" width="11.9140625" style="1" customWidth="1"/>
    <col min="11793" max="12031" width="8.6640625" style="1"/>
    <col min="12032" max="12032" width="4.1640625" style="1" customWidth="1"/>
    <col min="12033" max="12033" width="13.9140625" style="1" customWidth="1"/>
    <col min="12034" max="12037" width="8.9140625" style="1" bestFit="1" customWidth="1"/>
    <col min="12038" max="12038" width="9.9140625" style="1" bestFit="1" customWidth="1"/>
    <col min="12039" max="12041" width="8.9140625" style="1" bestFit="1" customWidth="1"/>
    <col min="12042" max="12042" width="9.9140625" style="1" bestFit="1" customWidth="1"/>
    <col min="12043" max="12043" width="8.9140625" style="1" bestFit="1" customWidth="1"/>
    <col min="12044" max="12044" width="12.08203125" style="1" bestFit="1" customWidth="1"/>
    <col min="12045" max="12045" width="12.08203125" style="1" customWidth="1"/>
    <col min="12046" max="12046" width="8.6640625" style="1"/>
    <col min="12047" max="12047" width="12.1640625" style="1" customWidth="1"/>
    <col min="12048" max="12048" width="11.9140625" style="1" customWidth="1"/>
    <col min="12049" max="12287" width="8.6640625" style="1"/>
    <col min="12288" max="12288" width="4.1640625" style="1" customWidth="1"/>
    <col min="12289" max="12289" width="13.9140625" style="1" customWidth="1"/>
    <col min="12290" max="12293" width="8.9140625" style="1" bestFit="1" customWidth="1"/>
    <col min="12294" max="12294" width="9.9140625" style="1" bestFit="1" customWidth="1"/>
    <col min="12295" max="12297" width="8.9140625" style="1" bestFit="1" customWidth="1"/>
    <col min="12298" max="12298" width="9.9140625" style="1" bestFit="1" customWidth="1"/>
    <col min="12299" max="12299" width="8.9140625" style="1" bestFit="1" customWidth="1"/>
    <col min="12300" max="12300" width="12.08203125" style="1" bestFit="1" customWidth="1"/>
    <col min="12301" max="12301" width="12.08203125" style="1" customWidth="1"/>
    <col min="12302" max="12302" width="8.6640625" style="1"/>
    <col min="12303" max="12303" width="12.1640625" style="1" customWidth="1"/>
    <col min="12304" max="12304" width="11.9140625" style="1" customWidth="1"/>
    <col min="12305" max="12543" width="8.6640625" style="1"/>
    <col min="12544" max="12544" width="4.1640625" style="1" customWidth="1"/>
    <col min="12545" max="12545" width="13.9140625" style="1" customWidth="1"/>
    <col min="12546" max="12549" width="8.9140625" style="1" bestFit="1" customWidth="1"/>
    <col min="12550" max="12550" width="9.9140625" style="1" bestFit="1" customWidth="1"/>
    <col min="12551" max="12553" width="8.9140625" style="1" bestFit="1" customWidth="1"/>
    <col min="12554" max="12554" width="9.9140625" style="1" bestFit="1" customWidth="1"/>
    <col min="12555" max="12555" width="8.9140625" style="1" bestFit="1" customWidth="1"/>
    <col min="12556" max="12556" width="12.08203125" style="1" bestFit="1" customWidth="1"/>
    <col min="12557" max="12557" width="12.08203125" style="1" customWidth="1"/>
    <col min="12558" max="12558" width="8.6640625" style="1"/>
    <col min="12559" max="12559" width="12.1640625" style="1" customWidth="1"/>
    <col min="12560" max="12560" width="11.9140625" style="1" customWidth="1"/>
    <col min="12561" max="12799" width="8.6640625" style="1"/>
    <col min="12800" max="12800" width="4.1640625" style="1" customWidth="1"/>
    <col min="12801" max="12801" width="13.9140625" style="1" customWidth="1"/>
    <col min="12802" max="12805" width="8.9140625" style="1" bestFit="1" customWidth="1"/>
    <col min="12806" max="12806" width="9.9140625" style="1" bestFit="1" customWidth="1"/>
    <col min="12807" max="12809" width="8.9140625" style="1" bestFit="1" customWidth="1"/>
    <col min="12810" max="12810" width="9.9140625" style="1" bestFit="1" customWidth="1"/>
    <col min="12811" max="12811" width="8.9140625" style="1" bestFit="1" customWidth="1"/>
    <col min="12812" max="12812" width="12.08203125" style="1" bestFit="1" customWidth="1"/>
    <col min="12813" max="12813" width="12.08203125" style="1" customWidth="1"/>
    <col min="12814" max="12814" width="8.6640625" style="1"/>
    <col min="12815" max="12815" width="12.1640625" style="1" customWidth="1"/>
    <col min="12816" max="12816" width="11.9140625" style="1" customWidth="1"/>
    <col min="12817" max="13055" width="8.6640625" style="1"/>
    <col min="13056" max="13056" width="4.1640625" style="1" customWidth="1"/>
    <col min="13057" max="13057" width="13.9140625" style="1" customWidth="1"/>
    <col min="13058" max="13061" width="8.9140625" style="1" bestFit="1" customWidth="1"/>
    <col min="13062" max="13062" width="9.9140625" style="1" bestFit="1" customWidth="1"/>
    <col min="13063" max="13065" width="8.9140625" style="1" bestFit="1" customWidth="1"/>
    <col min="13066" max="13066" width="9.9140625" style="1" bestFit="1" customWidth="1"/>
    <col min="13067" max="13067" width="8.9140625" style="1" bestFit="1" customWidth="1"/>
    <col min="13068" max="13068" width="12.08203125" style="1" bestFit="1" customWidth="1"/>
    <col min="13069" max="13069" width="12.08203125" style="1" customWidth="1"/>
    <col min="13070" max="13070" width="8.6640625" style="1"/>
    <col min="13071" max="13071" width="12.1640625" style="1" customWidth="1"/>
    <col min="13072" max="13072" width="11.9140625" style="1" customWidth="1"/>
    <col min="13073" max="13311" width="8.6640625" style="1"/>
    <col min="13312" max="13312" width="4.1640625" style="1" customWidth="1"/>
    <col min="13313" max="13313" width="13.9140625" style="1" customWidth="1"/>
    <col min="13314" max="13317" width="8.9140625" style="1" bestFit="1" customWidth="1"/>
    <col min="13318" max="13318" width="9.9140625" style="1" bestFit="1" customWidth="1"/>
    <col min="13319" max="13321" width="8.9140625" style="1" bestFit="1" customWidth="1"/>
    <col min="13322" max="13322" width="9.9140625" style="1" bestFit="1" customWidth="1"/>
    <col min="13323" max="13323" width="8.9140625" style="1" bestFit="1" customWidth="1"/>
    <col min="13324" max="13324" width="12.08203125" style="1" bestFit="1" customWidth="1"/>
    <col min="13325" max="13325" width="12.08203125" style="1" customWidth="1"/>
    <col min="13326" max="13326" width="8.6640625" style="1"/>
    <col min="13327" max="13327" width="12.1640625" style="1" customWidth="1"/>
    <col min="13328" max="13328" width="11.9140625" style="1" customWidth="1"/>
    <col min="13329" max="13567" width="8.6640625" style="1"/>
    <col min="13568" max="13568" width="4.1640625" style="1" customWidth="1"/>
    <col min="13569" max="13569" width="13.9140625" style="1" customWidth="1"/>
    <col min="13570" max="13573" width="8.9140625" style="1" bestFit="1" customWidth="1"/>
    <col min="13574" max="13574" width="9.9140625" style="1" bestFit="1" customWidth="1"/>
    <col min="13575" max="13577" width="8.9140625" style="1" bestFit="1" customWidth="1"/>
    <col min="13578" max="13578" width="9.9140625" style="1" bestFit="1" customWidth="1"/>
    <col min="13579" max="13579" width="8.9140625" style="1" bestFit="1" customWidth="1"/>
    <col min="13580" max="13580" width="12.08203125" style="1" bestFit="1" customWidth="1"/>
    <col min="13581" max="13581" width="12.08203125" style="1" customWidth="1"/>
    <col min="13582" max="13582" width="8.6640625" style="1"/>
    <col min="13583" max="13583" width="12.1640625" style="1" customWidth="1"/>
    <col min="13584" max="13584" width="11.9140625" style="1" customWidth="1"/>
    <col min="13585" max="13823" width="8.6640625" style="1"/>
    <col min="13824" max="13824" width="4.1640625" style="1" customWidth="1"/>
    <col min="13825" max="13825" width="13.9140625" style="1" customWidth="1"/>
    <col min="13826" max="13829" width="8.9140625" style="1" bestFit="1" customWidth="1"/>
    <col min="13830" max="13830" width="9.9140625" style="1" bestFit="1" customWidth="1"/>
    <col min="13831" max="13833" width="8.9140625" style="1" bestFit="1" customWidth="1"/>
    <col min="13834" max="13834" width="9.9140625" style="1" bestFit="1" customWidth="1"/>
    <col min="13835" max="13835" width="8.9140625" style="1" bestFit="1" customWidth="1"/>
    <col min="13836" max="13836" width="12.08203125" style="1" bestFit="1" customWidth="1"/>
    <col min="13837" max="13837" width="12.08203125" style="1" customWidth="1"/>
    <col min="13838" max="13838" width="8.6640625" style="1"/>
    <col min="13839" max="13839" width="12.1640625" style="1" customWidth="1"/>
    <col min="13840" max="13840" width="11.9140625" style="1" customWidth="1"/>
    <col min="13841" max="14079" width="8.6640625" style="1"/>
    <col min="14080" max="14080" width="4.1640625" style="1" customWidth="1"/>
    <col min="14081" max="14081" width="13.9140625" style="1" customWidth="1"/>
    <col min="14082" max="14085" width="8.9140625" style="1" bestFit="1" customWidth="1"/>
    <col min="14086" max="14086" width="9.9140625" style="1" bestFit="1" customWidth="1"/>
    <col min="14087" max="14089" width="8.9140625" style="1" bestFit="1" customWidth="1"/>
    <col min="14090" max="14090" width="9.9140625" style="1" bestFit="1" customWidth="1"/>
    <col min="14091" max="14091" width="8.9140625" style="1" bestFit="1" customWidth="1"/>
    <col min="14092" max="14092" width="12.08203125" style="1" bestFit="1" customWidth="1"/>
    <col min="14093" max="14093" width="12.08203125" style="1" customWidth="1"/>
    <col min="14094" max="14094" width="8.6640625" style="1"/>
    <col min="14095" max="14095" width="12.1640625" style="1" customWidth="1"/>
    <col min="14096" max="14096" width="11.9140625" style="1" customWidth="1"/>
    <col min="14097" max="14335" width="8.6640625" style="1"/>
    <col min="14336" max="14336" width="4.1640625" style="1" customWidth="1"/>
    <col min="14337" max="14337" width="13.9140625" style="1" customWidth="1"/>
    <col min="14338" max="14341" width="8.9140625" style="1" bestFit="1" customWidth="1"/>
    <col min="14342" max="14342" width="9.9140625" style="1" bestFit="1" customWidth="1"/>
    <col min="14343" max="14345" width="8.9140625" style="1" bestFit="1" customWidth="1"/>
    <col min="14346" max="14346" width="9.9140625" style="1" bestFit="1" customWidth="1"/>
    <col min="14347" max="14347" width="8.9140625" style="1" bestFit="1" customWidth="1"/>
    <col min="14348" max="14348" width="12.08203125" style="1" bestFit="1" customWidth="1"/>
    <col min="14349" max="14349" width="12.08203125" style="1" customWidth="1"/>
    <col min="14350" max="14350" width="8.6640625" style="1"/>
    <col min="14351" max="14351" width="12.1640625" style="1" customWidth="1"/>
    <col min="14352" max="14352" width="11.9140625" style="1" customWidth="1"/>
    <col min="14353" max="14591" width="8.6640625" style="1"/>
    <col min="14592" max="14592" width="4.1640625" style="1" customWidth="1"/>
    <col min="14593" max="14593" width="13.9140625" style="1" customWidth="1"/>
    <col min="14594" max="14597" width="8.9140625" style="1" bestFit="1" customWidth="1"/>
    <col min="14598" max="14598" width="9.9140625" style="1" bestFit="1" customWidth="1"/>
    <col min="14599" max="14601" width="8.9140625" style="1" bestFit="1" customWidth="1"/>
    <col min="14602" max="14602" width="9.9140625" style="1" bestFit="1" customWidth="1"/>
    <col min="14603" max="14603" width="8.9140625" style="1" bestFit="1" customWidth="1"/>
    <col min="14604" max="14604" width="12.08203125" style="1" bestFit="1" customWidth="1"/>
    <col min="14605" max="14605" width="12.08203125" style="1" customWidth="1"/>
    <col min="14606" max="14606" width="8.6640625" style="1"/>
    <col min="14607" max="14607" width="12.1640625" style="1" customWidth="1"/>
    <col min="14608" max="14608" width="11.9140625" style="1" customWidth="1"/>
    <col min="14609" max="14847" width="8.6640625" style="1"/>
    <col min="14848" max="14848" width="4.1640625" style="1" customWidth="1"/>
    <col min="14849" max="14849" width="13.9140625" style="1" customWidth="1"/>
    <col min="14850" max="14853" width="8.9140625" style="1" bestFit="1" customWidth="1"/>
    <col min="14854" max="14854" width="9.9140625" style="1" bestFit="1" customWidth="1"/>
    <col min="14855" max="14857" width="8.9140625" style="1" bestFit="1" customWidth="1"/>
    <col min="14858" max="14858" width="9.9140625" style="1" bestFit="1" customWidth="1"/>
    <col min="14859" max="14859" width="8.9140625" style="1" bestFit="1" customWidth="1"/>
    <col min="14860" max="14860" width="12.08203125" style="1" bestFit="1" customWidth="1"/>
    <col min="14861" max="14861" width="12.08203125" style="1" customWidth="1"/>
    <col min="14862" max="14862" width="8.6640625" style="1"/>
    <col min="14863" max="14863" width="12.1640625" style="1" customWidth="1"/>
    <col min="14864" max="14864" width="11.9140625" style="1" customWidth="1"/>
    <col min="14865" max="15103" width="8.6640625" style="1"/>
    <col min="15104" max="15104" width="4.1640625" style="1" customWidth="1"/>
    <col min="15105" max="15105" width="13.9140625" style="1" customWidth="1"/>
    <col min="15106" max="15109" width="8.9140625" style="1" bestFit="1" customWidth="1"/>
    <col min="15110" max="15110" width="9.9140625" style="1" bestFit="1" customWidth="1"/>
    <col min="15111" max="15113" width="8.9140625" style="1" bestFit="1" customWidth="1"/>
    <col min="15114" max="15114" width="9.9140625" style="1" bestFit="1" customWidth="1"/>
    <col min="15115" max="15115" width="8.9140625" style="1" bestFit="1" customWidth="1"/>
    <col min="15116" max="15116" width="12.08203125" style="1" bestFit="1" customWidth="1"/>
    <col min="15117" max="15117" width="12.08203125" style="1" customWidth="1"/>
    <col min="15118" max="15118" width="8.6640625" style="1"/>
    <col min="15119" max="15119" width="12.1640625" style="1" customWidth="1"/>
    <col min="15120" max="15120" width="11.9140625" style="1" customWidth="1"/>
    <col min="15121" max="15359" width="8.6640625" style="1"/>
    <col min="15360" max="15360" width="4.1640625" style="1" customWidth="1"/>
    <col min="15361" max="15361" width="13.9140625" style="1" customWidth="1"/>
    <col min="15362" max="15365" width="8.9140625" style="1" bestFit="1" customWidth="1"/>
    <col min="15366" max="15366" width="9.9140625" style="1" bestFit="1" customWidth="1"/>
    <col min="15367" max="15369" width="8.9140625" style="1" bestFit="1" customWidth="1"/>
    <col min="15370" max="15370" width="9.9140625" style="1" bestFit="1" customWidth="1"/>
    <col min="15371" max="15371" width="8.9140625" style="1" bestFit="1" customWidth="1"/>
    <col min="15372" max="15372" width="12.08203125" style="1" bestFit="1" customWidth="1"/>
    <col min="15373" max="15373" width="12.08203125" style="1" customWidth="1"/>
    <col min="15374" max="15374" width="8.6640625" style="1"/>
    <col min="15375" max="15375" width="12.1640625" style="1" customWidth="1"/>
    <col min="15376" max="15376" width="11.9140625" style="1" customWidth="1"/>
    <col min="15377" max="15615" width="8.6640625" style="1"/>
    <col min="15616" max="15616" width="4.1640625" style="1" customWidth="1"/>
    <col min="15617" max="15617" width="13.9140625" style="1" customWidth="1"/>
    <col min="15618" max="15621" width="8.9140625" style="1" bestFit="1" customWidth="1"/>
    <col min="15622" max="15622" width="9.9140625" style="1" bestFit="1" customWidth="1"/>
    <col min="15623" max="15625" width="8.9140625" style="1" bestFit="1" customWidth="1"/>
    <col min="15626" max="15626" width="9.9140625" style="1" bestFit="1" customWidth="1"/>
    <col min="15627" max="15627" width="8.9140625" style="1" bestFit="1" customWidth="1"/>
    <col min="15628" max="15628" width="12.08203125" style="1" bestFit="1" customWidth="1"/>
    <col min="15629" max="15629" width="12.08203125" style="1" customWidth="1"/>
    <col min="15630" max="15630" width="8.6640625" style="1"/>
    <col min="15631" max="15631" width="12.1640625" style="1" customWidth="1"/>
    <col min="15632" max="15632" width="11.9140625" style="1" customWidth="1"/>
    <col min="15633" max="15871" width="8.6640625" style="1"/>
    <col min="15872" max="15872" width="4.1640625" style="1" customWidth="1"/>
    <col min="15873" max="15873" width="13.9140625" style="1" customWidth="1"/>
    <col min="15874" max="15877" width="8.9140625" style="1" bestFit="1" customWidth="1"/>
    <col min="15878" max="15878" width="9.9140625" style="1" bestFit="1" customWidth="1"/>
    <col min="15879" max="15881" width="8.9140625" style="1" bestFit="1" customWidth="1"/>
    <col min="15882" max="15882" width="9.9140625" style="1" bestFit="1" customWidth="1"/>
    <col min="15883" max="15883" width="8.9140625" style="1" bestFit="1" customWidth="1"/>
    <col min="15884" max="15884" width="12.08203125" style="1" bestFit="1" customWidth="1"/>
    <col min="15885" max="15885" width="12.08203125" style="1" customWidth="1"/>
    <col min="15886" max="15886" width="8.6640625" style="1"/>
    <col min="15887" max="15887" width="12.1640625" style="1" customWidth="1"/>
    <col min="15888" max="15888" width="11.9140625" style="1" customWidth="1"/>
    <col min="15889" max="16127" width="8.6640625" style="1"/>
    <col min="16128" max="16128" width="4.1640625" style="1" customWidth="1"/>
    <col min="16129" max="16129" width="13.9140625" style="1" customWidth="1"/>
    <col min="16130" max="16133" width="8.9140625" style="1" bestFit="1" customWidth="1"/>
    <col min="16134" max="16134" width="9.9140625" style="1" bestFit="1" customWidth="1"/>
    <col min="16135" max="16137" width="8.9140625" style="1" bestFit="1" customWidth="1"/>
    <col min="16138" max="16138" width="9.9140625" style="1" bestFit="1" customWidth="1"/>
    <col min="16139" max="16139" width="8.9140625" style="1" bestFit="1" customWidth="1"/>
    <col min="16140" max="16140" width="12.08203125" style="1" bestFit="1" customWidth="1"/>
    <col min="16141" max="16141" width="12.08203125" style="1" customWidth="1"/>
    <col min="16142" max="16142" width="8.6640625" style="1"/>
    <col min="16143" max="16143" width="12.1640625" style="1" customWidth="1"/>
    <col min="16144" max="16144" width="11.9140625" style="1" customWidth="1"/>
    <col min="16145" max="16384" width="8.6640625" style="1"/>
  </cols>
  <sheetData>
    <row r="2" spans="1:16">
      <c r="A2" s="138" t="s">
        <v>4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40"/>
      <c r="M2" s="2" t="s">
        <v>5</v>
      </c>
      <c r="N2" s="3"/>
      <c r="O2" s="3"/>
      <c r="P2" s="3"/>
    </row>
    <row r="3" spans="1:16">
      <c r="A3" s="141" t="s">
        <v>6</v>
      </c>
      <c r="B3" s="4" t="s">
        <v>7</v>
      </c>
      <c r="C3" s="4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2</v>
      </c>
      <c r="I3" s="4" t="s">
        <v>3</v>
      </c>
      <c r="J3" s="4" t="s">
        <v>1</v>
      </c>
      <c r="K3" s="4" t="s">
        <v>13</v>
      </c>
      <c r="L3" s="4" t="s">
        <v>14</v>
      </c>
      <c r="M3" s="2" t="s">
        <v>15</v>
      </c>
      <c r="N3" s="3"/>
      <c r="O3" s="5" t="s">
        <v>16</v>
      </c>
      <c r="P3" s="3"/>
    </row>
    <row r="4" spans="1:16">
      <c r="A4" s="142"/>
      <c r="B4" s="4" t="s">
        <v>17</v>
      </c>
      <c r="C4" s="4" t="s">
        <v>18</v>
      </c>
      <c r="D4" s="4" t="s">
        <v>19</v>
      </c>
      <c r="E4" s="4" t="s">
        <v>20</v>
      </c>
      <c r="F4" s="4" t="s">
        <v>21</v>
      </c>
      <c r="G4" s="4" t="s">
        <v>21</v>
      </c>
      <c r="H4" s="4" t="s">
        <v>17</v>
      </c>
      <c r="I4" s="4" t="s">
        <v>17</v>
      </c>
      <c r="J4" s="4" t="s">
        <v>17</v>
      </c>
      <c r="K4" s="4" t="s">
        <v>22</v>
      </c>
      <c r="L4" s="4" t="s">
        <v>23</v>
      </c>
      <c r="M4" s="2" t="s">
        <v>24</v>
      </c>
      <c r="N4" s="3"/>
      <c r="O4" s="6" t="s">
        <v>25</v>
      </c>
      <c r="P4" s="6" t="s">
        <v>26</v>
      </c>
    </row>
    <row r="5" spans="1:16" ht="28.25" customHeight="1">
      <c r="A5" s="7" t="s">
        <v>27</v>
      </c>
      <c r="B5" s="8">
        <v>75</v>
      </c>
      <c r="C5" s="7">
        <v>1</v>
      </c>
      <c r="D5" s="7">
        <v>11.7</v>
      </c>
      <c r="E5" s="7" t="s">
        <v>28</v>
      </c>
      <c r="F5" s="128">
        <v>11.556880000077756</v>
      </c>
      <c r="G5" s="123">
        <f>100-F5</f>
        <v>88.443119999922246</v>
      </c>
      <c r="H5" s="9">
        <v>3567.12</v>
      </c>
      <c r="I5" s="9">
        <v>27298.65</v>
      </c>
      <c r="J5" s="134">
        <f>ROUND((H5+I5),2)*C5</f>
        <v>30865.77</v>
      </c>
      <c r="K5" s="11">
        <f>O29</f>
        <v>3600</v>
      </c>
      <c r="L5" s="129">
        <f>J5*K5</f>
        <v>111116772</v>
      </c>
      <c r="M5" s="133">
        <f>I5*(G5*K5)*C5</f>
        <v>8691760000.0291595</v>
      </c>
      <c r="N5" s="3"/>
      <c r="O5" s="14">
        <f>(D5*60)*(F5)*K5*C5</f>
        <v>29206547.136196505</v>
      </c>
      <c r="P5" s="15" t="s">
        <v>26</v>
      </c>
    </row>
    <row r="6" spans="1:16">
      <c r="A6" s="7"/>
      <c r="B6" s="16"/>
      <c r="C6" s="17"/>
      <c r="D6" s="7"/>
      <c r="E6" s="7"/>
      <c r="F6" s="18"/>
      <c r="G6" s="123">
        <f t="shared" ref="G6:G7" si="0">100-F6</f>
        <v>100</v>
      </c>
      <c r="H6" s="19"/>
      <c r="I6" s="19"/>
      <c r="J6" s="10">
        <f t="shared" ref="J6:J8" si="1">ROUND((H6+I6),2)*C6</f>
        <v>0</v>
      </c>
      <c r="K6" s="11">
        <f>O29</f>
        <v>3600</v>
      </c>
      <c r="L6" s="12">
        <f>J6*K6</f>
        <v>0</v>
      </c>
      <c r="M6" s="13">
        <f>I6*(G6*K6)</f>
        <v>0</v>
      </c>
      <c r="N6" s="3"/>
      <c r="O6" s="14">
        <f>(D6*60)*(F6)*K6</f>
        <v>0</v>
      </c>
      <c r="P6" s="15" t="s">
        <v>26</v>
      </c>
    </row>
    <row r="7" spans="1:16">
      <c r="A7" s="7"/>
      <c r="B7" s="16"/>
      <c r="C7" s="17"/>
      <c r="D7" s="7"/>
      <c r="E7" s="7"/>
      <c r="F7" s="18"/>
      <c r="G7" s="123">
        <f t="shared" si="0"/>
        <v>100</v>
      </c>
      <c r="H7" s="16"/>
      <c r="I7" s="16"/>
      <c r="J7" s="10">
        <f t="shared" si="1"/>
        <v>0</v>
      </c>
      <c r="K7" s="11">
        <f>O29</f>
        <v>3600</v>
      </c>
      <c r="L7" s="12">
        <f>J7*K7</f>
        <v>0</v>
      </c>
      <c r="M7" s="13">
        <f>I7*(G7*K7)</f>
        <v>0</v>
      </c>
      <c r="N7" s="3"/>
      <c r="O7" s="14">
        <f>(D7*60)*(F7)*K7</f>
        <v>0</v>
      </c>
      <c r="P7" s="15" t="s">
        <v>26</v>
      </c>
    </row>
    <row r="8" spans="1:16">
      <c r="A8" s="20"/>
      <c r="B8" s="20"/>
      <c r="C8" s="21"/>
      <c r="D8" s="20"/>
      <c r="E8" s="22"/>
      <c r="F8" s="20"/>
      <c r="G8" s="20"/>
      <c r="H8" s="20"/>
      <c r="I8" s="20"/>
      <c r="J8" s="10">
        <f t="shared" si="1"/>
        <v>0</v>
      </c>
      <c r="K8" s="11">
        <f>O29</f>
        <v>3600</v>
      </c>
      <c r="L8" s="23">
        <f>J8*K8</f>
        <v>0</v>
      </c>
      <c r="M8" s="13">
        <f>I8*(G8*K8)</f>
        <v>0</v>
      </c>
      <c r="N8" s="3"/>
      <c r="O8" s="14">
        <f>(D8*60)*(F8)*K8</f>
        <v>0</v>
      </c>
      <c r="P8" s="15" t="s">
        <v>26</v>
      </c>
    </row>
    <row r="9" spans="1:16">
      <c r="A9" s="21" t="s">
        <v>0</v>
      </c>
      <c r="B9" s="24">
        <f>B5*C5+B6*C6+B7*C7+B8*C8</f>
        <v>75</v>
      </c>
      <c r="C9" s="24">
        <f>SUM(C5:C8)</f>
        <v>1</v>
      </c>
      <c r="D9" s="24">
        <f>C5*D5+C6*D6+C7*D7+C8*D8</f>
        <v>11.7</v>
      </c>
      <c r="E9" s="24" t="s">
        <v>28</v>
      </c>
      <c r="F9" s="25">
        <f>AVERAGE(F5:F7)</f>
        <v>11.556880000077756</v>
      </c>
      <c r="G9" s="124">
        <f>100-F9</f>
        <v>88.443119999922246</v>
      </c>
      <c r="H9" s="25">
        <f>SUM(H5)</f>
        <v>3567.12</v>
      </c>
      <c r="I9" s="25">
        <f>SUM(I5:I8)</f>
        <v>27298.65</v>
      </c>
      <c r="J9" s="135">
        <f>SUM(J5:J8)</f>
        <v>30865.77</v>
      </c>
      <c r="K9" s="26">
        <f>AVERAGE(K5:K8)</f>
        <v>3600</v>
      </c>
      <c r="L9" s="27">
        <f>ROUND((SUM(L5:L8)),0)</f>
        <v>111116772</v>
      </c>
      <c r="M9" s="28">
        <f>SUM(M5:M8)</f>
        <v>8691760000.0291595</v>
      </c>
      <c r="N9" s="3"/>
      <c r="O9" s="29">
        <f>SUM(O5:O8)</f>
        <v>29206547.136196505</v>
      </c>
      <c r="P9" s="6" t="s">
        <v>29</v>
      </c>
    </row>
    <row r="10" spans="1:16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 t="s">
        <v>30</v>
      </c>
      <c r="P10" s="3"/>
    </row>
    <row r="11" spans="1:16">
      <c r="A11" s="138" t="s">
        <v>31</v>
      </c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40"/>
      <c r="M11" s="2"/>
      <c r="N11" s="3"/>
      <c r="O11" s="3"/>
      <c r="P11" s="3"/>
    </row>
    <row r="12" spans="1:16">
      <c r="A12" s="141" t="s">
        <v>6</v>
      </c>
      <c r="B12" s="4" t="s">
        <v>7</v>
      </c>
      <c r="C12" s="4" t="s">
        <v>8</v>
      </c>
      <c r="D12" s="4" t="s">
        <v>9</v>
      </c>
      <c r="E12" s="4" t="s">
        <v>10</v>
      </c>
      <c r="F12" s="4" t="s">
        <v>11</v>
      </c>
      <c r="G12" s="4" t="s">
        <v>12</v>
      </c>
      <c r="H12" s="4" t="s">
        <v>2</v>
      </c>
      <c r="I12" s="4" t="s">
        <v>3</v>
      </c>
      <c r="J12" s="4" t="s">
        <v>1</v>
      </c>
      <c r="K12" s="4" t="s">
        <v>13</v>
      </c>
      <c r="L12" s="4" t="s">
        <v>14</v>
      </c>
      <c r="M12" s="2" t="s">
        <v>15</v>
      </c>
      <c r="N12" s="3"/>
      <c r="O12" s="6" t="s">
        <v>25</v>
      </c>
      <c r="P12" s="6" t="s">
        <v>26</v>
      </c>
    </row>
    <row r="13" spans="1:16">
      <c r="A13" s="142"/>
      <c r="B13" s="4" t="s">
        <v>17</v>
      </c>
      <c r="C13" s="4" t="s">
        <v>18</v>
      </c>
      <c r="D13" s="4" t="s">
        <v>19</v>
      </c>
      <c r="E13" s="4" t="s">
        <v>20</v>
      </c>
      <c r="F13" s="4" t="s">
        <v>21</v>
      </c>
      <c r="G13" s="4" t="s">
        <v>21</v>
      </c>
      <c r="H13" s="4" t="s">
        <v>17</v>
      </c>
      <c r="I13" s="4" t="s">
        <v>17</v>
      </c>
      <c r="J13" s="4" t="s">
        <v>17</v>
      </c>
      <c r="K13" s="4" t="s">
        <v>22</v>
      </c>
      <c r="L13" s="4" t="s">
        <v>23</v>
      </c>
      <c r="M13" s="2" t="s">
        <v>24</v>
      </c>
      <c r="N13" s="3"/>
      <c r="O13" s="29">
        <f>O9</f>
        <v>29206547.136196505</v>
      </c>
      <c r="P13" s="6" t="s">
        <v>32</v>
      </c>
    </row>
    <row r="14" spans="1:16">
      <c r="A14" s="30" t="s">
        <v>33</v>
      </c>
      <c r="B14" s="31">
        <v>75</v>
      </c>
      <c r="C14" s="31">
        <v>1</v>
      </c>
      <c r="D14" s="31">
        <v>13.8</v>
      </c>
      <c r="E14" s="32" t="s">
        <v>28</v>
      </c>
      <c r="F14" s="125">
        <f>O16</f>
        <v>9.7982243478920115</v>
      </c>
      <c r="G14" s="33">
        <v>0</v>
      </c>
      <c r="H14" s="33">
        <f>B14</f>
        <v>75</v>
      </c>
      <c r="I14" s="33">
        <v>0</v>
      </c>
      <c r="J14" s="34">
        <f>ROUND((B14*F14),2)*C14</f>
        <v>734.87</v>
      </c>
      <c r="K14" s="35">
        <f>O29</f>
        <v>3600</v>
      </c>
      <c r="L14" s="34">
        <f>J14*K14</f>
        <v>2645532</v>
      </c>
      <c r="M14" s="5">
        <v>0</v>
      </c>
      <c r="N14" s="3"/>
      <c r="O14" s="36">
        <f>ROUND( (O13/(D14*60*C14)),0)</f>
        <v>35274</v>
      </c>
      <c r="P14" s="3" t="s">
        <v>34</v>
      </c>
    </row>
    <row r="15" spans="1:16">
      <c r="A15" s="30"/>
      <c r="B15" s="37"/>
      <c r="C15" s="37">
        <v>1</v>
      </c>
      <c r="D15" s="37"/>
      <c r="E15" s="32" t="s">
        <v>28</v>
      </c>
      <c r="F15" s="38"/>
      <c r="G15" s="39">
        <v>0</v>
      </c>
      <c r="H15" s="40">
        <f>B15</f>
        <v>0</v>
      </c>
      <c r="I15" s="39">
        <v>0</v>
      </c>
      <c r="J15" s="41">
        <f>ROUND((B15*F15),2)*C15</f>
        <v>0</v>
      </c>
      <c r="K15" s="42">
        <f>O29</f>
        <v>3600</v>
      </c>
      <c r="L15" s="41">
        <f>J15*K15</f>
        <v>0</v>
      </c>
      <c r="M15" s="5"/>
      <c r="N15" s="3"/>
      <c r="O15" s="36"/>
      <c r="P15" s="3"/>
    </row>
    <row r="16" spans="1:16">
      <c r="A16" s="43"/>
      <c r="B16" s="44">
        <f>B14*C14</f>
        <v>75</v>
      </c>
      <c r="C16" s="43"/>
      <c r="D16" s="44">
        <f>SUM(D14:D15)-D14</f>
        <v>0</v>
      </c>
      <c r="E16" s="43"/>
      <c r="F16" s="43"/>
      <c r="G16" s="43"/>
      <c r="H16" s="43"/>
      <c r="I16" s="43"/>
      <c r="J16" s="45">
        <f>SUM(J14:J15)-J15</f>
        <v>734.87</v>
      </c>
      <c r="K16" s="46">
        <f>O29</f>
        <v>3600</v>
      </c>
      <c r="L16" s="47">
        <f>SUM(L14:L15)</f>
        <v>2645532</v>
      </c>
      <c r="M16" s="3"/>
      <c r="N16" s="3"/>
      <c r="O16" s="126">
        <f>O13/(C14*D14*60*K14)</f>
        <v>9.7982243478920115</v>
      </c>
      <c r="P16" s="3" t="s">
        <v>35</v>
      </c>
    </row>
    <row r="17" spans="1:17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</row>
    <row r="18" spans="1:17">
      <c r="A18" s="3"/>
      <c r="B18" s="3"/>
      <c r="C18" s="3"/>
      <c r="D18" s="3"/>
      <c r="E18" s="3"/>
      <c r="F18" s="48">
        <f>D15*60*F15*K15*C15</f>
        <v>0</v>
      </c>
      <c r="G18" s="3"/>
      <c r="H18" s="3"/>
      <c r="I18" s="3"/>
      <c r="J18" s="3"/>
      <c r="K18" s="3"/>
      <c r="L18" s="3"/>
      <c r="M18" s="3"/>
      <c r="N18" s="3"/>
      <c r="O18" s="6" t="s">
        <v>36</v>
      </c>
      <c r="P18" s="49" t="s">
        <v>37</v>
      </c>
    </row>
    <row r="19" spans="1:17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50">
        <f>L9-L16</f>
        <v>108471240</v>
      </c>
      <c r="P19" s="44" t="s">
        <v>37</v>
      </c>
    </row>
    <row r="20" spans="1:17">
      <c r="A20" s="143" t="s">
        <v>38</v>
      </c>
      <c r="B20" s="146" t="s">
        <v>39</v>
      </c>
      <c r="C20" s="147"/>
      <c r="D20" s="147"/>
      <c r="E20" s="147"/>
      <c r="F20" s="148"/>
      <c r="G20" s="149" t="s">
        <v>40</v>
      </c>
      <c r="H20" s="147"/>
      <c r="I20" s="147"/>
      <c r="J20" s="147"/>
      <c r="K20" s="150"/>
      <c r="O20" s="51">
        <f>[1]전력단가!G18</f>
        <v>183.14273554840383</v>
      </c>
      <c r="P20" s="3" t="s">
        <v>41</v>
      </c>
      <c r="Q20" s="1" t="s">
        <v>42</v>
      </c>
    </row>
    <row r="21" spans="1:17">
      <c r="A21" s="144"/>
      <c r="B21" s="52" t="s">
        <v>43</v>
      </c>
      <c r="C21" s="52" t="s">
        <v>44</v>
      </c>
      <c r="D21" s="52" t="s">
        <v>45</v>
      </c>
      <c r="E21" s="52" t="s">
        <v>46</v>
      </c>
      <c r="F21" s="53" t="s">
        <v>47</v>
      </c>
      <c r="G21" s="54" t="s">
        <v>43</v>
      </c>
      <c r="H21" s="52" t="s">
        <v>44</v>
      </c>
      <c r="I21" s="52" t="s">
        <v>45</v>
      </c>
      <c r="J21" s="52" t="s">
        <v>46</v>
      </c>
      <c r="K21" s="52" t="s">
        <v>47</v>
      </c>
      <c r="O21" s="55">
        <f>O19*O20/10^6</f>
        <v>19865.719621927445</v>
      </c>
      <c r="P21" s="3" t="s">
        <v>48</v>
      </c>
      <c r="Q21" s="1" t="s">
        <v>49</v>
      </c>
    </row>
    <row r="22" spans="1:17">
      <c r="A22" s="144"/>
      <c r="B22" s="56" t="s">
        <v>50</v>
      </c>
      <c r="C22" s="56" t="s">
        <v>51</v>
      </c>
      <c r="D22" s="56" t="s">
        <v>52</v>
      </c>
      <c r="E22" s="57" t="s">
        <v>53</v>
      </c>
      <c r="F22" s="58" t="s">
        <v>54</v>
      </c>
      <c r="G22" s="59" t="s">
        <v>50</v>
      </c>
      <c r="H22" s="56" t="s">
        <v>51</v>
      </c>
      <c r="I22" s="56" t="s">
        <v>52</v>
      </c>
      <c r="J22" s="57" t="s">
        <v>53</v>
      </c>
      <c r="K22" s="57" t="s">
        <v>54</v>
      </c>
      <c r="O22" s="60">
        <v>30</v>
      </c>
      <c r="P22" s="3" t="s">
        <v>48</v>
      </c>
      <c r="Q22" s="1" t="s">
        <v>55</v>
      </c>
    </row>
    <row r="23" spans="1:17" ht="17.5" thickBot="1">
      <c r="A23" s="145"/>
      <c r="B23" s="61" t="s">
        <v>56</v>
      </c>
      <c r="C23" s="61" t="s">
        <v>57</v>
      </c>
      <c r="D23" s="61" t="s">
        <v>58</v>
      </c>
      <c r="E23" s="62"/>
      <c r="F23" s="63"/>
      <c r="G23" s="64" t="s">
        <v>56</v>
      </c>
      <c r="H23" s="61" t="s">
        <v>57</v>
      </c>
      <c r="I23" s="61" t="s">
        <v>58</v>
      </c>
      <c r="J23" s="62"/>
      <c r="K23" s="62"/>
      <c r="O23" s="55">
        <f>O22/O21</f>
        <v>1.5101391024811661E-3</v>
      </c>
      <c r="P23" s="3" t="s">
        <v>59</v>
      </c>
      <c r="Q23" s="1" t="s">
        <v>60</v>
      </c>
    </row>
    <row r="24" spans="1:17" ht="17.5" thickTop="1">
      <c r="A24" s="65" t="s">
        <v>61</v>
      </c>
      <c r="B24" s="136">
        <f>J9</f>
        <v>30865.77</v>
      </c>
      <c r="C24" s="66">
        <f>O29</f>
        <v>3600</v>
      </c>
      <c r="D24" s="67">
        <f>L9</f>
        <v>111116772</v>
      </c>
      <c r="E24" s="65">
        <v>120</v>
      </c>
      <c r="F24" s="132">
        <f>D24*E24</f>
        <v>13334012640</v>
      </c>
      <c r="G24" s="68">
        <f>J16</f>
        <v>734.87</v>
      </c>
      <c r="H24" s="66">
        <f>O29</f>
        <v>3600</v>
      </c>
      <c r="I24" s="67">
        <f>L16</f>
        <v>2645532</v>
      </c>
      <c r="J24" s="65">
        <v>120</v>
      </c>
      <c r="K24" s="130">
        <f>I24*J24</f>
        <v>317463840</v>
      </c>
    </row>
    <row r="25" spans="1:17">
      <c r="O25" s="1" t="s">
        <v>62</v>
      </c>
    </row>
    <row r="26" spans="1:17">
      <c r="A26" s="1" t="s">
        <v>63</v>
      </c>
      <c r="C26" s="127" t="str">
        <f>TEXT(G9,"0.00") &amp; "%"</f>
        <v>88.44%</v>
      </c>
      <c r="D26" s="1" t="s">
        <v>64</v>
      </c>
      <c r="O26" s="60">
        <v>12</v>
      </c>
      <c r="P26" s="1" t="s">
        <v>65</v>
      </c>
    </row>
    <row r="27" spans="1:17">
      <c r="A27" s="1" t="s">
        <v>66</v>
      </c>
      <c r="O27" s="60">
        <v>25</v>
      </c>
      <c r="P27" s="1" t="s">
        <v>67</v>
      </c>
    </row>
    <row r="28" spans="1:17">
      <c r="A28" s="55">
        <f>I9</f>
        <v>27298.65</v>
      </c>
      <c r="B28" s="1" t="s">
        <v>68</v>
      </c>
      <c r="C28" s="69">
        <f>O29</f>
        <v>3600</v>
      </c>
      <c r="D28" s="70" t="s">
        <v>69</v>
      </c>
      <c r="E28" s="127">
        <f>G9</f>
        <v>88.443119999922246</v>
      </c>
      <c r="F28" s="1" t="s">
        <v>70</v>
      </c>
      <c r="G28" s="131">
        <f>ROUND((A28*C28*E28),0)</f>
        <v>8691760000</v>
      </c>
      <c r="H28" s="1" t="s">
        <v>71</v>
      </c>
      <c r="O28" s="60">
        <v>12</v>
      </c>
      <c r="P28" s="1" t="s">
        <v>72</v>
      </c>
    </row>
    <row r="29" spans="1:17">
      <c r="A29" s="1" t="s">
        <v>73</v>
      </c>
      <c r="L29" s="71"/>
      <c r="O29" s="69">
        <f>ROUND((O26*O27*O28),0)</f>
        <v>3600</v>
      </c>
      <c r="P29" s="1" t="s">
        <v>74</v>
      </c>
    </row>
    <row r="30" spans="1:17">
      <c r="A30" s="1" t="s">
        <v>75</v>
      </c>
      <c r="D30" s="72">
        <f>O9</f>
        <v>29206547.136196505</v>
      </c>
      <c r="E30" s="1" t="s">
        <v>76</v>
      </c>
      <c r="G30" s="72">
        <f>L9</f>
        <v>111116772</v>
      </c>
      <c r="H30" s="1" t="s">
        <v>77</v>
      </c>
    </row>
    <row r="31" spans="1:17">
      <c r="A31" s="1" t="s">
        <v>78</v>
      </c>
      <c r="D31" s="73">
        <f>O13</f>
        <v>29206547.136196505</v>
      </c>
      <c r="E31" s="1" t="s">
        <v>76</v>
      </c>
      <c r="G31" s="73">
        <f>L16</f>
        <v>2645532</v>
      </c>
      <c r="H31" s="1" t="s">
        <v>79</v>
      </c>
    </row>
    <row r="32" spans="1:17">
      <c r="A32" s="1" t="s">
        <v>80</v>
      </c>
      <c r="B32" s="137">
        <f>L9</f>
        <v>111116772</v>
      </c>
      <c r="C32" s="137"/>
      <c r="D32" s="70" t="s">
        <v>81</v>
      </c>
      <c r="E32" s="73">
        <f>L16</f>
        <v>2645532</v>
      </c>
      <c r="F32" s="70" t="s">
        <v>82</v>
      </c>
      <c r="G32" s="72">
        <f>L9-L16</f>
        <v>108471240</v>
      </c>
      <c r="H32" s="1" t="s">
        <v>83</v>
      </c>
    </row>
  </sheetData>
  <sheetProtection formatCells="0" formatColumns="0" formatRows="0" insertColumns="0" insertRows="0"/>
  <mergeCells count="8">
    <mergeCell ref="B32:C32"/>
    <mergeCell ref="A2:L2"/>
    <mergeCell ref="A3:A4"/>
    <mergeCell ref="A11:L11"/>
    <mergeCell ref="A12:A13"/>
    <mergeCell ref="A20:A23"/>
    <mergeCell ref="B20:F20"/>
    <mergeCell ref="G20:K20"/>
  </mergeCells>
  <phoneticPr fontId="2" type="noConversion"/>
  <pageMargins left="0.70866141732283472" right="0.70866141732283472" top="0.74803149606299213" bottom="0.74803149606299213" header="0.31496062992125984" footer="0.31496062992125984"/>
  <pageSetup paperSize="9" scale="89" fitToWidth="0" orientation="landscape" r:id="rId1"/>
  <colBreaks count="1" manualBreakCount="1">
    <brk id="12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프린트미리보기">
                <anchor moveWithCells="1" sizeWithCells="1">
                  <from>
                    <xdr:col>3</xdr:col>
                    <xdr:colOff>285750</xdr:colOff>
                    <xdr:row>36</xdr:row>
                    <xdr:rowOff>139700</xdr:rowOff>
                  </from>
                  <to>
                    <xdr:col>5</xdr:col>
                    <xdr:colOff>139700</xdr:colOff>
                    <xdr:row>41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2BAA-B1BF-4E16-AEAE-ECA3BFCBF3A5}">
  <sheetPr codeName="Sheet16"/>
  <dimension ref="A1:BE66"/>
  <sheetViews>
    <sheetView workbookViewId="0">
      <selection activeCell="Q9" sqref="Q9:S9"/>
    </sheetView>
  </sheetViews>
  <sheetFormatPr defaultRowHeight="17"/>
  <cols>
    <col min="1" max="52" width="1.6640625" style="1" customWidth="1"/>
    <col min="53" max="53" width="12" style="1" bestFit="1" customWidth="1"/>
    <col min="54" max="256" width="8.6640625" style="1"/>
    <col min="257" max="308" width="1.6640625" style="1" customWidth="1"/>
    <col min="309" max="512" width="8.6640625" style="1"/>
    <col min="513" max="564" width="1.6640625" style="1" customWidth="1"/>
    <col min="565" max="768" width="8.6640625" style="1"/>
    <col min="769" max="820" width="1.6640625" style="1" customWidth="1"/>
    <col min="821" max="1024" width="8.6640625" style="1"/>
    <col min="1025" max="1076" width="1.6640625" style="1" customWidth="1"/>
    <col min="1077" max="1280" width="8.6640625" style="1"/>
    <col min="1281" max="1332" width="1.6640625" style="1" customWidth="1"/>
    <col min="1333" max="1536" width="8.6640625" style="1"/>
    <col min="1537" max="1588" width="1.6640625" style="1" customWidth="1"/>
    <col min="1589" max="1792" width="8.6640625" style="1"/>
    <col min="1793" max="1844" width="1.6640625" style="1" customWidth="1"/>
    <col min="1845" max="2048" width="8.6640625" style="1"/>
    <col min="2049" max="2100" width="1.6640625" style="1" customWidth="1"/>
    <col min="2101" max="2304" width="8.6640625" style="1"/>
    <col min="2305" max="2356" width="1.6640625" style="1" customWidth="1"/>
    <col min="2357" max="2560" width="8.6640625" style="1"/>
    <col min="2561" max="2612" width="1.6640625" style="1" customWidth="1"/>
    <col min="2613" max="2816" width="8.6640625" style="1"/>
    <col min="2817" max="2868" width="1.6640625" style="1" customWidth="1"/>
    <col min="2869" max="3072" width="8.6640625" style="1"/>
    <col min="3073" max="3124" width="1.6640625" style="1" customWidth="1"/>
    <col min="3125" max="3328" width="8.6640625" style="1"/>
    <col min="3329" max="3380" width="1.6640625" style="1" customWidth="1"/>
    <col min="3381" max="3584" width="8.6640625" style="1"/>
    <col min="3585" max="3636" width="1.6640625" style="1" customWidth="1"/>
    <col min="3637" max="3840" width="8.6640625" style="1"/>
    <col min="3841" max="3892" width="1.6640625" style="1" customWidth="1"/>
    <col min="3893" max="4096" width="8.6640625" style="1"/>
    <col min="4097" max="4148" width="1.6640625" style="1" customWidth="1"/>
    <col min="4149" max="4352" width="8.6640625" style="1"/>
    <col min="4353" max="4404" width="1.6640625" style="1" customWidth="1"/>
    <col min="4405" max="4608" width="8.6640625" style="1"/>
    <col min="4609" max="4660" width="1.6640625" style="1" customWidth="1"/>
    <col min="4661" max="4864" width="8.6640625" style="1"/>
    <col min="4865" max="4916" width="1.6640625" style="1" customWidth="1"/>
    <col min="4917" max="5120" width="8.6640625" style="1"/>
    <col min="5121" max="5172" width="1.6640625" style="1" customWidth="1"/>
    <col min="5173" max="5376" width="8.6640625" style="1"/>
    <col min="5377" max="5428" width="1.6640625" style="1" customWidth="1"/>
    <col min="5429" max="5632" width="8.6640625" style="1"/>
    <col min="5633" max="5684" width="1.6640625" style="1" customWidth="1"/>
    <col min="5685" max="5888" width="8.6640625" style="1"/>
    <col min="5889" max="5940" width="1.6640625" style="1" customWidth="1"/>
    <col min="5941" max="6144" width="8.6640625" style="1"/>
    <col min="6145" max="6196" width="1.6640625" style="1" customWidth="1"/>
    <col min="6197" max="6400" width="8.6640625" style="1"/>
    <col min="6401" max="6452" width="1.6640625" style="1" customWidth="1"/>
    <col min="6453" max="6656" width="8.6640625" style="1"/>
    <col min="6657" max="6708" width="1.6640625" style="1" customWidth="1"/>
    <col min="6709" max="6912" width="8.6640625" style="1"/>
    <col min="6913" max="6964" width="1.6640625" style="1" customWidth="1"/>
    <col min="6965" max="7168" width="8.6640625" style="1"/>
    <col min="7169" max="7220" width="1.6640625" style="1" customWidth="1"/>
    <col min="7221" max="7424" width="8.6640625" style="1"/>
    <col min="7425" max="7476" width="1.6640625" style="1" customWidth="1"/>
    <col min="7477" max="7680" width="8.6640625" style="1"/>
    <col min="7681" max="7732" width="1.6640625" style="1" customWidth="1"/>
    <col min="7733" max="7936" width="8.6640625" style="1"/>
    <col min="7937" max="7988" width="1.6640625" style="1" customWidth="1"/>
    <col min="7989" max="8192" width="8.6640625" style="1"/>
    <col min="8193" max="8244" width="1.6640625" style="1" customWidth="1"/>
    <col min="8245" max="8448" width="8.6640625" style="1"/>
    <col min="8449" max="8500" width="1.6640625" style="1" customWidth="1"/>
    <col min="8501" max="8704" width="8.6640625" style="1"/>
    <col min="8705" max="8756" width="1.6640625" style="1" customWidth="1"/>
    <col min="8757" max="8960" width="8.6640625" style="1"/>
    <col min="8961" max="9012" width="1.6640625" style="1" customWidth="1"/>
    <col min="9013" max="9216" width="8.6640625" style="1"/>
    <col min="9217" max="9268" width="1.6640625" style="1" customWidth="1"/>
    <col min="9269" max="9472" width="8.6640625" style="1"/>
    <col min="9473" max="9524" width="1.6640625" style="1" customWidth="1"/>
    <col min="9525" max="9728" width="8.6640625" style="1"/>
    <col min="9729" max="9780" width="1.6640625" style="1" customWidth="1"/>
    <col min="9781" max="9984" width="8.6640625" style="1"/>
    <col min="9985" max="10036" width="1.6640625" style="1" customWidth="1"/>
    <col min="10037" max="10240" width="8.6640625" style="1"/>
    <col min="10241" max="10292" width="1.6640625" style="1" customWidth="1"/>
    <col min="10293" max="10496" width="8.6640625" style="1"/>
    <col min="10497" max="10548" width="1.6640625" style="1" customWidth="1"/>
    <col min="10549" max="10752" width="8.6640625" style="1"/>
    <col min="10753" max="10804" width="1.6640625" style="1" customWidth="1"/>
    <col min="10805" max="11008" width="8.6640625" style="1"/>
    <col min="11009" max="11060" width="1.6640625" style="1" customWidth="1"/>
    <col min="11061" max="11264" width="8.6640625" style="1"/>
    <col min="11265" max="11316" width="1.6640625" style="1" customWidth="1"/>
    <col min="11317" max="11520" width="8.6640625" style="1"/>
    <col min="11521" max="11572" width="1.6640625" style="1" customWidth="1"/>
    <col min="11573" max="11776" width="8.6640625" style="1"/>
    <col min="11777" max="11828" width="1.6640625" style="1" customWidth="1"/>
    <col min="11829" max="12032" width="8.6640625" style="1"/>
    <col min="12033" max="12084" width="1.6640625" style="1" customWidth="1"/>
    <col min="12085" max="12288" width="8.6640625" style="1"/>
    <col min="12289" max="12340" width="1.6640625" style="1" customWidth="1"/>
    <col min="12341" max="12544" width="8.6640625" style="1"/>
    <col min="12545" max="12596" width="1.6640625" style="1" customWidth="1"/>
    <col min="12597" max="12800" width="8.6640625" style="1"/>
    <col min="12801" max="12852" width="1.6640625" style="1" customWidth="1"/>
    <col min="12853" max="13056" width="8.6640625" style="1"/>
    <col min="13057" max="13108" width="1.6640625" style="1" customWidth="1"/>
    <col min="13109" max="13312" width="8.6640625" style="1"/>
    <col min="13313" max="13364" width="1.6640625" style="1" customWidth="1"/>
    <col min="13365" max="13568" width="8.6640625" style="1"/>
    <col min="13569" max="13620" width="1.6640625" style="1" customWidth="1"/>
    <col min="13621" max="13824" width="8.6640625" style="1"/>
    <col min="13825" max="13876" width="1.6640625" style="1" customWidth="1"/>
    <col min="13877" max="14080" width="8.6640625" style="1"/>
    <col min="14081" max="14132" width="1.6640625" style="1" customWidth="1"/>
    <col min="14133" max="14336" width="8.6640625" style="1"/>
    <col min="14337" max="14388" width="1.6640625" style="1" customWidth="1"/>
    <col min="14389" max="14592" width="8.6640625" style="1"/>
    <col min="14593" max="14644" width="1.6640625" style="1" customWidth="1"/>
    <col min="14645" max="14848" width="8.6640625" style="1"/>
    <col min="14849" max="14900" width="1.6640625" style="1" customWidth="1"/>
    <col min="14901" max="15104" width="8.6640625" style="1"/>
    <col min="15105" max="15156" width="1.6640625" style="1" customWidth="1"/>
    <col min="15157" max="15360" width="8.6640625" style="1"/>
    <col min="15361" max="15412" width="1.6640625" style="1" customWidth="1"/>
    <col min="15413" max="15616" width="8.6640625" style="1"/>
    <col min="15617" max="15668" width="1.6640625" style="1" customWidth="1"/>
    <col min="15669" max="15872" width="8.6640625" style="1"/>
    <col min="15873" max="15924" width="1.6640625" style="1" customWidth="1"/>
    <col min="15925" max="16128" width="8.6640625" style="1"/>
    <col min="16129" max="16180" width="1.6640625" style="1" customWidth="1"/>
    <col min="16181" max="16384" width="8.6640625" style="1"/>
  </cols>
  <sheetData>
    <row r="1" spans="1:47" ht="21">
      <c r="A1" s="74" t="s">
        <v>84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6"/>
    </row>
    <row r="2" spans="1:47" ht="17.5">
      <c r="A2" s="77" t="s">
        <v>85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6"/>
    </row>
    <row r="3" spans="1:47" ht="7" customHeight="1">
      <c r="A3" s="79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2"/>
    </row>
    <row r="4" spans="1:47" ht="16" customHeight="1">
      <c r="A4" s="83" t="s">
        <v>86</v>
      </c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AU4" s="85"/>
    </row>
    <row r="5" spans="1:47" ht="7" customHeight="1">
      <c r="A5" s="83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AU5" s="85"/>
    </row>
    <row r="6" spans="1:47" ht="16" customHeight="1">
      <c r="A6" s="83" t="s">
        <v>87</v>
      </c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7"/>
    </row>
    <row r="7" spans="1:47" ht="7" customHeight="1">
      <c r="A7" s="83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7"/>
    </row>
    <row r="8" spans="1:47" ht="16" customHeight="1">
      <c r="A8" s="83" t="s">
        <v>88</v>
      </c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7"/>
    </row>
    <row r="9" spans="1:47" ht="16" customHeight="1">
      <c r="A9" s="83" t="s">
        <v>89</v>
      </c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171">
        <f>[1]산출서!L9</f>
        <v>67.31</v>
      </c>
      <c r="R9" s="171"/>
      <c r="S9" s="171"/>
      <c r="T9" s="86" t="s">
        <v>90</v>
      </c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7"/>
    </row>
    <row r="10" spans="1:47" ht="16" customHeight="1">
      <c r="A10" s="83" t="s">
        <v>91</v>
      </c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159">
        <f>[1]산출서!L16</f>
        <v>52.62</v>
      </c>
      <c r="R10" s="159"/>
      <c r="S10" s="159"/>
      <c r="T10" s="86" t="s">
        <v>92</v>
      </c>
      <c r="U10" s="86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9"/>
    </row>
    <row r="11" spans="1:47" ht="7" customHeight="1">
      <c r="A11" s="83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9"/>
    </row>
    <row r="12" spans="1:47" ht="16" customHeight="1">
      <c r="A12" s="184" t="s">
        <v>93</v>
      </c>
      <c r="B12" s="179"/>
      <c r="C12" s="179"/>
      <c r="D12" s="179"/>
      <c r="E12" s="179"/>
      <c r="F12" s="179"/>
      <c r="G12" s="179"/>
      <c r="H12" s="90" t="s">
        <v>94</v>
      </c>
      <c r="I12" s="90"/>
      <c r="J12" s="90"/>
      <c r="K12" s="90"/>
      <c r="L12" s="90" t="s">
        <v>95</v>
      </c>
      <c r="M12" s="90" t="s">
        <v>96</v>
      </c>
      <c r="N12" s="90"/>
      <c r="O12" s="90"/>
      <c r="P12" s="90"/>
      <c r="Q12" s="185" t="s">
        <v>97</v>
      </c>
      <c r="R12" s="185"/>
      <c r="S12" s="186">
        <f>Q9</f>
        <v>67.31</v>
      </c>
      <c r="T12" s="186"/>
      <c r="U12" s="186"/>
      <c r="V12" s="91" t="s">
        <v>98</v>
      </c>
      <c r="W12" s="91"/>
      <c r="X12" s="91"/>
      <c r="Y12" s="91" t="s">
        <v>95</v>
      </c>
      <c r="Z12" s="186">
        <f>Q10</f>
        <v>52.62</v>
      </c>
      <c r="AA12" s="186"/>
      <c r="AB12" s="186"/>
      <c r="AC12" s="91" t="s">
        <v>98</v>
      </c>
      <c r="AD12" s="91"/>
      <c r="AE12" s="91"/>
      <c r="AF12" s="177" t="s">
        <v>99</v>
      </c>
      <c r="AG12" s="177"/>
      <c r="AH12" s="177"/>
      <c r="AI12" s="177"/>
      <c r="AJ12" s="177"/>
      <c r="AK12" s="178">
        <f>1-(Q10/Q9)</f>
        <v>0.21824394592185414</v>
      </c>
      <c r="AL12" s="178"/>
      <c r="AM12" s="178"/>
      <c r="AN12" s="178"/>
      <c r="AO12" s="177" t="s">
        <v>100</v>
      </c>
      <c r="AP12" s="177"/>
      <c r="AQ12" s="88"/>
      <c r="AR12" s="88"/>
      <c r="AS12" s="88"/>
      <c r="AT12" s="88"/>
      <c r="AU12" s="89"/>
    </row>
    <row r="13" spans="1:47" ht="16" customHeight="1">
      <c r="A13" s="184"/>
      <c r="B13" s="179"/>
      <c r="C13" s="179"/>
      <c r="D13" s="179"/>
      <c r="E13" s="179"/>
      <c r="F13" s="179"/>
      <c r="G13" s="179"/>
      <c r="H13" s="179" t="s">
        <v>94</v>
      </c>
      <c r="I13" s="179"/>
      <c r="J13" s="179"/>
      <c r="K13" s="179"/>
      <c r="L13" s="179"/>
      <c r="M13" s="179"/>
      <c r="N13" s="179"/>
      <c r="O13" s="179"/>
      <c r="P13" s="179"/>
      <c r="Q13" s="185"/>
      <c r="R13" s="185"/>
      <c r="S13" s="86"/>
      <c r="T13" s="86"/>
      <c r="U13" s="86"/>
      <c r="V13" s="180">
        <f>Q9</f>
        <v>67.31</v>
      </c>
      <c r="W13" s="181"/>
      <c r="X13" s="181"/>
      <c r="Y13" s="181"/>
      <c r="Z13" s="88" t="s">
        <v>98</v>
      </c>
      <c r="AA13" s="88"/>
      <c r="AB13" s="88"/>
      <c r="AC13" s="88"/>
      <c r="AD13" s="88"/>
      <c r="AE13" s="88"/>
      <c r="AF13" s="177"/>
      <c r="AG13" s="177"/>
      <c r="AH13" s="177"/>
      <c r="AI13" s="177"/>
      <c r="AJ13" s="177"/>
      <c r="AK13" s="178"/>
      <c r="AL13" s="178"/>
      <c r="AM13" s="178"/>
      <c r="AN13" s="178"/>
      <c r="AO13" s="177"/>
      <c r="AP13" s="177"/>
      <c r="AQ13" s="88"/>
      <c r="AR13" s="88"/>
      <c r="AS13" s="88"/>
      <c r="AT13" s="88"/>
      <c r="AU13" s="89"/>
    </row>
    <row r="14" spans="1:47" ht="7" customHeight="1">
      <c r="A14" s="83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9"/>
    </row>
    <row r="15" spans="1:47" ht="16" customHeight="1">
      <c r="A15" s="83" t="s">
        <v>101</v>
      </c>
      <c r="C15" s="86"/>
      <c r="D15" s="86"/>
      <c r="E15" s="86"/>
      <c r="F15" s="86"/>
      <c r="G15" s="86"/>
      <c r="H15" s="86"/>
      <c r="I15" s="182">
        <f>[1]산출서!Q29</f>
        <v>3600</v>
      </c>
      <c r="J15" s="182"/>
      <c r="K15" s="182"/>
      <c r="L15" s="86" t="s">
        <v>102</v>
      </c>
      <c r="M15" s="86"/>
      <c r="N15" s="86"/>
      <c r="O15" s="86"/>
      <c r="P15" s="86"/>
      <c r="Q15" s="169">
        <f>[1]산출서!Q26</f>
        <v>12</v>
      </c>
      <c r="R15" s="169"/>
      <c r="S15" s="86" t="s">
        <v>103</v>
      </c>
      <c r="T15" s="86"/>
      <c r="U15" s="86"/>
      <c r="V15" s="88"/>
      <c r="W15" s="155">
        <f>[1]산출서!Q27</f>
        <v>25</v>
      </c>
      <c r="X15" s="155"/>
      <c r="Y15" s="88" t="s">
        <v>104</v>
      </c>
      <c r="Z15" s="88"/>
      <c r="AA15" s="88"/>
      <c r="AB15" s="183">
        <f>[1]산출서!Q28</f>
        <v>12</v>
      </c>
      <c r="AC15" s="183"/>
      <c r="AD15" s="88" t="s">
        <v>105</v>
      </c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9"/>
    </row>
    <row r="16" spans="1:47" ht="16" customHeight="1">
      <c r="A16" s="83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9"/>
    </row>
    <row r="17" spans="1:53" ht="16" customHeight="1">
      <c r="A17" s="83" t="s">
        <v>106</v>
      </c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8"/>
      <c r="AL17" s="88"/>
      <c r="AM17" s="88"/>
      <c r="AN17" s="88"/>
      <c r="AO17" s="88"/>
      <c r="AP17" s="88"/>
      <c r="AQ17" s="88"/>
      <c r="AR17" s="88"/>
      <c r="AS17" s="88"/>
      <c r="AT17" s="88"/>
      <c r="AU17" s="89"/>
    </row>
    <row r="18" spans="1:53" ht="16" customHeight="1">
      <c r="A18" s="83" t="s">
        <v>107</v>
      </c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9"/>
    </row>
    <row r="19" spans="1:53" ht="16" customHeight="1">
      <c r="A19" s="83" t="s">
        <v>108</v>
      </c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8"/>
      <c r="W19" s="88"/>
      <c r="X19" s="171">
        <f>Q9</f>
        <v>67.31</v>
      </c>
      <c r="Y19" s="171"/>
      <c r="Z19" s="171"/>
      <c r="AA19" s="88" t="s">
        <v>109</v>
      </c>
      <c r="AB19" s="88"/>
      <c r="AC19" s="88"/>
      <c r="AD19" s="88"/>
      <c r="AE19" s="172">
        <f>I15</f>
        <v>3600</v>
      </c>
      <c r="AF19" s="171"/>
      <c r="AG19" s="171"/>
      <c r="AH19" s="88" t="s">
        <v>110</v>
      </c>
      <c r="AI19" s="88"/>
      <c r="AJ19" s="88"/>
      <c r="AK19" s="88"/>
      <c r="AL19" s="88"/>
      <c r="AM19" s="166">
        <f>ROUND((X19*AE19),0)</f>
        <v>242316</v>
      </c>
      <c r="AN19" s="166"/>
      <c r="AO19" s="166"/>
      <c r="AP19" s="166"/>
      <c r="AQ19" s="88" t="s">
        <v>71</v>
      </c>
      <c r="AR19" s="88"/>
      <c r="AS19" s="88"/>
      <c r="AT19" s="88"/>
      <c r="AU19" s="89"/>
      <c r="BA19" s="92"/>
    </row>
    <row r="20" spans="1:53" ht="16" customHeight="1">
      <c r="A20" s="83" t="s">
        <v>111</v>
      </c>
      <c r="B20" s="86"/>
      <c r="C20" s="173">
        <f>AM19/1000</f>
        <v>242.316</v>
      </c>
      <c r="D20" s="173"/>
      <c r="E20" s="173"/>
      <c r="F20" s="86" t="s">
        <v>112</v>
      </c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8"/>
      <c r="W20" s="174">
        <f>C20*0.229</f>
        <v>55.490364</v>
      </c>
      <c r="X20" s="174"/>
      <c r="Y20" s="174"/>
      <c r="Z20" s="174"/>
      <c r="AA20" s="88" t="s">
        <v>113</v>
      </c>
      <c r="AB20" s="88"/>
      <c r="AC20" s="176">
        <f>W20</f>
        <v>55.490364</v>
      </c>
      <c r="AD20" s="176"/>
      <c r="AE20" s="176"/>
      <c r="AF20" s="176"/>
      <c r="AG20" s="88" t="s">
        <v>114</v>
      </c>
      <c r="AH20" s="88"/>
      <c r="AI20" s="88"/>
      <c r="AJ20" s="88"/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9"/>
    </row>
    <row r="21" spans="1:53" ht="15" customHeight="1">
      <c r="A21" s="83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9"/>
    </row>
    <row r="22" spans="1:53" ht="16" customHeight="1">
      <c r="A22" s="83" t="s">
        <v>115</v>
      </c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9"/>
    </row>
    <row r="23" spans="1:53" ht="16" customHeight="1">
      <c r="A23" s="83" t="s">
        <v>116</v>
      </c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8"/>
      <c r="W23" s="88"/>
      <c r="X23" s="171">
        <f>Q10</f>
        <v>52.62</v>
      </c>
      <c r="Y23" s="171"/>
      <c r="Z23" s="171"/>
      <c r="AA23" s="88" t="s">
        <v>109</v>
      </c>
      <c r="AB23" s="88"/>
      <c r="AC23" s="88"/>
      <c r="AD23" s="88"/>
      <c r="AE23" s="172">
        <f>I15</f>
        <v>3600</v>
      </c>
      <c r="AF23" s="171"/>
      <c r="AG23" s="171"/>
      <c r="AH23" s="88" t="s">
        <v>110</v>
      </c>
      <c r="AI23" s="88"/>
      <c r="AJ23" s="88"/>
      <c r="AK23" s="88"/>
      <c r="AL23" s="88"/>
      <c r="AM23" s="166">
        <f>ROUND((X23*AE23),0)</f>
        <v>189432</v>
      </c>
      <c r="AN23" s="166"/>
      <c r="AO23" s="166"/>
      <c r="AP23" s="166"/>
      <c r="AQ23" s="88" t="s">
        <v>71</v>
      </c>
      <c r="AR23" s="88"/>
      <c r="AS23" s="88"/>
      <c r="AT23" s="88"/>
      <c r="AU23" s="89"/>
    </row>
    <row r="24" spans="1:53" ht="16" customHeight="1">
      <c r="A24" s="83" t="s">
        <v>111</v>
      </c>
      <c r="B24" s="86"/>
      <c r="C24" s="173">
        <f>AM23/1000</f>
        <v>189.43199999999999</v>
      </c>
      <c r="D24" s="173"/>
      <c r="E24" s="173"/>
      <c r="F24" s="86" t="s">
        <v>112</v>
      </c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8"/>
      <c r="W24" s="174">
        <f>C24*0.229</f>
        <v>43.379928</v>
      </c>
      <c r="X24" s="174"/>
      <c r="Y24" s="174"/>
      <c r="Z24" s="174"/>
      <c r="AA24" s="88" t="s">
        <v>113</v>
      </c>
      <c r="AB24" s="88"/>
      <c r="AC24" s="175">
        <f>W24</f>
        <v>43.379928</v>
      </c>
      <c r="AD24" s="175"/>
      <c r="AE24" s="175"/>
      <c r="AF24" s="175"/>
      <c r="AG24" s="88" t="s">
        <v>114</v>
      </c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8"/>
      <c r="AS24" s="88"/>
      <c r="AT24" s="88"/>
      <c r="AU24" s="89"/>
    </row>
    <row r="25" spans="1:53" ht="15" customHeight="1">
      <c r="A25" s="83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/>
      <c r="AI25" s="88"/>
      <c r="AJ25" s="88"/>
      <c r="AK25" s="88"/>
      <c r="AL25" s="88"/>
      <c r="AM25" s="88"/>
      <c r="AN25" s="88"/>
      <c r="AO25" s="88"/>
      <c r="AP25" s="88"/>
      <c r="AQ25" s="88"/>
      <c r="AR25" s="88"/>
      <c r="AS25" s="88"/>
      <c r="AT25" s="88"/>
      <c r="AU25" s="89"/>
    </row>
    <row r="26" spans="1:53" ht="16" customHeight="1">
      <c r="A26" s="83" t="s">
        <v>117</v>
      </c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8"/>
      <c r="AS26" s="88"/>
      <c r="AT26" s="88"/>
      <c r="AU26" s="89"/>
    </row>
    <row r="27" spans="1:53" ht="16" customHeight="1">
      <c r="A27" s="83" t="s">
        <v>118</v>
      </c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8"/>
      <c r="AS27" s="88"/>
      <c r="AT27" s="88"/>
      <c r="AU27" s="89"/>
    </row>
    <row r="28" spans="1:53" ht="16" customHeight="1">
      <c r="A28" s="83" t="s">
        <v>111</v>
      </c>
      <c r="B28" s="86"/>
      <c r="C28" s="166">
        <f>AM19</f>
        <v>242316</v>
      </c>
      <c r="D28" s="167"/>
      <c r="E28" s="167"/>
      <c r="F28" s="167"/>
      <c r="G28" s="86" t="s">
        <v>119</v>
      </c>
      <c r="H28" s="86"/>
      <c r="I28" s="86"/>
      <c r="J28" s="86"/>
      <c r="K28" s="86"/>
      <c r="L28" s="86"/>
      <c r="M28" s="86"/>
      <c r="N28" s="166">
        <f>AM23</f>
        <v>189432</v>
      </c>
      <c r="O28" s="167"/>
      <c r="P28" s="167"/>
      <c r="Q28" s="167"/>
      <c r="R28" s="86" t="s">
        <v>120</v>
      </c>
      <c r="S28" s="86"/>
      <c r="T28" s="86"/>
      <c r="U28" s="86"/>
      <c r="V28" s="88"/>
      <c r="W28" s="88"/>
      <c r="X28" s="158">
        <f>C28-N28</f>
        <v>52884</v>
      </c>
      <c r="Y28" s="159"/>
      <c r="Z28" s="159"/>
      <c r="AA28" s="159"/>
      <c r="AB28" s="159"/>
      <c r="AC28" s="88" t="s">
        <v>71</v>
      </c>
      <c r="AD28" s="88"/>
      <c r="AE28" s="88"/>
      <c r="AF28" s="88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8"/>
      <c r="AS28" s="88"/>
      <c r="AT28" s="88"/>
      <c r="AU28" s="89"/>
      <c r="BA28" s="93"/>
    </row>
    <row r="29" spans="1:53" ht="16" customHeight="1">
      <c r="A29" s="83" t="s">
        <v>111</v>
      </c>
      <c r="B29" s="86"/>
      <c r="C29" s="168">
        <f>AC20</f>
        <v>55.490364</v>
      </c>
      <c r="D29" s="169"/>
      <c r="E29" s="169"/>
      <c r="F29" s="86" t="s">
        <v>121</v>
      </c>
      <c r="G29" s="86"/>
      <c r="H29" s="86"/>
      <c r="I29" s="86"/>
      <c r="J29" s="86"/>
      <c r="K29" s="86"/>
      <c r="L29" s="170">
        <f>AC24</f>
        <v>43.379928</v>
      </c>
      <c r="M29" s="171"/>
      <c r="N29" s="171"/>
      <c r="O29" s="86" t="s">
        <v>122</v>
      </c>
      <c r="P29" s="86"/>
      <c r="Q29" s="86"/>
      <c r="R29" s="86"/>
      <c r="S29" s="86"/>
      <c r="T29" s="86"/>
      <c r="U29" s="164">
        <f>C29-L29</f>
        <v>12.110436</v>
      </c>
      <c r="V29" s="151"/>
      <c r="W29" s="151"/>
      <c r="X29" s="151"/>
      <c r="Y29" s="88" t="s">
        <v>114</v>
      </c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8"/>
      <c r="AS29" s="88"/>
      <c r="AT29" s="88"/>
      <c r="AU29" s="89"/>
    </row>
    <row r="30" spans="1:53" ht="16" customHeight="1">
      <c r="A30" s="83" t="s">
        <v>111</v>
      </c>
      <c r="B30" s="86"/>
      <c r="C30" s="151">
        <f>ROUND((X28/1000),2)</f>
        <v>52.88</v>
      </c>
      <c r="D30" s="151"/>
      <c r="E30" s="151"/>
      <c r="F30" s="151"/>
      <c r="G30" s="86" t="s">
        <v>123</v>
      </c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8"/>
      <c r="W30" s="88"/>
      <c r="X30" s="163">
        <f>C30*0.229</f>
        <v>12.109520000000002</v>
      </c>
      <c r="Y30" s="163"/>
      <c r="Z30" s="163"/>
      <c r="AA30" s="163"/>
      <c r="AB30" s="88" t="s">
        <v>124</v>
      </c>
      <c r="AC30" s="88"/>
      <c r="AD30" s="164">
        <f>X30</f>
        <v>12.109520000000002</v>
      </c>
      <c r="AE30" s="164"/>
      <c r="AF30" s="164"/>
      <c r="AG30" s="164"/>
      <c r="AH30" s="88" t="s">
        <v>114</v>
      </c>
      <c r="AI30" s="88"/>
      <c r="AJ30" s="88"/>
      <c r="AK30" s="88"/>
      <c r="AL30" s="88"/>
      <c r="AM30" s="88"/>
      <c r="AN30" s="88"/>
      <c r="AO30" s="88"/>
      <c r="AP30" s="88"/>
      <c r="AQ30" s="88"/>
      <c r="AR30" s="88"/>
      <c r="AS30" s="88"/>
      <c r="AT30" s="88"/>
      <c r="AU30" s="89"/>
    </row>
    <row r="31" spans="1:53" ht="15" customHeight="1">
      <c r="A31" s="83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8"/>
      <c r="AS31" s="88"/>
      <c r="AT31" s="88"/>
      <c r="AU31" s="89"/>
    </row>
    <row r="32" spans="1:53" ht="16" customHeight="1">
      <c r="A32" s="83" t="s">
        <v>125</v>
      </c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88"/>
      <c r="AL32" s="88"/>
      <c r="AM32" s="88"/>
      <c r="AN32" s="88"/>
      <c r="AO32" s="88"/>
      <c r="AP32" s="88"/>
      <c r="AQ32" s="88"/>
      <c r="AR32" s="88"/>
      <c r="AS32" s="88"/>
      <c r="AT32" s="88"/>
      <c r="AU32" s="89"/>
    </row>
    <row r="33" spans="1:47" ht="16" customHeight="1">
      <c r="A33" s="83" t="s">
        <v>126</v>
      </c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8"/>
      <c r="AS33" s="88"/>
      <c r="AT33" s="88"/>
      <c r="AU33" s="89"/>
    </row>
    <row r="34" spans="1:47" ht="16" customHeight="1">
      <c r="A34" s="83" t="s">
        <v>111</v>
      </c>
      <c r="B34" s="86"/>
      <c r="C34" s="164">
        <f>AD30</f>
        <v>12.109520000000002</v>
      </c>
      <c r="D34" s="151"/>
      <c r="E34" s="151"/>
      <c r="F34" s="151"/>
      <c r="G34" s="86" t="s">
        <v>127</v>
      </c>
      <c r="H34" s="86"/>
      <c r="I34" s="86"/>
      <c r="J34" s="86"/>
      <c r="K34" s="86"/>
      <c r="L34" s="86"/>
      <c r="M34" s="164">
        <f>AC20</f>
        <v>55.490364</v>
      </c>
      <c r="N34" s="151"/>
      <c r="O34" s="151"/>
      <c r="P34" s="151"/>
      <c r="Q34" s="86" t="s">
        <v>128</v>
      </c>
      <c r="R34" s="86"/>
      <c r="S34" s="86"/>
      <c r="T34" s="86"/>
      <c r="U34" s="86"/>
      <c r="V34" s="88"/>
      <c r="W34" s="88"/>
      <c r="X34" s="88"/>
      <c r="Y34" s="88"/>
      <c r="Z34" s="88"/>
      <c r="AA34" s="88"/>
      <c r="AB34" s="165">
        <f>C34/M34</f>
        <v>0.21822743855131319</v>
      </c>
      <c r="AC34" s="165"/>
      <c r="AD34" s="165"/>
      <c r="AE34" s="165"/>
      <c r="AF34" s="88" t="s">
        <v>124</v>
      </c>
      <c r="AG34" s="88"/>
      <c r="AH34" s="157">
        <f>AB34</f>
        <v>0.21822743855131319</v>
      </c>
      <c r="AI34" s="157"/>
      <c r="AJ34" s="157"/>
      <c r="AK34" s="157"/>
      <c r="AL34" s="88"/>
      <c r="AM34" s="88"/>
      <c r="AN34" s="88"/>
      <c r="AO34" s="88"/>
      <c r="AP34" s="88"/>
      <c r="AQ34" s="88"/>
      <c r="AR34" s="88"/>
      <c r="AS34" s="88"/>
      <c r="AT34" s="88"/>
      <c r="AU34" s="89"/>
    </row>
    <row r="35" spans="1:47" ht="15" customHeight="1">
      <c r="A35" s="83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88"/>
      <c r="AN35" s="88"/>
      <c r="AO35" s="88"/>
      <c r="AP35" s="88"/>
      <c r="AQ35" s="88"/>
      <c r="AR35" s="88"/>
      <c r="AS35" s="88"/>
      <c r="AT35" s="88"/>
      <c r="AU35" s="89"/>
    </row>
    <row r="36" spans="1:47" ht="16" customHeight="1">
      <c r="A36" s="83" t="s">
        <v>129</v>
      </c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8"/>
      <c r="AS36" s="88"/>
      <c r="AT36" s="88"/>
      <c r="AU36" s="89"/>
    </row>
    <row r="37" spans="1:47" ht="16" customHeight="1">
      <c r="A37" s="83" t="s">
        <v>111</v>
      </c>
      <c r="B37" s="86"/>
      <c r="C37" s="158">
        <f>X28</f>
        <v>52884</v>
      </c>
      <c r="D37" s="159"/>
      <c r="E37" s="159"/>
      <c r="F37" s="159"/>
      <c r="G37" s="86" t="s">
        <v>130</v>
      </c>
      <c r="H37" s="86"/>
      <c r="I37" s="86"/>
      <c r="J37" s="86"/>
      <c r="K37" s="86"/>
      <c r="L37" s="86"/>
      <c r="M37" s="86"/>
      <c r="N37" s="160">
        <f>[1]산출서!Q20</f>
        <v>183.14273554840383</v>
      </c>
      <c r="O37" s="160"/>
      <c r="P37" s="160"/>
      <c r="Q37" s="160"/>
      <c r="R37" s="86" t="s">
        <v>131</v>
      </c>
      <c r="S37" s="86"/>
      <c r="T37" s="86"/>
      <c r="U37" s="86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8"/>
      <c r="AS37" s="88"/>
      <c r="AT37" s="88"/>
      <c r="AU37" s="89"/>
    </row>
    <row r="38" spans="1:47" ht="16" customHeight="1">
      <c r="A38" s="83" t="s">
        <v>111</v>
      </c>
      <c r="B38" s="86"/>
      <c r="C38" s="161">
        <f>C37*N37/10^3</f>
        <v>9685.3204267417877</v>
      </c>
      <c r="D38" s="161"/>
      <c r="E38" s="161"/>
      <c r="F38" s="161"/>
      <c r="G38" s="161"/>
      <c r="H38" s="86" t="s">
        <v>124</v>
      </c>
      <c r="I38" s="86"/>
      <c r="J38" s="162">
        <f>C38</f>
        <v>9685.3204267417877</v>
      </c>
      <c r="K38" s="162"/>
      <c r="L38" s="162"/>
      <c r="M38" s="162"/>
      <c r="N38" s="162"/>
      <c r="O38" s="86" t="s">
        <v>132</v>
      </c>
      <c r="P38" s="86"/>
      <c r="Q38" s="86"/>
      <c r="R38" s="86"/>
      <c r="S38" s="86"/>
      <c r="T38" s="86"/>
      <c r="U38" s="86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8"/>
      <c r="AS38" s="88"/>
      <c r="AT38" s="88"/>
      <c r="AU38" s="89"/>
    </row>
    <row r="39" spans="1:47" ht="15" customHeight="1">
      <c r="A39" s="83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8"/>
      <c r="AS39" s="88"/>
      <c r="AT39" s="88"/>
      <c r="AU39" s="89"/>
    </row>
    <row r="40" spans="1:47" ht="16" customHeight="1">
      <c r="A40" s="83" t="s">
        <v>133</v>
      </c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8"/>
      <c r="AS40" s="88"/>
      <c r="AT40" s="88"/>
      <c r="AU40" s="89"/>
    </row>
    <row r="41" spans="1:47" ht="16" customHeight="1">
      <c r="A41" s="83" t="s">
        <v>134</v>
      </c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88"/>
      <c r="AO41" s="88"/>
      <c r="AP41" s="88"/>
      <c r="AQ41" s="88"/>
      <c r="AR41" s="88"/>
      <c r="AS41" s="88"/>
      <c r="AT41" s="88"/>
      <c r="AU41" s="89"/>
    </row>
    <row r="42" spans="1:47" ht="16" customHeight="1">
      <c r="A42" s="83" t="s">
        <v>135</v>
      </c>
      <c r="B42" s="86"/>
      <c r="C42" s="151">
        <f>C30</f>
        <v>52.88</v>
      </c>
      <c r="D42" s="151"/>
      <c r="E42" s="151"/>
      <c r="F42" s="151"/>
      <c r="G42" s="86" t="s">
        <v>136</v>
      </c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8"/>
      <c r="AS42" s="88"/>
      <c r="AT42" s="88"/>
      <c r="AU42" s="89"/>
    </row>
    <row r="43" spans="1:47" ht="16" customHeight="1">
      <c r="A43" s="83" t="s">
        <v>137</v>
      </c>
      <c r="B43" s="86"/>
      <c r="C43" s="151">
        <f>L43*12/44</f>
        <v>6.7104720000000011</v>
      </c>
      <c r="D43" s="151"/>
      <c r="E43" s="151"/>
      <c r="F43" s="151"/>
      <c r="G43" s="86" t="s">
        <v>138</v>
      </c>
      <c r="H43" s="86"/>
      <c r="I43" s="86"/>
      <c r="J43" s="86"/>
      <c r="K43" s="86"/>
      <c r="L43" s="152">
        <f>C42*0.4653</f>
        <v>24.605064000000002</v>
      </c>
      <c r="M43" s="152"/>
      <c r="N43" s="152"/>
      <c r="O43" s="152"/>
      <c r="P43" s="152"/>
      <c r="Q43" s="86" t="s">
        <v>139</v>
      </c>
      <c r="R43" s="86"/>
      <c r="S43" s="86"/>
      <c r="T43" s="86"/>
      <c r="U43" s="86"/>
      <c r="V43" s="88"/>
      <c r="W43" s="88"/>
      <c r="X43" s="152">
        <f>C42*0.46625</f>
        <v>24.6553</v>
      </c>
      <c r="Y43" s="152"/>
      <c r="Z43" s="152"/>
      <c r="AA43" s="152"/>
      <c r="AB43" s="152"/>
      <c r="AC43" s="88" t="s">
        <v>140</v>
      </c>
      <c r="AD43" s="88"/>
      <c r="AE43" s="88"/>
      <c r="AF43" s="88"/>
      <c r="AG43" s="88"/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8"/>
      <c r="AS43" s="88"/>
      <c r="AT43" s="88"/>
      <c r="AU43" s="89"/>
    </row>
    <row r="44" spans="1:47" ht="15" customHeight="1">
      <c r="A44" s="83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8"/>
      <c r="AS44" s="88"/>
      <c r="AT44" s="88"/>
      <c r="AU44" s="89"/>
    </row>
    <row r="45" spans="1:47" ht="16" customHeight="1">
      <c r="A45" s="83" t="s">
        <v>141</v>
      </c>
      <c r="B45" s="86"/>
      <c r="C45" s="86"/>
      <c r="D45" s="86"/>
      <c r="E45" s="86"/>
      <c r="F45" s="86"/>
      <c r="G45" s="86"/>
      <c r="H45" s="153">
        <f>[1]산출서!Q22*1000</f>
        <v>30000</v>
      </c>
      <c r="I45" s="153"/>
      <c r="J45" s="153"/>
      <c r="K45" s="153"/>
      <c r="L45" s="153"/>
      <c r="M45" s="86" t="s">
        <v>142</v>
      </c>
      <c r="N45" s="86"/>
      <c r="O45" s="86"/>
      <c r="P45" s="86"/>
      <c r="Q45" s="86"/>
      <c r="R45" s="86"/>
      <c r="S45" s="86"/>
      <c r="T45" s="86"/>
      <c r="U45" s="86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8"/>
      <c r="AS45" s="88"/>
      <c r="AT45" s="88"/>
      <c r="AU45" s="89"/>
    </row>
    <row r="46" spans="1:47" ht="16" customHeight="1">
      <c r="A46" s="83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  <c r="AK46" s="88"/>
      <c r="AL46" s="88"/>
      <c r="AM46" s="88"/>
      <c r="AN46" s="88"/>
      <c r="AO46" s="88"/>
      <c r="AP46" s="88"/>
      <c r="AQ46" s="88"/>
      <c r="AR46" s="88"/>
      <c r="AS46" s="88"/>
      <c r="AT46" s="88"/>
      <c r="AU46" s="89"/>
    </row>
    <row r="47" spans="1:47" ht="16" customHeight="1">
      <c r="A47" s="83" t="s">
        <v>143</v>
      </c>
      <c r="B47" s="86"/>
      <c r="C47" s="86"/>
      <c r="D47" s="86"/>
      <c r="E47" s="86"/>
      <c r="F47" s="86"/>
      <c r="G47" s="86"/>
      <c r="H47" s="86"/>
      <c r="I47" s="86"/>
      <c r="J47" s="151">
        <f>ROUND((C48/M48),2)</f>
        <v>3.1</v>
      </c>
      <c r="K47" s="151"/>
      <c r="L47" s="151"/>
      <c r="M47" s="151"/>
      <c r="N47" s="86" t="s">
        <v>144</v>
      </c>
      <c r="O47" s="86"/>
      <c r="P47" s="86"/>
      <c r="Q47" s="86"/>
      <c r="R47" s="86"/>
      <c r="S47" s="86"/>
      <c r="T47" s="86"/>
      <c r="U47" s="86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8"/>
      <c r="AO47" s="88"/>
      <c r="AP47" s="88"/>
      <c r="AQ47" s="88"/>
      <c r="AR47" s="88"/>
      <c r="AS47" s="88"/>
      <c r="AT47" s="88"/>
      <c r="AU47" s="89"/>
    </row>
    <row r="48" spans="1:47" ht="16" customHeight="1">
      <c r="A48" s="83" t="s">
        <v>111</v>
      </c>
      <c r="B48" s="86"/>
      <c r="C48" s="154">
        <f>H45</f>
        <v>30000</v>
      </c>
      <c r="D48" s="155"/>
      <c r="E48" s="155"/>
      <c r="F48" s="155"/>
      <c r="G48" s="155"/>
      <c r="H48" s="86" t="s">
        <v>145</v>
      </c>
      <c r="I48" s="86"/>
      <c r="J48" s="86"/>
      <c r="K48" s="86"/>
      <c r="L48" s="86"/>
      <c r="M48" s="156">
        <f>J38</f>
        <v>9685.3204267417877</v>
      </c>
      <c r="N48" s="151"/>
      <c r="O48" s="151"/>
      <c r="P48" s="151"/>
      <c r="Q48" s="151"/>
      <c r="R48" s="86" t="s">
        <v>146</v>
      </c>
      <c r="S48" s="86"/>
      <c r="T48" s="86"/>
      <c r="U48" s="86"/>
      <c r="V48" s="88"/>
      <c r="W48" s="88"/>
      <c r="X48" s="88"/>
      <c r="Y48" s="151">
        <f>ROUND((C48/M48),2)</f>
        <v>3.1</v>
      </c>
      <c r="Z48" s="151"/>
      <c r="AA48" s="151"/>
      <c r="AB48" s="151"/>
      <c r="AC48" s="88" t="s">
        <v>144</v>
      </c>
      <c r="AD48" s="88"/>
      <c r="AE48" s="88"/>
      <c r="AF48" s="88"/>
      <c r="AG48" s="88"/>
      <c r="AH48" s="88"/>
      <c r="AI48" s="88"/>
      <c r="AJ48" s="88"/>
      <c r="AK48" s="88"/>
      <c r="AL48" s="88"/>
      <c r="AM48" s="88"/>
      <c r="AN48" s="88"/>
      <c r="AO48" s="88"/>
      <c r="AP48" s="88"/>
      <c r="AQ48" s="88"/>
      <c r="AR48" s="88"/>
      <c r="AS48" s="88"/>
      <c r="AT48" s="88"/>
      <c r="AU48" s="89"/>
    </row>
    <row r="49" spans="1:57" ht="16" customHeight="1">
      <c r="A49" s="83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  <c r="AK49" s="88"/>
      <c r="AL49" s="88"/>
      <c r="AM49" s="88"/>
      <c r="AN49" s="88"/>
      <c r="AO49" s="88"/>
      <c r="AP49" s="88"/>
      <c r="AQ49" s="88"/>
      <c r="AR49" s="88"/>
      <c r="AS49" s="88"/>
      <c r="AT49" s="88"/>
      <c r="AU49" s="89"/>
    </row>
    <row r="50" spans="1:57" ht="16" customHeight="1">
      <c r="A50" s="94"/>
      <c r="B50" s="91"/>
      <c r="C50" s="91"/>
      <c r="D50" s="91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91"/>
      <c r="AL50" s="91"/>
      <c r="AM50" s="91"/>
      <c r="AN50" s="91"/>
      <c r="AO50" s="91"/>
      <c r="AP50" s="91"/>
      <c r="AQ50" s="91"/>
      <c r="AR50" s="91"/>
      <c r="AS50" s="91"/>
      <c r="AT50" s="91"/>
      <c r="AU50" s="95"/>
    </row>
    <row r="51" spans="1:57" ht="15" customHeight="1">
      <c r="A51" s="88"/>
      <c r="B51" s="88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  <c r="AB51" s="88"/>
      <c r="AC51" s="88"/>
      <c r="AD51" s="88"/>
      <c r="AE51" s="88"/>
      <c r="AF51" s="88"/>
      <c r="AG51" s="88"/>
      <c r="AH51" s="88"/>
      <c r="AI51" s="88"/>
      <c r="AJ51" s="88"/>
      <c r="AK51" s="88"/>
      <c r="AL51" s="88"/>
      <c r="AM51" s="88"/>
      <c r="AN51" s="88"/>
      <c r="AO51" s="88"/>
      <c r="AP51" s="88"/>
      <c r="AQ51" s="88"/>
      <c r="AR51" s="88"/>
      <c r="AS51" s="88"/>
      <c r="AT51" s="88"/>
      <c r="AU51" s="88"/>
    </row>
    <row r="52" spans="1:57" ht="15" customHeight="1">
      <c r="A52" s="88"/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88"/>
      <c r="AK52" s="88"/>
      <c r="AL52" s="88"/>
      <c r="AM52" s="88"/>
      <c r="AN52" s="88"/>
      <c r="AO52" s="88"/>
      <c r="AP52" s="88"/>
      <c r="AQ52" s="88"/>
      <c r="AR52" s="88"/>
      <c r="AS52" s="88"/>
      <c r="AT52" s="88"/>
      <c r="AU52" s="88"/>
      <c r="BA52" s="96" t="s">
        <v>147</v>
      </c>
      <c r="BB52" s="96" t="s">
        <v>148</v>
      </c>
      <c r="BC52" s="96" t="s">
        <v>149</v>
      </c>
      <c r="BD52" s="96" t="s">
        <v>150</v>
      </c>
      <c r="BE52" s="96" t="s">
        <v>151</v>
      </c>
    </row>
    <row r="53" spans="1:57" ht="15" customHeight="1">
      <c r="A53" s="88"/>
      <c r="B53" s="88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  <c r="AA53" s="88"/>
      <c r="AB53" s="88"/>
      <c r="AC53" s="88"/>
      <c r="AD53" s="88"/>
      <c r="AE53" s="88"/>
      <c r="AF53" s="88"/>
      <c r="AG53" s="88"/>
      <c r="AH53" s="88"/>
      <c r="AI53" s="88"/>
      <c r="AJ53" s="88"/>
      <c r="AK53" s="88"/>
      <c r="AL53" s="88"/>
      <c r="AM53" s="88"/>
      <c r="AN53" s="88"/>
      <c r="AO53" s="88"/>
      <c r="AP53" s="88"/>
      <c r="AQ53" s="88"/>
      <c r="AR53" s="88"/>
      <c r="AS53" s="88"/>
      <c r="AT53" s="88"/>
      <c r="AU53" s="88"/>
      <c r="BA53" s="97" t="s">
        <v>152</v>
      </c>
      <c r="BB53" s="97" t="s">
        <v>153</v>
      </c>
      <c r="BC53" s="97" t="s">
        <v>154</v>
      </c>
      <c r="BD53" s="97" t="s">
        <v>155</v>
      </c>
      <c r="BE53" s="97" t="s">
        <v>156</v>
      </c>
    </row>
    <row r="54" spans="1:57" ht="15" customHeight="1">
      <c r="A54" s="88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  <c r="AG54" s="88"/>
      <c r="AH54" s="88"/>
      <c r="AI54" s="88"/>
      <c r="AJ54" s="88"/>
      <c r="AK54" s="88"/>
      <c r="AL54" s="88"/>
      <c r="AM54" s="88"/>
      <c r="AN54" s="88"/>
      <c r="AO54" s="88"/>
      <c r="AP54" s="88"/>
      <c r="AQ54" s="88"/>
      <c r="AR54" s="88"/>
      <c r="AS54" s="88"/>
      <c r="AT54" s="88"/>
      <c r="AU54" s="88"/>
      <c r="BA54" s="98">
        <f>AD30</f>
        <v>12.109520000000002</v>
      </c>
      <c r="BB54" s="99">
        <f>AK12</f>
        <v>0.21824394592185414</v>
      </c>
      <c r="BC54" s="100">
        <f>J38</f>
        <v>9685.3204267417877</v>
      </c>
      <c r="BD54" s="100">
        <f>[1]산출서!Q22*1000</f>
        <v>30000</v>
      </c>
      <c r="BE54" s="101">
        <f>Y48</f>
        <v>3.1</v>
      </c>
    </row>
    <row r="55" spans="1:57" ht="15" customHeight="1">
      <c r="A55" s="88"/>
      <c r="B55" s="88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  <c r="AK55" s="88"/>
      <c r="AL55" s="88"/>
      <c r="AM55" s="88"/>
      <c r="AN55" s="88"/>
      <c r="AO55" s="88"/>
      <c r="AP55" s="88"/>
      <c r="AQ55" s="88"/>
      <c r="AR55" s="88"/>
      <c r="AS55" s="88"/>
      <c r="AT55" s="88"/>
      <c r="AU55" s="88"/>
    </row>
    <row r="56" spans="1:57" ht="15" customHeight="1"/>
    <row r="57" spans="1:57" ht="15" customHeight="1"/>
    <row r="58" spans="1:57" ht="15" customHeight="1"/>
    <row r="59" spans="1:57" ht="15" customHeight="1"/>
    <row r="60" spans="1:57" ht="15" customHeight="1"/>
    <row r="61" spans="1:57" ht="15" customHeight="1"/>
    <row r="62" spans="1:57" ht="15" customHeight="1"/>
    <row r="63" spans="1:57" ht="15" customHeight="1"/>
    <row r="64" spans="1:57" ht="15" customHeight="1"/>
    <row r="65" ht="15" customHeight="1"/>
    <row r="66" ht="15" customHeight="1"/>
  </sheetData>
  <sheetProtection algorithmName="SHA-512" hashValue="20WNdWzMyAu6FmQvEXmtocM2A28mAC92YTf0gCnbww6dsR9fxrUT3D6K3F9JHXeqSE29snm01JTbYiC/bwaozA==" saltValue="SuXFcaLOX+gx0m/IxFILUA==" spinCount="100000" sheet="1" objects="1" scenarios="1"/>
  <mergeCells count="53">
    <mergeCell ref="A12:G13"/>
    <mergeCell ref="Q12:R13"/>
    <mergeCell ref="S12:U12"/>
    <mergeCell ref="Z12:AB12"/>
    <mergeCell ref="I15:K15"/>
    <mergeCell ref="Q15:R15"/>
    <mergeCell ref="W15:X15"/>
    <mergeCell ref="AB15:AC15"/>
    <mergeCell ref="Q9:S9"/>
    <mergeCell ref="Q10:S10"/>
    <mergeCell ref="AF12:AJ13"/>
    <mergeCell ref="AK12:AN13"/>
    <mergeCell ref="AO12:AP13"/>
    <mergeCell ref="H13:P13"/>
    <mergeCell ref="V13:Y13"/>
    <mergeCell ref="X19:Z19"/>
    <mergeCell ref="AE19:AG19"/>
    <mergeCell ref="AM19:AP19"/>
    <mergeCell ref="C20:E20"/>
    <mergeCell ref="W20:Z20"/>
    <mergeCell ref="AC20:AF20"/>
    <mergeCell ref="X23:Z23"/>
    <mergeCell ref="AE23:AG23"/>
    <mergeCell ref="AM23:AP23"/>
    <mergeCell ref="C24:E24"/>
    <mergeCell ref="W24:Z24"/>
    <mergeCell ref="AC24:AF24"/>
    <mergeCell ref="C28:F28"/>
    <mergeCell ref="N28:Q28"/>
    <mergeCell ref="X28:AB28"/>
    <mergeCell ref="C29:E29"/>
    <mergeCell ref="L29:N29"/>
    <mergeCell ref="U29:X29"/>
    <mergeCell ref="C30:F30"/>
    <mergeCell ref="X30:AA30"/>
    <mergeCell ref="AD30:AG30"/>
    <mergeCell ref="C34:F34"/>
    <mergeCell ref="M34:P34"/>
    <mergeCell ref="AB34:AE34"/>
    <mergeCell ref="C48:G48"/>
    <mergeCell ref="M48:Q48"/>
    <mergeCell ref="Y48:AB48"/>
    <mergeCell ref="AH34:AK34"/>
    <mergeCell ref="C37:F37"/>
    <mergeCell ref="N37:Q37"/>
    <mergeCell ref="C38:G38"/>
    <mergeCell ref="J38:N38"/>
    <mergeCell ref="C42:F42"/>
    <mergeCell ref="C43:F43"/>
    <mergeCell ref="L43:P43"/>
    <mergeCell ref="X43:AB43"/>
    <mergeCell ref="H45:L45"/>
    <mergeCell ref="J47:M47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E52D8-CD40-4F29-A50B-ACC9E3C57C8F}">
  <sheetPr codeName="Sheet17"/>
  <dimension ref="B2:M25"/>
  <sheetViews>
    <sheetView workbookViewId="0">
      <selection activeCell="E27" sqref="E27"/>
    </sheetView>
  </sheetViews>
  <sheetFormatPr defaultRowHeight="17"/>
  <cols>
    <col min="11" max="11" width="7.4140625" bestFit="1" customWidth="1"/>
  </cols>
  <sheetData>
    <row r="2" spans="2:13" ht="17.5">
      <c r="B2" s="218" t="s">
        <v>157</v>
      </c>
      <c r="C2" s="219"/>
      <c r="D2" s="219"/>
      <c r="E2" s="219"/>
      <c r="F2" s="219"/>
      <c r="G2" s="219"/>
      <c r="H2" s="219"/>
      <c r="I2" s="219"/>
      <c r="J2" s="219"/>
      <c r="K2" s="219"/>
      <c r="L2" s="219"/>
      <c r="M2" s="220"/>
    </row>
    <row r="3" spans="2:13" ht="35">
      <c r="B3" s="221" t="s">
        <v>38</v>
      </c>
      <c r="C3" s="224" t="s">
        <v>158</v>
      </c>
      <c r="D3" s="225"/>
      <c r="E3" s="226"/>
      <c r="F3" s="224" t="s">
        <v>159</v>
      </c>
      <c r="G3" s="225"/>
      <c r="H3" s="226"/>
      <c r="I3" s="102" t="s">
        <v>149</v>
      </c>
      <c r="J3" s="102" t="s">
        <v>150</v>
      </c>
      <c r="K3" s="102" t="s">
        <v>150</v>
      </c>
      <c r="L3" s="103" t="s">
        <v>160</v>
      </c>
      <c r="M3" s="102" t="s">
        <v>161</v>
      </c>
    </row>
    <row r="4" spans="2:13" ht="35">
      <c r="B4" s="222"/>
      <c r="C4" s="227"/>
      <c r="D4" s="228"/>
      <c r="E4" s="229"/>
      <c r="F4" s="227"/>
      <c r="G4" s="228"/>
      <c r="H4" s="229"/>
      <c r="I4" s="104" t="s">
        <v>162</v>
      </c>
      <c r="J4" s="104" t="s">
        <v>163</v>
      </c>
      <c r="K4" s="105" t="s">
        <v>164</v>
      </c>
      <c r="L4" s="105" t="s">
        <v>165</v>
      </c>
      <c r="M4" s="105" t="s">
        <v>166</v>
      </c>
    </row>
    <row r="5" spans="2:13" ht="32">
      <c r="B5" s="222"/>
      <c r="C5" s="230"/>
      <c r="D5" s="231"/>
      <c r="E5" s="232"/>
      <c r="F5" s="230"/>
      <c r="G5" s="231"/>
      <c r="H5" s="232"/>
      <c r="I5" s="106"/>
      <c r="J5" s="106"/>
      <c r="K5" s="105" t="s">
        <v>167</v>
      </c>
      <c r="L5" s="104" t="s">
        <v>168</v>
      </c>
      <c r="M5" s="104" t="s">
        <v>169</v>
      </c>
    </row>
    <row r="6" spans="2:13" ht="17.5">
      <c r="B6" s="223"/>
      <c r="C6" s="107" t="s">
        <v>170</v>
      </c>
      <c r="D6" s="107" t="s">
        <v>50</v>
      </c>
      <c r="E6" s="107" t="s">
        <v>171</v>
      </c>
      <c r="F6" s="107" t="s">
        <v>170</v>
      </c>
      <c r="G6" s="107" t="s">
        <v>50</v>
      </c>
      <c r="H6" s="107" t="s">
        <v>171</v>
      </c>
      <c r="I6" s="108"/>
      <c r="J6" s="108"/>
      <c r="K6" s="109" t="s">
        <v>172</v>
      </c>
      <c r="L6" s="108"/>
      <c r="M6" s="108"/>
    </row>
    <row r="7" spans="2:13">
      <c r="B7" s="233" t="s">
        <v>173</v>
      </c>
      <c r="C7" s="110"/>
      <c r="D7" s="110"/>
      <c r="E7" s="111">
        <f>D10</f>
        <v>12.109520000000002</v>
      </c>
      <c r="F7" s="190"/>
      <c r="G7" s="236">
        <f>[1]기대효과!AH34</f>
        <v>0.21822743855131319</v>
      </c>
      <c r="H7" s="236">
        <f>G7</f>
        <v>0.21822743855131319</v>
      </c>
      <c r="I7" s="237">
        <f>[1]기대효과!J38/1000</f>
        <v>9.6853204267417876</v>
      </c>
      <c r="J7" s="238">
        <f>[1]기대효과!H45/1000</f>
        <v>30</v>
      </c>
      <c r="K7" s="206">
        <f>[1]기대효과!Y48</f>
        <v>3.1</v>
      </c>
      <c r="L7" s="209">
        <f>E7/J7</f>
        <v>0.40365066666666671</v>
      </c>
      <c r="M7" s="212">
        <f>[1]기대효과!L43</f>
        <v>24.605064000000002</v>
      </c>
    </row>
    <row r="8" spans="2:13">
      <c r="B8" s="234"/>
      <c r="C8" s="112"/>
      <c r="D8" s="113">
        <f>[1]기대효과!X28/1000</f>
        <v>52.884</v>
      </c>
      <c r="E8" s="114" t="s">
        <v>174</v>
      </c>
      <c r="F8" s="191"/>
      <c r="G8" s="207"/>
      <c r="H8" s="207"/>
      <c r="I8" s="207"/>
      <c r="J8" s="239"/>
      <c r="K8" s="207"/>
      <c r="L8" s="210"/>
      <c r="M8" s="213"/>
    </row>
    <row r="9" spans="2:13">
      <c r="B9" s="234"/>
      <c r="C9" s="112"/>
      <c r="D9" s="115" t="s">
        <v>175</v>
      </c>
      <c r="E9" s="106"/>
      <c r="F9" s="191"/>
      <c r="G9" s="207"/>
      <c r="H9" s="207"/>
      <c r="I9" s="207"/>
      <c r="J9" s="239"/>
      <c r="K9" s="207"/>
      <c r="L9" s="210"/>
      <c r="M9" s="213"/>
    </row>
    <row r="10" spans="2:13">
      <c r="B10" s="234"/>
      <c r="C10" s="114" t="s">
        <v>174</v>
      </c>
      <c r="D10" s="116">
        <f>[1]기대효과!AD30</f>
        <v>12.109520000000002</v>
      </c>
      <c r="E10" s="106"/>
      <c r="F10" s="191"/>
      <c r="G10" s="207"/>
      <c r="H10" s="207"/>
      <c r="I10" s="207"/>
      <c r="J10" s="239"/>
      <c r="K10" s="207"/>
      <c r="L10" s="210"/>
      <c r="M10" s="213"/>
    </row>
    <row r="11" spans="2:13">
      <c r="B11" s="235"/>
      <c r="C11" s="108"/>
      <c r="D11" s="115" t="s">
        <v>176</v>
      </c>
      <c r="E11" s="108"/>
      <c r="F11" s="197"/>
      <c r="G11" s="208"/>
      <c r="H11" s="208"/>
      <c r="I11" s="208"/>
      <c r="J11" s="240"/>
      <c r="K11" s="208"/>
      <c r="L11" s="211"/>
      <c r="M11" s="214"/>
    </row>
    <row r="12" spans="2:13">
      <c r="B12" s="190"/>
      <c r="C12" s="110"/>
      <c r="D12" s="110"/>
      <c r="E12" s="110"/>
      <c r="F12" s="190"/>
      <c r="G12" s="190"/>
      <c r="H12" s="190"/>
      <c r="I12" s="190"/>
      <c r="J12" s="215"/>
      <c r="K12" s="190"/>
      <c r="L12" s="190"/>
      <c r="M12" s="190"/>
    </row>
    <row r="13" spans="2:13">
      <c r="B13" s="191"/>
      <c r="C13" s="112"/>
      <c r="D13" s="112"/>
      <c r="E13" s="112"/>
      <c r="F13" s="191"/>
      <c r="G13" s="191"/>
      <c r="H13" s="191"/>
      <c r="I13" s="191"/>
      <c r="J13" s="216"/>
      <c r="K13" s="191"/>
      <c r="L13" s="191"/>
      <c r="M13" s="191"/>
    </row>
    <row r="14" spans="2:13">
      <c r="B14" s="191"/>
      <c r="C14" s="112"/>
      <c r="D14" s="115" t="s">
        <v>175</v>
      </c>
      <c r="E14" s="112"/>
      <c r="F14" s="191"/>
      <c r="G14" s="191"/>
      <c r="H14" s="191"/>
      <c r="I14" s="191"/>
      <c r="J14" s="216"/>
      <c r="K14" s="191"/>
      <c r="L14" s="191"/>
      <c r="M14" s="191"/>
    </row>
    <row r="15" spans="2:13">
      <c r="B15" s="191"/>
      <c r="C15" s="117" t="s">
        <v>174</v>
      </c>
      <c r="D15" s="110"/>
      <c r="E15" s="114" t="s">
        <v>174</v>
      </c>
      <c r="F15" s="191"/>
      <c r="G15" s="191"/>
      <c r="H15" s="191"/>
      <c r="I15" s="191"/>
      <c r="J15" s="216"/>
      <c r="K15" s="191"/>
      <c r="L15" s="191"/>
      <c r="M15" s="191"/>
    </row>
    <row r="16" spans="2:13">
      <c r="B16" s="191"/>
      <c r="C16" s="106"/>
      <c r="D16" s="112"/>
      <c r="E16" s="106"/>
      <c r="F16" s="191"/>
      <c r="G16" s="191"/>
      <c r="H16" s="191"/>
      <c r="I16" s="191"/>
      <c r="J16" s="216"/>
      <c r="K16" s="191"/>
      <c r="L16" s="191"/>
      <c r="M16" s="191"/>
    </row>
    <row r="17" spans="2:13" ht="17.5" thickBot="1">
      <c r="B17" s="192"/>
      <c r="C17" s="108"/>
      <c r="D17" s="115" t="s">
        <v>176</v>
      </c>
      <c r="E17" s="108"/>
      <c r="F17" s="192"/>
      <c r="G17" s="192"/>
      <c r="H17" s="192"/>
      <c r="I17" s="192"/>
      <c r="J17" s="217"/>
      <c r="K17" s="192"/>
      <c r="L17" s="192"/>
      <c r="M17" s="192"/>
    </row>
    <row r="18" spans="2:13" ht="17.5" thickTop="1">
      <c r="B18" s="193" t="s">
        <v>0</v>
      </c>
      <c r="C18" s="118"/>
      <c r="D18" s="119">
        <f>D8</f>
        <v>52.884</v>
      </c>
      <c r="E18" s="120">
        <f>E7</f>
        <v>12.109520000000002</v>
      </c>
      <c r="F18" s="196"/>
      <c r="G18" s="198">
        <f>SUM(G7:G17)</f>
        <v>0.21822743855131319</v>
      </c>
      <c r="H18" s="198">
        <f>SUM(H7:H17)</f>
        <v>0.21822743855131319</v>
      </c>
      <c r="I18" s="199">
        <f>SUM(I7:I17)</f>
        <v>9.6853204267417876</v>
      </c>
      <c r="J18" s="200">
        <f>SUM(J7:J17)</f>
        <v>30</v>
      </c>
      <c r="K18" s="187">
        <f>J18/I18</f>
        <v>3.0974710880156411</v>
      </c>
      <c r="L18" s="205">
        <v>0.23499999999999999</v>
      </c>
      <c r="M18" s="187">
        <f>SUM(M7:M17)</f>
        <v>24.605064000000002</v>
      </c>
    </row>
    <row r="19" spans="2:13">
      <c r="B19" s="194"/>
      <c r="C19" s="112"/>
      <c r="D19" s="121" t="s">
        <v>175</v>
      </c>
      <c r="E19" s="114" t="s">
        <v>174</v>
      </c>
      <c r="F19" s="191"/>
      <c r="G19" s="188"/>
      <c r="H19" s="188"/>
      <c r="I19" s="188"/>
      <c r="J19" s="201"/>
      <c r="K19" s="203"/>
      <c r="L19" s="188"/>
      <c r="M19" s="188"/>
    </row>
    <row r="20" spans="2:13">
      <c r="B20" s="194"/>
      <c r="C20" s="112"/>
      <c r="D20" s="108"/>
      <c r="E20" s="106"/>
      <c r="F20" s="191"/>
      <c r="G20" s="188"/>
      <c r="H20" s="188"/>
      <c r="I20" s="188"/>
      <c r="J20" s="201"/>
      <c r="K20" s="203"/>
      <c r="L20" s="188"/>
      <c r="M20" s="188"/>
    </row>
    <row r="21" spans="2:13">
      <c r="B21" s="194"/>
      <c r="C21" s="114" t="s">
        <v>174</v>
      </c>
      <c r="D21" s="110"/>
      <c r="E21" s="106"/>
      <c r="F21" s="191"/>
      <c r="G21" s="188"/>
      <c r="H21" s="188"/>
      <c r="I21" s="188"/>
      <c r="J21" s="201"/>
      <c r="K21" s="203"/>
      <c r="L21" s="188"/>
      <c r="M21" s="188"/>
    </row>
    <row r="22" spans="2:13">
      <c r="B22" s="194"/>
      <c r="C22" s="106"/>
      <c r="D22" s="122">
        <f>D10</f>
        <v>12.109520000000002</v>
      </c>
      <c r="E22" s="106"/>
      <c r="F22" s="191"/>
      <c r="G22" s="188"/>
      <c r="H22" s="188"/>
      <c r="I22" s="188"/>
      <c r="J22" s="201"/>
      <c r="K22" s="203"/>
      <c r="L22" s="188"/>
      <c r="M22" s="188"/>
    </row>
    <row r="23" spans="2:13">
      <c r="B23" s="195"/>
      <c r="C23" s="108"/>
      <c r="D23" s="115" t="s">
        <v>176</v>
      </c>
      <c r="E23" s="108"/>
      <c r="F23" s="197"/>
      <c r="G23" s="189"/>
      <c r="H23" s="189"/>
      <c r="I23" s="189"/>
      <c r="J23" s="202"/>
      <c r="K23" s="204"/>
      <c r="L23" s="189"/>
      <c r="M23" s="189"/>
    </row>
    <row r="25" spans="2:13">
      <c r="B25" t="s">
        <v>177</v>
      </c>
    </row>
  </sheetData>
  <sheetProtection algorithmName="SHA-512" hashValue="ymxwd31IBMMsPro/o+aouZLzVjisE4CyL2+2tj+My+xeb2hxubrOq26gLV6RREx/AEALyqJVZe4ynpJxZHLP1g==" saltValue="7bMYBiorgucp0fc6lsgtyw==" spinCount="100000" sheet="1" objects="1" scenarios="1"/>
  <mergeCells count="31">
    <mergeCell ref="B2:M2"/>
    <mergeCell ref="B3:B6"/>
    <mergeCell ref="C3:E5"/>
    <mergeCell ref="F3:H5"/>
    <mergeCell ref="B7:B11"/>
    <mergeCell ref="F7:F11"/>
    <mergeCell ref="G7:G11"/>
    <mergeCell ref="H7:H11"/>
    <mergeCell ref="I7:I11"/>
    <mergeCell ref="J7:J11"/>
    <mergeCell ref="K7:K11"/>
    <mergeCell ref="L7:L11"/>
    <mergeCell ref="M7:M11"/>
    <mergeCell ref="B12:B17"/>
    <mergeCell ref="F12:F17"/>
    <mergeCell ref="G12:G17"/>
    <mergeCell ref="H12:H17"/>
    <mergeCell ref="I12:I17"/>
    <mergeCell ref="J12:J17"/>
    <mergeCell ref="K12:K17"/>
    <mergeCell ref="M18:M23"/>
    <mergeCell ref="L12:L17"/>
    <mergeCell ref="M12:M17"/>
    <mergeCell ref="B18:B23"/>
    <mergeCell ref="F18:F23"/>
    <mergeCell ref="G18:G23"/>
    <mergeCell ref="H18:H23"/>
    <mergeCell ref="I18:I23"/>
    <mergeCell ref="J18:J23"/>
    <mergeCell ref="K18:K23"/>
    <mergeCell ref="L18:L23"/>
  </mergeCells>
  <phoneticPr fontId="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AFCA36-1A27-407C-924D-F87F615337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1</vt:i4>
      </vt:variant>
    </vt:vector>
  </HeadingPairs>
  <TitlesOfParts>
    <vt:vector size="7" baseType="lpstr">
      <vt:lpstr>Raw</vt:lpstr>
      <vt:lpstr>EDChart</vt:lpstr>
      <vt:lpstr>계산결과</vt:lpstr>
      <vt:lpstr>산출서</vt:lpstr>
      <vt:lpstr>기대효과</vt:lpstr>
      <vt:lpstr>예상에너지 절감량</vt:lpstr>
      <vt:lpstr>Raw!ExternalData_1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경일정용</cp:lastModifiedBy>
  <cp:lastPrinted>2020-10-03T17:15:51Z</cp:lastPrinted>
  <dcterms:created xsi:type="dcterms:W3CDTF">2019-04-28T06:03:16Z</dcterms:created>
  <dcterms:modified xsi:type="dcterms:W3CDTF">2020-10-05T06:01:49Z</dcterms:modified>
</cp:coreProperties>
</file>